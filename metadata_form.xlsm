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traitData\data_repository\"/>
    </mc:Choice>
  </mc:AlternateContent>
  <xr:revisionPtr revIDLastSave="0" documentId="13_ncr:1_{258E49B9-C683-40A3-9C77-78723862B357}" xr6:coauthVersionLast="45" xr6:coauthVersionMax="45" xr10:uidLastSave="{00000000-0000-0000-0000-000000000000}"/>
  <bookViews>
    <workbookView xWindow="-108" yWindow="-108" windowWidth="23256" windowHeight="12576" xr2:uid="{446716CB-86DA-4344-8B69-D1BC560A2395}"/>
  </bookViews>
  <sheets>
    <sheet name="Form" sheetId="1" r:id="rId1"/>
    <sheet name="coordinates" sheetId="3" state="hidden" r:id="rId2"/>
    <sheet name="output" sheetId="5" state="hidden" r:id="rId3"/>
    <sheet name="URIs" sheetId="2" state="hidden" r:id="rId4"/>
  </sheets>
  <definedNames>
    <definedName name="CRS">OFFSET(coordinates!$C$2,,,MAX(Tabel2[Search]))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8" i="5" l="1"/>
  <c r="C74" i="5" l="1"/>
  <c r="C75" i="5"/>
  <c r="I34" i="1"/>
  <c r="I3" i="1" l="1"/>
  <c r="C3" i="5" l="1"/>
  <c r="C4"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9" i="5"/>
  <c r="C60" i="5"/>
  <c r="C61" i="5"/>
  <c r="C62" i="5"/>
  <c r="C63" i="5"/>
  <c r="C64" i="5"/>
  <c r="C65" i="5"/>
  <c r="C66" i="5"/>
  <c r="C67" i="5"/>
  <c r="C68" i="5"/>
  <c r="C69" i="5"/>
  <c r="C70" i="5"/>
  <c r="C71" i="5"/>
  <c r="C72" i="5"/>
  <c r="C73" i="5"/>
  <c r="I33" i="1"/>
  <c r="D9" i="5" l="1"/>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8" i="5"/>
  <c r="I5" i="1"/>
  <c r="I6" i="1"/>
  <c r="I7" i="1"/>
  <c r="I8" i="1"/>
  <c r="I9" i="1"/>
  <c r="I4" i="1"/>
  <c r="I18" i="1" l="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4" i="1"/>
  <c r="E5" i="1"/>
  <c r="E6" i="1"/>
  <c r="E7" i="1"/>
  <c r="E8" i="1"/>
  <c r="E9" i="1"/>
  <c r="E10" i="1"/>
  <c r="E11" i="1"/>
  <c r="E12" i="1"/>
  <c r="E13" i="1"/>
  <c r="E14" i="1"/>
  <c r="E15" i="1"/>
  <c r="E16" i="1"/>
  <c r="E17" i="1"/>
  <c r="E18" i="1"/>
  <c r="E19" i="1"/>
  <c r="E20" i="1"/>
  <c r="E21" i="1"/>
  <c r="E3" i="1"/>
  <c r="B2" i="3" l="1"/>
  <c r="B3" i="3" l="1"/>
  <c r="B4" i="3" l="1"/>
  <c r="I27" i="1"/>
  <c r="I28" i="1"/>
  <c r="I29" i="1"/>
  <c r="I30" i="1"/>
  <c r="I31" i="1"/>
  <c r="I32" i="1"/>
  <c r="I26" i="1"/>
  <c r="I17" i="1"/>
  <c r="B5" i="3" l="1"/>
  <c r="B6" i="3" l="1"/>
  <c r="B7" i="3" s="1"/>
  <c r="B8" i="3" l="1"/>
  <c r="B9" i="3" s="1"/>
  <c r="B10" i="3" l="1"/>
  <c r="B11" i="3" l="1"/>
  <c r="B12" i="3" l="1"/>
  <c r="B13" i="3" l="1"/>
  <c r="B14" i="3" l="1"/>
  <c r="B15" i="3" l="1"/>
  <c r="B16" i="3" l="1"/>
  <c r="B17" i="3" l="1"/>
  <c r="B18" i="3" s="1"/>
  <c r="B19" i="3" l="1"/>
  <c r="B20" i="3" l="1"/>
  <c r="B21" i="3" l="1"/>
  <c r="B22" i="3" l="1"/>
  <c r="B23" i="3" l="1"/>
  <c r="B24" i="3" s="1"/>
  <c r="B25" i="3" l="1"/>
  <c r="B26" i="3" l="1"/>
  <c r="B27" i="3" l="1"/>
  <c r="B28" i="3" l="1"/>
  <c r="B29" i="3" l="1"/>
  <c r="B30" i="3" l="1"/>
  <c r="B31" i="3" l="1"/>
  <c r="B32" i="3" s="1"/>
  <c r="B33" i="3" l="1"/>
  <c r="B34" i="3" l="1"/>
  <c r="B35" i="3" l="1"/>
  <c r="B36" i="3" l="1"/>
  <c r="B37" i="3" l="1"/>
  <c r="B38" i="3" l="1"/>
  <c r="B39" i="3" l="1"/>
  <c r="B40" i="3" l="1"/>
  <c r="B41" i="3" l="1"/>
  <c r="B42" i="3" l="1"/>
  <c r="B43" i="3" l="1"/>
  <c r="B44" i="3" l="1"/>
  <c r="B45" i="3" l="1"/>
  <c r="B46" i="3" l="1"/>
  <c r="B47" i="3" s="1"/>
  <c r="B48" i="3" s="1"/>
  <c r="B49" i="3" s="1"/>
  <c r="B50" i="3" l="1"/>
  <c r="B51" i="3" s="1"/>
  <c r="B52" i="3" s="1"/>
  <c r="B53" i="3" s="1"/>
  <c r="B54" i="3" s="1"/>
  <c r="B55" i="3" l="1"/>
  <c r="B56" i="3" s="1"/>
  <c r="B57" i="3" l="1"/>
  <c r="B58" i="3" s="1"/>
  <c r="B59" i="3" l="1"/>
  <c r="B60" i="3" s="1"/>
  <c r="B61" i="3" l="1"/>
  <c r="B62" i="3" s="1"/>
  <c r="B63" i="3" l="1"/>
  <c r="B64" i="3" s="1"/>
  <c r="B65" i="3" l="1"/>
  <c r="B66" i="3" s="1"/>
  <c r="B67" i="3" l="1"/>
  <c r="B68" i="3" s="1"/>
  <c r="B69" i="3" l="1"/>
  <c r="B70" i="3" l="1"/>
  <c r="B71" i="3" l="1"/>
  <c r="B72" i="3" l="1"/>
  <c r="B73" i="3" l="1"/>
  <c r="B74" i="3" l="1"/>
  <c r="B75" i="3" l="1"/>
  <c r="B76" i="3" l="1"/>
  <c r="B77" i="3" l="1"/>
  <c r="B78" i="3" l="1"/>
  <c r="B79" i="3" l="1"/>
  <c r="B80" i="3" l="1"/>
  <c r="B81" i="3" l="1"/>
  <c r="B82" i="3" l="1"/>
  <c r="B83" i="3" l="1"/>
  <c r="B84" i="3" l="1"/>
  <c r="B85" i="3" l="1"/>
  <c r="B86" i="3" l="1"/>
  <c r="B87" i="3" l="1"/>
  <c r="B88" i="3" l="1"/>
  <c r="B89" i="3" l="1"/>
  <c r="B90" i="3" l="1"/>
  <c r="B91" i="3" l="1"/>
  <c r="B92" i="3" l="1"/>
  <c r="B93" i="3" l="1"/>
  <c r="B94" i="3" l="1"/>
  <c r="B95" i="3" l="1"/>
  <c r="B96" i="3" l="1"/>
  <c r="B97" i="3" l="1"/>
  <c r="B98" i="3" l="1"/>
  <c r="B99" i="3" l="1"/>
  <c r="B100" i="3" l="1"/>
  <c r="B101" i="3" l="1"/>
  <c r="B102" i="3" l="1"/>
  <c r="B103" i="3" l="1"/>
  <c r="B104" i="3" l="1"/>
  <c r="B105" i="3" l="1"/>
  <c r="B106" i="3" l="1"/>
  <c r="B107" i="3" l="1"/>
  <c r="B108" i="3" l="1"/>
  <c r="B109" i="3" l="1"/>
  <c r="B110" i="3" l="1"/>
  <c r="B111" i="3" l="1"/>
  <c r="B112" i="3" l="1"/>
  <c r="B113" i="3" l="1"/>
  <c r="B114" i="3" l="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l="1"/>
  <c r="B151" i="3" l="1"/>
  <c r="B152" i="3" s="1"/>
  <c r="B153" i="3" l="1"/>
  <c r="B154" i="3" s="1"/>
  <c r="B155" i="3" l="1"/>
  <c r="B156" i="3" s="1"/>
  <c r="B157" i="3" s="1"/>
  <c r="B158" i="3" l="1"/>
  <c r="B159" i="3" s="1"/>
  <c r="B160" i="3" s="1"/>
  <c r="B161" i="3" l="1"/>
  <c r="B162" i="3" s="1"/>
  <c r="B163" i="3" l="1"/>
  <c r="B164" i="3" l="1"/>
  <c r="B165" i="3" l="1"/>
  <c r="B166" i="3" s="1"/>
  <c r="B167" i="3" l="1"/>
  <c r="B168" i="3" s="1"/>
  <c r="B169" i="3" s="1"/>
  <c r="B170" i="3" l="1"/>
  <c r="B171" i="3" l="1"/>
  <c r="B172" i="3" s="1"/>
  <c r="B173" i="3" l="1"/>
  <c r="B174" i="3" l="1"/>
  <c r="B175" i="3" s="1"/>
  <c r="B176" i="3" l="1"/>
  <c r="B177" i="3" s="1"/>
  <c r="B178" i="3" l="1"/>
  <c r="B179" i="3" s="1"/>
  <c r="B180" i="3" s="1"/>
  <c r="B181" i="3" l="1"/>
  <c r="B182" i="3" l="1"/>
  <c r="B183" i="3" l="1"/>
  <c r="B184" i="3" l="1"/>
  <c r="B185" i="3" l="1"/>
  <c r="B186" i="3" l="1"/>
  <c r="B187" i="3" l="1"/>
  <c r="B188" i="3" l="1"/>
  <c r="B189" i="3" l="1"/>
  <c r="B190" i="3" l="1"/>
  <c r="B191" i="3" l="1"/>
  <c r="B192" i="3" l="1"/>
  <c r="B193" i="3" l="1"/>
  <c r="B194" i="3" s="1"/>
  <c r="B195" i="3" l="1"/>
  <c r="B196" i="3" l="1"/>
  <c r="B197" i="3" l="1"/>
  <c r="B198" i="3" l="1"/>
  <c r="B199" i="3" l="1"/>
  <c r="B200" i="3" s="1"/>
  <c r="B201" i="3" l="1"/>
  <c r="B202" i="3" l="1"/>
  <c r="B203" i="3" l="1"/>
  <c r="B204" i="3" l="1"/>
  <c r="B205" i="3" l="1"/>
  <c r="B206" i="3" l="1"/>
  <c r="B207" i="3" l="1"/>
  <c r="B208" i="3" l="1"/>
  <c r="B209" i="3" l="1"/>
  <c r="B210" i="3" l="1"/>
  <c r="B211" i="3" l="1"/>
  <c r="B212" i="3" l="1"/>
  <c r="B213" i="3" l="1"/>
  <c r="B214" i="3" l="1"/>
  <c r="B215" i="3" l="1"/>
  <c r="B216" i="3" l="1"/>
  <c r="B217" i="3" l="1"/>
  <c r="B218" i="3" l="1"/>
  <c r="B219" i="3" l="1"/>
  <c r="B220" i="3" l="1"/>
  <c r="B221" i="3" l="1"/>
  <c r="B222" i="3" l="1"/>
  <c r="B223" i="3" l="1"/>
  <c r="B224" i="3" l="1"/>
  <c r="B225" i="3" l="1"/>
  <c r="B226" i="3" l="1"/>
  <c r="B227" i="3" l="1"/>
  <c r="B228" i="3" l="1"/>
  <c r="B229" i="3" l="1"/>
  <c r="B230" i="3" l="1"/>
  <c r="B231" i="3" l="1"/>
  <c r="B232" i="3" l="1"/>
  <c r="B233" i="3" l="1"/>
  <c r="B234" i="3" l="1"/>
  <c r="B235" i="3" l="1"/>
  <c r="B236" i="3" l="1"/>
  <c r="B237" i="3" l="1"/>
  <c r="B238" i="3" l="1"/>
  <c r="B239" i="3" l="1"/>
  <c r="B240" i="3" l="1"/>
  <c r="B241" i="3" l="1"/>
  <c r="B242" i="3" l="1"/>
  <c r="B243" i="3" l="1"/>
  <c r="B244" i="3" l="1"/>
  <c r="B245" i="3" l="1"/>
  <c r="B246" i="3" l="1"/>
  <c r="B247" i="3" l="1"/>
  <c r="B248" i="3" l="1"/>
  <c r="B249" i="3" l="1"/>
  <c r="B250" i="3" l="1"/>
  <c r="B251" i="3" l="1"/>
  <c r="B252" i="3" l="1"/>
  <c r="B253" i="3" l="1"/>
  <c r="B254" i="3" l="1"/>
  <c r="B255" i="3" l="1"/>
  <c r="B256" i="3" l="1"/>
  <c r="B257" i="3" l="1"/>
  <c r="B258" i="3" l="1"/>
  <c r="B259" i="3" l="1"/>
  <c r="B260" i="3" l="1"/>
  <c r="B261" i="3" l="1"/>
  <c r="B262" i="3" l="1"/>
  <c r="B263" i="3" l="1"/>
  <c r="B264" i="3" l="1"/>
  <c r="B265" i="3" l="1"/>
  <c r="B266" i="3" l="1"/>
  <c r="B267" i="3" l="1"/>
  <c r="B268" i="3" l="1"/>
  <c r="B269" i="3" l="1"/>
  <c r="B270" i="3" l="1"/>
  <c r="B271" i="3" l="1"/>
  <c r="B272" i="3" l="1"/>
  <c r="B273" i="3" l="1"/>
  <c r="B274" i="3" l="1"/>
  <c r="B275" i="3" l="1"/>
  <c r="B276" i="3" l="1"/>
  <c r="B277" i="3" l="1"/>
  <c r="B278" i="3" l="1"/>
  <c r="B279" i="3" l="1"/>
  <c r="B280" i="3" l="1"/>
  <c r="B281" i="3" l="1"/>
  <c r="B282" i="3" l="1"/>
  <c r="B283" i="3" l="1"/>
  <c r="B284" i="3" l="1"/>
  <c r="B285" i="3" l="1"/>
  <c r="B286" i="3" l="1"/>
  <c r="B287" i="3" l="1"/>
  <c r="B288" i="3" l="1"/>
  <c r="B289" i="3" l="1"/>
  <c r="B290" i="3" l="1"/>
  <c r="B291" i="3" l="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l="1"/>
  <c r="B399" i="3" s="1"/>
  <c r="B400" i="3" l="1"/>
  <c r="B401" i="3" s="1"/>
  <c r="B402" i="3" l="1"/>
  <c r="B403" i="3" s="1"/>
  <c r="B404" i="3" l="1"/>
  <c r="B405" i="3" l="1"/>
  <c r="B406" i="3" l="1"/>
  <c r="B407" i="3" l="1"/>
  <c r="B408" i="3" l="1"/>
  <c r="B409" i="3" s="1"/>
  <c r="B410" i="3" s="1"/>
  <c r="B411" i="3" l="1"/>
  <c r="B412" i="3" s="1"/>
  <c r="B413" i="3" s="1"/>
  <c r="B414" i="3" l="1"/>
  <c r="B415" i="3" l="1"/>
  <c r="B416" i="3" l="1"/>
  <c r="B417" i="3" l="1"/>
  <c r="B418" i="3" l="1"/>
  <c r="B419" i="3" l="1"/>
  <c r="B420" i="3" l="1"/>
  <c r="B421" i="3" l="1"/>
  <c r="B422" i="3" l="1"/>
  <c r="B423" i="3" l="1"/>
  <c r="B424" i="3" l="1"/>
  <c r="B425" i="3" l="1"/>
  <c r="B426" i="3" l="1"/>
  <c r="B427" i="3" l="1"/>
  <c r="B428" i="3" l="1"/>
  <c r="B429" i="3" l="1"/>
  <c r="B430" i="3" l="1"/>
  <c r="B431" i="3" l="1"/>
  <c r="B432" i="3" s="1"/>
  <c r="B433" i="3" l="1"/>
  <c r="B434" i="3" l="1"/>
  <c r="B435" i="3" l="1"/>
  <c r="B436" i="3" l="1"/>
  <c r="B437" i="3" l="1"/>
  <c r="B438" i="3" l="1"/>
  <c r="B439" i="3" l="1"/>
  <c r="B440" i="3" l="1"/>
  <c r="B441" i="3" l="1"/>
  <c r="B442" i="3" l="1"/>
  <c r="B443" i="3" l="1"/>
  <c r="B444" i="3" l="1"/>
  <c r="B445" i="3" l="1"/>
  <c r="B446" i="3" l="1"/>
  <c r="B447" i="3" l="1"/>
  <c r="B448" i="3" l="1"/>
  <c r="B449" i="3" l="1"/>
  <c r="B450" i="3" l="1"/>
  <c r="B451" i="3" l="1"/>
  <c r="B452" i="3" l="1"/>
  <c r="B453" i="3" l="1"/>
  <c r="B454" i="3" l="1"/>
  <c r="B455" i="3" l="1"/>
  <c r="B456" i="3" l="1"/>
  <c r="B457" i="3" l="1"/>
  <c r="B458" i="3" l="1"/>
  <c r="B459" i="3" l="1"/>
  <c r="B460" i="3" l="1"/>
  <c r="B461" i="3" l="1"/>
  <c r="B462" i="3" l="1"/>
  <c r="B463" i="3" l="1"/>
  <c r="B464" i="3" l="1"/>
  <c r="B465" i="3" l="1"/>
  <c r="B466" i="3" l="1"/>
  <c r="B467" i="3" l="1"/>
  <c r="B468" i="3" l="1"/>
  <c r="B469" i="3" l="1"/>
  <c r="B470" i="3" l="1"/>
  <c r="B471" i="3" l="1"/>
  <c r="B472" i="3" l="1"/>
  <c r="B473" i="3" l="1"/>
  <c r="B474" i="3" l="1"/>
  <c r="B475" i="3" l="1"/>
  <c r="B476" i="3" l="1"/>
  <c r="B477" i="3" l="1"/>
  <c r="B478" i="3" l="1"/>
  <c r="B479" i="3" l="1"/>
  <c r="B480" i="3" l="1"/>
  <c r="B481" i="3" l="1"/>
  <c r="B482" i="3" l="1"/>
  <c r="B483" i="3" l="1"/>
  <c r="B484" i="3" l="1"/>
  <c r="B485" i="3" l="1"/>
  <c r="B486" i="3" l="1"/>
  <c r="B487" i="3" l="1"/>
  <c r="B488" i="3" l="1"/>
  <c r="B489" i="3" l="1"/>
  <c r="B490" i="3" l="1"/>
  <c r="B491" i="3" l="1"/>
  <c r="B492" i="3" l="1"/>
  <c r="B493" i="3" l="1"/>
  <c r="B494" i="3" l="1"/>
  <c r="B495" i="3" l="1"/>
  <c r="B496" i="3" l="1"/>
  <c r="B497" i="3" l="1"/>
  <c r="B498" i="3" l="1"/>
  <c r="B499" i="3" l="1"/>
  <c r="B500" i="3" l="1"/>
  <c r="B501" i="3" l="1"/>
  <c r="B502" i="3" l="1"/>
  <c r="B503" i="3" l="1"/>
  <c r="B504" i="3" l="1"/>
  <c r="B505" i="3" l="1"/>
  <c r="B506" i="3" l="1"/>
  <c r="B507" i="3" l="1"/>
  <c r="B508" i="3" l="1"/>
  <c r="B509" i="3" l="1"/>
  <c r="B510" i="3" l="1"/>
  <c r="B511" i="3" l="1"/>
  <c r="B512" i="3" l="1"/>
  <c r="B513" i="3" l="1"/>
  <c r="B514" i="3" l="1"/>
  <c r="B515" i="3" l="1"/>
  <c r="B516" i="3" l="1"/>
  <c r="B517" i="3" l="1"/>
  <c r="B518" i="3" l="1"/>
  <c r="B519" i="3" l="1"/>
  <c r="B520" i="3" l="1"/>
  <c r="B521" i="3" l="1"/>
  <c r="B522" i="3" l="1"/>
  <c r="B523" i="3" l="1"/>
  <c r="B524" i="3" l="1"/>
  <c r="B525" i="3" l="1"/>
  <c r="B526" i="3" l="1"/>
  <c r="B527" i="3" l="1"/>
  <c r="B528" i="3" l="1"/>
  <c r="B529" i="3" l="1"/>
  <c r="B530" i="3" l="1"/>
  <c r="B531" i="3" l="1"/>
  <c r="B532" i="3" l="1"/>
  <c r="B533" i="3" l="1"/>
  <c r="B534" i="3" l="1"/>
  <c r="B535" i="3" l="1"/>
  <c r="B536" i="3" l="1"/>
  <c r="B537" i="3" l="1"/>
  <c r="B538" i="3" l="1"/>
  <c r="B539" i="3" l="1"/>
  <c r="B540" i="3" l="1"/>
  <c r="B541" i="3" l="1"/>
  <c r="B542" i="3" l="1"/>
  <c r="B543" i="3" l="1"/>
  <c r="B544" i="3" l="1"/>
  <c r="B545" i="3" l="1"/>
  <c r="B546" i="3" l="1"/>
  <c r="B547" i="3" l="1"/>
  <c r="B548" i="3" l="1"/>
  <c r="B549" i="3" l="1"/>
  <c r="B550" i="3" l="1"/>
  <c r="B551" i="3" l="1"/>
  <c r="B552" i="3" l="1"/>
  <c r="B553" i="3" l="1"/>
  <c r="B554" i="3" l="1"/>
  <c r="B555" i="3" l="1"/>
  <c r="B556" i="3" l="1"/>
  <c r="B557" i="3" l="1"/>
  <c r="B558" i="3" l="1"/>
  <c r="B559" i="3" l="1"/>
  <c r="B560" i="3" l="1"/>
  <c r="B561" i="3" l="1"/>
  <c r="B562" i="3" l="1"/>
  <c r="B563" i="3" l="1"/>
  <c r="B564" i="3" l="1"/>
  <c r="B565" i="3" l="1"/>
  <c r="B566" i="3" l="1"/>
  <c r="B567" i="3" l="1"/>
  <c r="B568" i="3" l="1"/>
  <c r="B569" i="3" l="1"/>
  <c r="B570" i="3" l="1"/>
  <c r="B571" i="3" l="1"/>
  <c r="B572" i="3" l="1"/>
  <c r="B573" i="3" l="1"/>
  <c r="B574" i="3" l="1"/>
  <c r="B575" i="3" l="1"/>
  <c r="B576" i="3" l="1"/>
  <c r="B577" i="3" l="1"/>
  <c r="B578" i="3" l="1"/>
  <c r="B579" i="3" l="1"/>
  <c r="B580" i="3" l="1"/>
  <c r="B581" i="3" l="1"/>
  <c r="B582" i="3" l="1"/>
  <c r="B583" i="3" l="1"/>
  <c r="B584" i="3" l="1"/>
  <c r="B585" i="3" l="1"/>
  <c r="B586" i="3" l="1"/>
  <c r="B587" i="3" l="1"/>
  <c r="B588" i="3" l="1"/>
  <c r="B589" i="3" l="1"/>
  <c r="B590" i="3" l="1"/>
  <c r="B591" i="3" l="1"/>
  <c r="B592" i="3" l="1"/>
  <c r="B593" i="3" l="1"/>
  <c r="B594" i="3" l="1"/>
  <c r="B595" i="3" l="1"/>
  <c r="B596" i="3" l="1"/>
  <c r="B597" i="3" l="1"/>
  <c r="B598" i="3" l="1"/>
  <c r="B599" i="3" l="1"/>
  <c r="B600" i="3" l="1"/>
  <c r="B601" i="3" l="1"/>
  <c r="B602" i="3" l="1"/>
  <c r="B603" i="3" l="1"/>
  <c r="B604" i="3" l="1"/>
  <c r="B605" i="3" l="1"/>
  <c r="B606" i="3" l="1"/>
  <c r="B607" i="3" l="1"/>
  <c r="B608" i="3" l="1"/>
  <c r="B609" i="3" l="1"/>
  <c r="B610" i="3" l="1"/>
  <c r="B611" i="3" l="1"/>
  <c r="B612" i="3" l="1"/>
  <c r="B613" i="3" l="1"/>
  <c r="B614" i="3" l="1"/>
  <c r="B615" i="3" l="1"/>
  <c r="B616" i="3" l="1"/>
  <c r="B617" i="3" l="1"/>
  <c r="B618" i="3" l="1"/>
  <c r="B619" i="3" l="1"/>
  <c r="B620" i="3" l="1"/>
  <c r="B621" i="3" l="1"/>
  <c r="B622" i="3" l="1"/>
  <c r="B623" i="3" l="1"/>
  <c r="B624" i="3" l="1"/>
  <c r="B625" i="3" l="1"/>
  <c r="B626" i="3" l="1"/>
  <c r="B627" i="3" l="1"/>
  <c r="B628" i="3" l="1"/>
  <c r="B629" i="3" l="1"/>
  <c r="B630" i="3" l="1"/>
  <c r="B631" i="3" l="1"/>
  <c r="B632" i="3" l="1"/>
  <c r="B633" i="3" l="1"/>
  <c r="B634" i="3" l="1"/>
  <c r="B635" i="3" l="1"/>
  <c r="B636" i="3" l="1"/>
  <c r="B637" i="3" l="1"/>
  <c r="B638" i="3" l="1"/>
  <c r="B639" i="3" l="1"/>
  <c r="B640" i="3" l="1"/>
  <c r="B641" i="3" l="1"/>
  <c r="B642" i="3" l="1"/>
  <c r="B643" i="3" l="1"/>
  <c r="B644" i="3" l="1"/>
  <c r="B645" i="3" l="1"/>
  <c r="B646" i="3" l="1"/>
  <c r="B647" i="3" l="1"/>
  <c r="B648" i="3" l="1"/>
  <c r="B649" i="3" l="1"/>
  <c r="B650" i="3" l="1"/>
  <c r="B651" i="3" l="1"/>
  <c r="B652" i="3" l="1"/>
  <c r="B653" i="3" l="1"/>
  <c r="B654" i="3" l="1"/>
  <c r="B655" i="3" l="1"/>
  <c r="B656" i="3" l="1"/>
  <c r="B657" i="3" l="1"/>
  <c r="B658" i="3" l="1"/>
  <c r="B659" i="3" l="1"/>
  <c r="B660" i="3" l="1"/>
  <c r="B661" i="3" l="1"/>
  <c r="B662" i="3" l="1"/>
  <c r="B663" i="3" l="1"/>
  <c r="B664" i="3" l="1"/>
  <c r="B665" i="3" l="1"/>
  <c r="B666" i="3" l="1"/>
  <c r="B667" i="3" l="1"/>
  <c r="B668" i="3" l="1"/>
  <c r="B669" i="3" l="1"/>
  <c r="B670" i="3" l="1"/>
  <c r="B671" i="3" l="1"/>
  <c r="B672" i="3" l="1"/>
  <c r="B673" i="3" l="1"/>
  <c r="B674" i="3" l="1"/>
  <c r="B675" i="3" l="1"/>
  <c r="B676" i="3" l="1"/>
  <c r="B677" i="3" l="1"/>
  <c r="B678" i="3" l="1"/>
  <c r="B679" i="3" l="1"/>
  <c r="B680" i="3" l="1"/>
  <c r="B681" i="3" l="1"/>
  <c r="B682" i="3" l="1"/>
  <c r="B683" i="3" l="1"/>
  <c r="B684" i="3" l="1"/>
  <c r="B685" i="3" l="1"/>
  <c r="B686" i="3" l="1"/>
  <c r="B687" i="3" l="1"/>
  <c r="B688" i="3" l="1"/>
  <c r="B689" i="3" l="1"/>
  <c r="B690" i="3" l="1"/>
  <c r="B691" i="3" l="1"/>
  <c r="B692" i="3" l="1"/>
  <c r="B693" i="3" l="1"/>
  <c r="B694" i="3" l="1"/>
  <c r="B695" i="3" l="1"/>
  <c r="B696" i="3" l="1"/>
  <c r="B697" i="3" l="1"/>
  <c r="B698" i="3" l="1"/>
  <c r="B699" i="3" l="1"/>
  <c r="B700" i="3" l="1"/>
  <c r="B701" i="3" l="1"/>
  <c r="B702" i="3" l="1"/>
  <c r="B703" i="3" l="1"/>
  <c r="B704" i="3" l="1"/>
  <c r="B705" i="3" l="1"/>
  <c r="B706" i="3" l="1"/>
  <c r="B707" i="3" l="1"/>
  <c r="B708" i="3" l="1"/>
  <c r="B709" i="3" l="1"/>
  <c r="B710" i="3" l="1"/>
  <c r="B711" i="3" l="1"/>
  <c r="B712" i="3" l="1"/>
  <c r="B713" i="3" l="1"/>
  <c r="B714" i="3" l="1"/>
  <c r="B715" i="3" l="1"/>
  <c r="B716" i="3" l="1"/>
  <c r="B717" i="3" l="1"/>
  <c r="B718" i="3" l="1"/>
  <c r="B719" i="3" l="1"/>
  <c r="B720" i="3" l="1"/>
  <c r="B721" i="3" l="1"/>
  <c r="B722" i="3" l="1"/>
  <c r="B723" i="3" l="1"/>
  <c r="B724" i="3" l="1"/>
  <c r="B725" i="3" l="1"/>
  <c r="B726" i="3" l="1"/>
  <c r="B727" i="3" l="1"/>
  <c r="B728" i="3" l="1"/>
  <c r="B729" i="3" l="1"/>
  <c r="B730" i="3" l="1"/>
  <c r="B731" i="3" l="1"/>
  <c r="B732" i="3" l="1"/>
  <c r="B733" i="3" l="1"/>
  <c r="B734" i="3" l="1"/>
  <c r="B735" i="3" l="1"/>
  <c r="B736" i="3" l="1"/>
  <c r="B737" i="3" l="1"/>
  <c r="B738" i="3" l="1"/>
  <c r="B739" i="3" l="1"/>
  <c r="B740" i="3" l="1"/>
  <c r="B741" i="3" l="1"/>
  <c r="B742" i="3" l="1"/>
  <c r="B743" i="3" l="1"/>
  <c r="B744" i="3" l="1"/>
  <c r="B745" i="3" l="1"/>
  <c r="B746" i="3" l="1"/>
  <c r="B747" i="3" l="1"/>
  <c r="B748" i="3" l="1"/>
  <c r="B749" i="3" l="1"/>
  <c r="B750" i="3" l="1"/>
  <c r="B751" i="3" l="1"/>
  <c r="B752" i="3" l="1"/>
  <c r="B753" i="3" l="1"/>
  <c r="B754" i="3" l="1"/>
  <c r="B755" i="3" l="1"/>
  <c r="B756" i="3" l="1"/>
  <c r="B757" i="3" l="1"/>
  <c r="B758" i="3" l="1"/>
  <c r="B759" i="3" l="1"/>
  <c r="B760" i="3" l="1"/>
  <c r="B761" i="3" l="1"/>
  <c r="B762" i="3" l="1"/>
  <c r="B763" i="3" l="1"/>
  <c r="B764" i="3" l="1"/>
  <c r="B765" i="3" l="1"/>
  <c r="B766" i="3" l="1"/>
  <c r="B767" i="3" l="1"/>
  <c r="B768" i="3" l="1"/>
  <c r="B769" i="3" l="1"/>
  <c r="B770" i="3" l="1"/>
  <c r="B771" i="3" l="1"/>
  <c r="B772" i="3" l="1"/>
  <c r="B773" i="3" l="1"/>
  <c r="B774" i="3" l="1"/>
  <c r="B775" i="3" l="1"/>
  <c r="B776" i="3" l="1"/>
  <c r="B777" i="3" l="1"/>
  <c r="B778" i="3" l="1"/>
  <c r="B779" i="3" l="1"/>
  <c r="B780" i="3" l="1"/>
  <c r="B781" i="3" l="1"/>
  <c r="B782" i="3" l="1"/>
  <c r="B783" i="3" l="1"/>
  <c r="B784" i="3" l="1"/>
  <c r="B785" i="3" l="1"/>
  <c r="B786" i="3" l="1"/>
  <c r="B787" i="3" l="1"/>
  <c r="B788" i="3" l="1"/>
  <c r="B789" i="3" l="1"/>
  <c r="B790" i="3" l="1"/>
  <c r="B791" i="3" l="1"/>
  <c r="B792" i="3" l="1"/>
  <c r="B793" i="3" l="1"/>
  <c r="B794" i="3" l="1"/>
  <c r="B795" i="3" l="1"/>
  <c r="B796" i="3" l="1"/>
  <c r="B797" i="3" l="1"/>
  <c r="B798" i="3" l="1"/>
  <c r="B799" i="3" l="1"/>
  <c r="B800" i="3" l="1"/>
  <c r="B801" i="3" l="1"/>
  <c r="B802" i="3" l="1"/>
  <c r="B803" i="3" l="1"/>
  <c r="B804" i="3" l="1"/>
  <c r="B805" i="3" l="1"/>
  <c r="B806" i="3" l="1"/>
  <c r="B807" i="3" l="1"/>
  <c r="B808" i="3" l="1"/>
  <c r="B809" i="3" l="1"/>
  <c r="B810" i="3" l="1"/>
  <c r="B811" i="3" l="1"/>
  <c r="B812" i="3" l="1"/>
  <c r="B813" i="3" l="1"/>
  <c r="B814" i="3" l="1"/>
  <c r="B815" i="3" l="1"/>
  <c r="B816" i="3" l="1"/>
  <c r="B817" i="3" l="1"/>
  <c r="B818" i="3" l="1"/>
  <c r="B819" i="3" l="1"/>
  <c r="B820" i="3" l="1"/>
  <c r="B821" i="3" l="1"/>
  <c r="B822" i="3" l="1"/>
  <c r="B823" i="3" l="1"/>
  <c r="B824" i="3" l="1"/>
  <c r="B825" i="3" l="1"/>
  <c r="B826" i="3" l="1"/>
  <c r="B827" i="3" l="1"/>
  <c r="B828" i="3" l="1"/>
  <c r="B829" i="3" l="1"/>
  <c r="B830" i="3" l="1"/>
  <c r="B831" i="3" l="1"/>
  <c r="B832" i="3" l="1"/>
  <c r="B833" i="3" l="1"/>
  <c r="B834" i="3" l="1"/>
  <c r="B835" i="3" l="1"/>
  <c r="B836" i="3" l="1"/>
  <c r="B837" i="3" l="1"/>
  <c r="B838" i="3" l="1"/>
  <c r="B839" i="3" l="1"/>
  <c r="B840" i="3" l="1"/>
  <c r="B841" i="3" l="1"/>
  <c r="B842" i="3" l="1"/>
  <c r="B843" i="3" l="1"/>
  <c r="B844" i="3" l="1"/>
  <c r="B845" i="3" l="1"/>
  <c r="B846" i="3" l="1"/>
  <c r="B847" i="3" l="1"/>
  <c r="B848" i="3" l="1"/>
  <c r="B849" i="3" l="1"/>
  <c r="B850" i="3" l="1"/>
  <c r="B851" i="3" l="1"/>
  <c r="B852" i="3" l="1"/>
  <c r="B853" i="3" l="1"/>
  <c r="B854" i="3" l="1"/>
  <c r="B855" i="3" l="1"/>
  <c r="B856" i="3" l="1"/>
  <c r="B857" i="3" l="1"/>
  <c r="B858" i="3" l="1"/>
  <c r="B859" i="3" l="1"/>
  <c r="B860" i="3" l="1"/>
  <c r="B861" i="3" l="1"/>
  <c r="B862" i="3" l="1"/>
  <c r="B863" i="3" l="1"/>
  <c r="B864" i="3" l="1"/>
  <c r="B865" i="3" l="1"/>
  <c r="B866" i="3" l="1"/>
  <c r="B867" i="3" l="1"/>
  <c r="B868" i="3" l="1"/>
  <c r="B869" i="3" l="1"/>
  <c r="B870" i="3" l="1"/>
  <c r="B871" i="3" l="1"/>
  <c r="B872" i="3" l="1"/>
  <c r="B873" i="3" l="1"/>
  <c r="B874" i="3" l="1"/>
  <c r="B875" i="3" l="1"/>
  <c r="B876" i="3" l="1"/>
  <c r="B877" i="3" l="1"/>
  <c r="B878" i="3" l="1"/>
  <c r="B879" i="3" l="1"/>
  <c r="B880" i="3" l="1"/>
  <c r="B881" i="3" l="1"/>
  <c r="B882" i="3" l="1"/>
  <c r="B883" i="3" l="1"/>
  <c r="B884" i="3" l="1"/>
  <c r="B885" i="3" l="1"/>
  <c r="B886" i="3" l="1"/>
  <c r="B887" i="3" l="1"/>
  <c r="B888" i="3" l="1"/>
  <c r="B889" i="3" l="1"/>
  <c r="B890" i="3" l="1"/>
  <c r="B891" i="3" l="1"/>
  <c r="B892" i="3" l="1"/>
  <c r="B893" i="3" l="1"/>
  <c r="B894" i="3" l="1"/>
  <c r="B895" i="3" l="1"/>
  <c r="B896" i="3" l="1"/>
  <c r="B897" i="3" l="1"/>
  <c r="B898" i="3" l="1"/>
  <c r="B899" i="3" l="1"/>
  <c r="B900" i="3" l="1"/>
  <c r="B901" i="3" l="1"/>
  <c r="B902" i="3" l="1"/>
  <c r="B903" i="3" l="1"/>
  <c r="B904" i="3" l="1"/>
  <c r="B905" i="3" l="1"/>
  <c r="B906" i="3" l="1"/>
  <c r="B907" i="3" l="1"/>
  <c r="B908" i="3" l="1"/>
  <c r="B909" i="3" l="1"/>
  <c r="B910" i="3" l="1"/>
  <c r="B911" i="3" l="1"/>
  <c r="B912" i="3" l="1"/>
  <c r="B913" i="3" l="1"/>
  <c r="B914" i="3" l="1"/>
  <c r="B915" i="3" l="1"/>
  <c r="B916" i="3" l="1"/>
  <c r="B917" i="3" l="1"/>
  <c r="B918" i="3" l="1"/>
  <c r="B919" i="3" l="1"/>
  <c r="B920" i="3" l="1"/>
  <c r="B921" i="3" l="1"/>
  <c r="B922" i="3" l="1"/>
  <c r="B923" i="3" l="1"/>
  <c r="B924" i="3" l="1"/>
  <c r="B925" i="3" l="1"/>
  <c r="B926" i="3" l="1"/>
  <c r="B927" i="3" l="1"/>
  <c r="B928" i="3" l="1"/>
  <c r="B929" i="3" l="1"/>
  <c r="B930" i="3" l="1"/>
  <c r="B931" i="3" l="1"/>
  <c r="B932" i="3" l="1"/>
  <c r="B933" i="3" l="1"/>
  <c r="B934" i="3" l="1"/>
  <c r="B935" i="3" l="1"/>
  <c r="B936" i="3" l="1"/>
  <c r="B937" i="3" l="1"/>
  <c r="B938" i="3" l="1"/>
  <c r="B939" i="3" l="1"/>
  <c r="B940" i="3" l="1"/>
  <c r="B941" i="3" l="1"/>
  <c r="B942" i="3" l="1"/>
  <c r="B943" i="3" l="1"/>
  <c r="B944" i="3" l="1"/>
  <c r="B945" i="3" l="1"/>
  <c r="B946" i="3" l="1"/>
  <c r="B947" i="3" l="1"/>
  <c r="B948" i="3" l="1"/>
  <c r="B949" i="3" l="1"/>
  <c r="B950" i="3" l="1"/>
  <c r="B951" i="3" l="1"/>
  <c r="B952" i="3" l="1"/>
  <c r="B953" i="3" l="1"/>
  <c r="B954" i="3" l="1"/>
  <c r="B955" i="3" l="1"/>
  <c r="B956" i="3" l="1"/>
  <c r="B957" i="3" l="1"/>
  <c r="B958" i="3" l="1"/>
  <c r="B959" i="3" l="1"/>
  <c r="B960" i="3" l="1"/>
  <c r="B961" i="3" l="1"/>
  <c r="B962" i="3" l="1"/>
  <c r="B963" i="3" l="1"/>
  <c r="B964" i="3" l="1"/>
  <c r="B965" i="3" l="1"/>
  <c r="B966" i="3" l="1"/>
  <c r="B967" i="3" l="1"/>
  <c r="B968" i="3" l="1"/>
  <c r="B969" i="3" l="1"/>
  <c r="B970" i="3" l="1"/>
  <c r="B971" i="3" l="1"/>
  <c r="B972" i="3" l="1"/>
  <c r="B973" i="3" l="1"/>
  <c r="B974" i="3" l="1"/>
  <c r="B975" i="3" l="1"/>
  <c r="B976" i="3" l="1"/>
  <c r="B977" i="3" l="1"/>
  <c r="B978" i="3" l="1"/>
  <c r="B979" i="3" l="1"/>
  <c r="B980" i="3" l="1"/>
  <c r="B981" i="3" l="1"/>
  <c r="B982" i="3" l="1"/>
  <c r="B983" i="3" l="1"/>
  <c r="B984" i="3" l="1"/>
  <c r="B985" i="3" l="1"/>
  <c r="B986" i="3" l="1"/>
  <c r="B987" i="3" l="1"/>
  <c r="B988" i="3" l="1"/>
  <c r="B989" i="3" l="1"/>
  <c r="B990" i="3" l="1"/>
  <c r="B991" i="3" l="1"/>
  <c r="B992" i="3" l="1"/>
  <c r="B993" i="3" l="1"/>
  <c r="B994" i="3" l="1"/>
  <c r="B995" i="3" l="1"/>
  <c r="B996" i="3" l="1"/>
  <c r="B997" i="3" l="1"/>
  <c r="B998" i="3" l="1"/>
  <c r="B999" i="3" l="1"/>
  <c r="B1000" i="3" l="1"/>
  <c r="B1001" i="3" l="1"/>
  <c r="B1002" i="3" l="1"/>
  <c r="B1003" i="3" l="1"/>
  <c r="B1004" i="3" l="1"/>
  <c r="B1005" i="3" l="1"/>
  <c r="B1006" i="3" l="1"/>
  <c r="B1007" i="3" l="1"/>
  <c r="B1008" i="3" l="1"/>
  <c r="B1009" i="3" l="1"/>
  <c r="B1010" i="3" l="1"/>
  <c r="B1011" i="3" l="1"/>
  <c r="B1012" i="3" l="1"/>
  <c r="B1013" i="3" l="1"/>
  <c r="B1014" i="3" l="1"/>
  <c r="B1015" i="3" l="1"/>
  <c r="B1016" i="3" l="1"/>
  <c r="B1017" i="3" l="1"/>
  <c r="B1018" i="3" l="1"/>
  <c r="B1019" i="3" l="1"/>
  <c r="B1020" i="3" l="1"/>
  <c r="B1021" i="3" l="1"/>
  <c r="B1022" i="3" l="1"/>
  <c r="B1023" i="3" l="1"/>
  <c r="B1024" i="3" l="1"/>
  <c r="B1025" i="3" l="1"/>
  <c r="B1026" i="3" l="1"/>
  <c r="B1027" i="3" l="1"/>
  <c r="B1028" i="3" l="1"/>
  <c r="B1029" i="3" l="1"/>
  <c r="B1030" i="3" l="1"/>
  <c r="B1031" i="3" l="1"/>
  <c r="B1032" i="3" l="1"/>
  <c r="B1033" i="3" l="1"/>
  <c r="B1034" i="3" l="1"/>
  <c r="B1035" i="3" l="1"/>
  <c r="B1036" i="3" l="1"/>
  <c r="B1037" i="3" l="1"/>
  <c r="B1038" i="3" l="1"/>
  <c r="B1039" i="3" l="1"/>
  <c r="B1040" i="3" l="1"/>
  <c r="B1041" i="3" l="1"/>
  <c r="B1042" i="3" l="1"/>
  <c r="B1043" i="3" l="1"/>
  <c r="B1044" i="3" l="1"/>
  <c r="B1045" i="3" l="1"/>
  <c r="B1046" i="3" l="1"/>
  <c r="B1047" i="3" l="1"/>
  <c r="B1048" i="3" l="1"/>
  <c r="B1049" i="3" l="1"/>
  <c r="B1050" i="3" l="1"/>
  <c r="B1051" i="3" l="1"/>
  <c r="B1052" i="3" l="1"/>
  <c r="B1053" i="3" l="1"/>
  <c r="B1054" i="3" l="1"/>
  <c r="B1055" i="3" l="1"/>
  <c r="B1056" i="3" l="1"/>
  <c r="B1057" i="3" l="1"/>
  <c r="B1058" i="3" l="1"/>
  <c r="B1059" i="3" l="1"/>
  <c r="B1060" i="3" l="1"/>
  <c r="B1061" i="3" l="1"/>
  <c r="B1062" i="3" l="1"/>
  <c r="B1063" i="3" l="1"/>
  <c r="B1064" i="3" l="1"/>
  <c r="B1065" i="3" l="1"/>
  <c r="B1066" i="3" l="1"/>
  <c r="B1067" i="3" l="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l="1"/>
  <c r="B1527" i="3" s="1"/>
  <c r="B1528" i="3" l="1"/>
  <c r="B1529" i="3" l="1"/>
  <c r="B1530" i="3" l="1"/>
  <c r="B1531" i="3" s="1"/>
  <c r="B1532" i="3" l="1"/>
  <c r="B1533" i="3" l="1"/>
  <c r="B1534" i="3" s="1"/>
  <c r="B1535" i="3" l="1"/>
  <c r="B1536" i="3" l="1"/>
  <c r="B1537" i="3" s="1"/>
  <c r="B1538" i="3" l="1"/>
  <c r="B1539" i="3" s="1"/>
  <c r="B1540" i="3" l="1"/>
  <c r="B1541" i="3" s="1"/>
  <c r="B1542" i="3" l="1"/>
  <c r="B1543" i="3" l="1"/>
  <c r="B1544" i="3" l="1"/>
  <c r="B1545" i="3" l="1"/>
  <c r="B1546" i="3" l="1"/>
  <c r="B1547" i="3" l="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l="1"/>
  <c r="B1696" i="3" l="1"/>
  <c r="B1697" i="3" l="1"/>
  <c r="B1698" i="3" l="1"/>
  <c r="B1699" i="3" l="1"/>
  <c r="B1700" i="3" l="1"/>
  <c r="B1701" i="3" l="1"/>
  <c r="B1702" i="3" l="1"/>
  <c r="B1703" i="3" l="1"/>
  <c r="B1704" i="3" l="1"/>
  <c r="B1705" i="3" l="1"/>
  <c r="B1706" i="3" l="1"/>
  <c r="B1707" i="3" l="1"/>
  <c r="B1708" i="3" l="1"/>
  <c r="B1709" i="3" l="1"/>
  <c r="B1710" i="3" l="1"/>
  <c r="B1711" i="3" l="1"/>
  <c r="B1712" i="3" l="1"/>
  <c r="B1713" i="3" l="1"/>
  <c r="B1714" i="3" l="1"/>
  <c r="B1715" i="3" l="1"/>
  <c r="B1716" i="3" l="1"/>
  <c r="B1717" i="3" l="1"/>
  <c r="B1718" i="3" l="1"/>
  <c r="B1719" i="3" l="1"/>
  <c r="B1720" i="3" l="1"/>
  <c r="B1721" i="3" l="1"/>
  <c r="B1722" i="3" l="1"/>
  <c r="B1723" i="3" l="1"/>
  <c r="B1724" i="3" l="1"/>
  <c r="B1725" i="3" l="1"/>
  <c r="B1726" i="3" l="1"/>
  <c r="B1727" i="3" l="1"/>
  <c r="B1728" i="3" l="1"/>
  <c r="B1729" i="3" l="1"/>
  <c r="B1730" i="3" l="1"/>
  <c r="B1731" i="3" l="1"/>
  <c r="B1732" i="3" l="1"/>
  <c r="B1733" i="3" l="1"/>
  <c r="B1734" i="3" l="1"/>
  <c r="B1735" i="3" l="1"/>
  <c r="B1736" i="3" l="1"/>
  <c r="B1737" i="3" l="1"/>
  <c r="B1738" i="3" l="1"/>
  <c r="B1739" i="3" l="1"/>
  <c r="B1740" i="3" l="1"/>
  <c r="B1741" i="3" l="1"/>
  <c r="B1742" i="3" l="1"/>
  <c r="B1743" i="3" l="1"/>
  <c r="B1744" i="3" l="1"/>
  <c r="B1745" i="3" l="1"/>
  <c r="B1746" i="3" l="1"/>
  <c r="B1747" i="3" l="1"/>
  <c r="B1748" i="3" l="1"/>
  <c r="B1749" i="3" l="1"/>
  <c r="B1750" i="3" l="1"/>
  <c r="B1751" i="3" l="1"/>
  <c r="B1752" i="3" l="1"/>
  <c r="B1753" i="3" l="1"/>
  <c r="B1754" i="3" l="1"/>
  <c r="B1755" i="3" l="1"/>
  <c r="B1756" i="3" l="1"/>
  <c r="B1757" i="3" l="1"/>
  <c r="B1758" i="3" l="1"/>
  <c r="B1759" i="3" l="1"/>
  <c r="B1760" i="3" l="1"/>
  <c r="B1761" i="3" l="1"/>
  <c r="B1762" i="3" l="1"/>
  <c r="B1763" i="3" l="1"/>
  <c r="B1764" i="3" l="1"/>
  <c r="B1765" i="3" l="1"/>
  <c r="B1766" i="3" l="1"/>
  <c r="B1767" i="3" l="1"/>
  <c r="B1768" i="3" l="1"/>
  <c r="B1769" i="3" l="1"/>
  <c r="B1770" i="3" l="1"/>
  <c r="B1771" i="3" l="1"/>
  <c r="B1772" i="3" l="1"/>
  <c r="B1773" i="3" l="1"/>
  <c r="B1774" i="3" l="1"/>
  <c r="B1775" i="3" l="1"/>
  <c r="B1776" i="3" l="1"/>
  <c r="B1777" i="3" l="1"/>
  <c r="B1778" i="3" l="1"/>
  <c r="B1779" i="3" l="1"/>
  <c r="B1780" i="3" l="1"/>
  <c r="B1781" i="3" l="1"/>
  <c r="B1782" i="3" l="1"/>
  <c r="B1783" i="3" l="1"/>
  <c r="B1784" i="3" l="1"/>
  <c r="B1785" i="3" l="1"/>
  <c r="B1786" i="3" l="1"/>
  <c r="B1787" i="3" l="1"/>
  <c r="B1788" i="3" l="1"/>
  <c r="B1789" i="3" l="1"/>
  <c r="B1790" i="3" l="1"/>
  <c r="B1791" i="3" l="1"/>
  <c r="B1792" i="3" l="1"/>
  <c r="B1793" i="3" l="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l="1"/>
  <c r="B1841" i="3" l="1"/>
  <c r="B1842" i="3" l="1"/>
  <c r="B1843" i="3" l="1"/>
  <c r="B1844" i="3" l="1"/>
  <c r="B1845" i="3" l="1"/>
  <c r="B1846" i="3" l="1"/>
  <c r="B1847" i="3" l="1"/>
  <c r="B1848" i="3" l="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l="1"/>
  <c r="B1887" i="3" l="1"/>
  <c r="B1888" i="3" l="1"/>
  <c r="B1889" i="3" l="1"/>
  <c r="B1890" i="3" l="1"/>
  <c r="B1891" i="3" l="1"/>
  <c r="B1892" i="3" l="1"/>
  <c r="B1893" i="3" l="1"/>
  <c r="B1894" i="3" l="1"/>
  <c r="B1895" i="3" l="1"/>
  <c r="B1896" i="3" s="1"/>
  <c r="B1897" i="3" s="1"/>
  <c r="B1898" i="3" s="1"/>
  <c r="B1899" i="3" s="1"/>
  <c r="B1900" i="3" s="1"/>
  <c r="B1901" i="3" s="1"/>
  <c r="B1902" i="3" s="1"/>
  <c r="B1903" i="3" s="1"/>
  <c r="B1904" i="3" l="1"/>
  <c r="B1905" i="3" s="1"/>
  <c r="B1906" i="3" l="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l="1"/>
  <c r="B2063" i="3" l="1"/>
  <c r="B2064" i="3" l="1"/>
  <c r="B2065" i="3" l="1"/>
  <c r="B2066" i="3" l="1"/>
  <c r="B2067" i="3" l="1"/>
  <c r="B2068" i="3" l="1"/>
  <c r="B2069" i="3" l="1"/>
  <c r="B2070" i="3" l="1"/>
  <c r="B2071" i="3" l="1"/>
  <c r="B2072" i="3" l="1"/>
  <c r="B2073" i="3" l="1"/>
  <c r="B2074" i="3" l="1"/>
  <c r="B2075" i="3" l="1"/>
  <c r="B2076" i="3" l="1"/>
  <c r="B2077" i="3" l="1"/>
  <c r="B2078" i="3" l="1"/>
  <c r="B2079" i="3" l="1"/>
  <c r="B2080" i="3" l="1"/>
  <c r="B2081" i="3" l="1"/>
  <c r="B2082" i="3" l="1"/>
  <c r="B2083" i="3" l="1"/>
  <c r="B2084" i="3" l="1"/>
  <c r="B2085" i="3" l="1"/>
  <c r="B2086" i="3" l="1"/>
  <c r="B2087" i="3" l="1"/>
  <c r="B2088" i="3" l="1"/>
  <c r="B2089" i="3" l="1"/>
  <c r="B2090" i="3" l="1"/>
  <c r="B2091" i="3" l="1"/>
  <c r="B2092" i="3" l="1"/>
  <c r="B2093" i="3" l="1"/>
  <c r="B2094" i="3" l="1"/>
  <c r="B2095" i="3" l="1"/>
  <c r="B2096" i="3" l="1"/>
  <c r="B2097" i="3" l="1"/>
  <c r="B2098" i="3" l="1"/>
  <c r="B2099" i="3" l="1"/>
  <c r="B2100" i="3" l="1"/>
  <c r="B2101" i="3" l="1"/>
  <c r="B2102" i="3" l="1"/>
  <c r="B2103" i="3" l="1"/>
  <c r="B2104" i="3" l="1"/>
  <c r="B2105" i="3" l="1"/>
  <c r="B2106" i="3" l="1"/>
  <c r="B2107" i="3" l="1"/>
  <c r="B2108" i="3" l="1"/>
  <c r="B2109" i="3" l="1"/>
  <c r="B2110" i="3" l="1"/>
  <c r="B2111" i="3" l="1"/>
  <c r="B2112" i="3" l="1"/>
  <c r="B2113" i="3" l="1"/>
  <c r="B2114" i="3" l="1"/>
  <c r="B2115" i="3" l="1"/>
  <c r="B2116" i="3" l="1"/>
  <c r="B2117" i="3" l="1"/>
  <c r="B2118" i="3" l="1"/>
  <c r="B2119" i="3" l="1"/>
  <c r="B2120" i="3" l="1"/>
  <c r="B2121" i="3" l="1"/>
  <c r="B2122" i="3" l="1"/>
  <c r="B2123" i="3" l="1"/>
  <c r="B2124" i="3" l="1"/>
  <c r="B2125" i="3" l="1"/>
  <c r="B2126" i="3" l="1"/>
  <c r="B2127" i="3" l="1"/>
  <c r="B2128" i="3" l="1"/>
  <c r="B2129" i="3" l="1"/>
  <c r="B2130" i="3" l="1"/>
  <c r="B2131" i="3" l="1"/>
  <c r="B2132" i="3" l="1"/>
  <c r="B2133" i="3" l="1"/>
  <c r="B2134" i="3" l="1"/>
  <c r="B2135" i="3" l="1"/>
  <c r="B2136" i="3" l="1"/>
  <c r="B2137" i="3" l="1"/>
  <c r="B2138" i="3" l="1"/>
  <c r="B2139" i="3" l="1"/>
  <c r="B2140" i="3" l="1"/>
  <c r="B2141" i="3" l="1"/>
  <c r="B2142" i="3" l="1"/>
  <c r="B2143" i="3" l="1"/>
  <c r="B2144" i="3" l="1"/>
  <c r="B2145" i="3" l="1"/>
  <c r="B2146" i="3" l="1"/>
  <c r="B2147" i="3" l="1"/>
  <c r="B2148" i="3" l="1"/>
  <c r="B2149" i="3" l="1"/>
  <c r="B2150" i="3" l="1"/>
  <c r="B2151" i="3" l="1"/>
  <c r="B2152" i="3" l="1"/>
  <c r="B2153" i="3" l="1"/>
  <c r="B2154" i="3" l="1"/>
  <c r="B2155" i="3" l="1"/>
  <c r="B2156" i="3" l="1"/>
  <c r="B2157" i="3" l="1"/>
  <c r="B2158" i="3" l="1"/>
  <c r="B2159" i="3" l="1"/>
  <c r="B2160" i="3" l="1"/>
  <c r="B2161" i="3" l="1"/>
  <c r="B2162" i="3" l="1"/>
  <c r="B2163" i="3" l="1"/>
  <c r="B2164" i="3" l="1"/>
  <c r="B2165" i="3" l="1"/>
  <c r="B2166" i="3" l="1"/>
  <c r="B2167" i="3" l="1"/>
  <c r="B2168" i="3" l="1"/>
  <c r="B2169" i="3" l="1"/>
  <c r="B2170" i="3" l="1"/>
  <c r="B2171" i="3" l="1"/>
  <c r="B2172" i="3" l="1"/>
  <c r="B2173" i="3" l="1"/>
  <c r="B2174" i="3" l="1"/>
  <c r="B2175" i="3" l="1"/>
  <c r="B2176" i="3" l="1"/>
  <c r="B2177" i="3" l="1"/>
  <c r="B2178" i="3" l="1"/>
  <c r="B2179" i="3" l="1"/>
  <c r="B2180" i="3" l="1"/>
  <c r="B2181" i="3" l="1"/>
  <c r="B2182" i="3" l="1"/>
  <c r="B2183" i="3" l="1"/>
  <c r="B2184" i="3" l="1"/>
  <c r="B2185" i="3" l="1"/>
  <c r="B2186" i="3" l="1"/>
  <c r="B2187" i="3" l="1"/>
  <c r="B2188" i="3" l="1"/>
  <c r="B2189" i="3" l="1"/>
  <c r="B2190" i="3" l="1"/>
  <c r="B2191" i="3" l="1"/>
  <c r="B2192" i="3" l="1"/>
  <c r="B2193" i="3" l="1"/>
  <c r="B2194" i="3" l="1"/>
  <c r="B2195" i="3" l="1"/>
  <c r="B2196" i="3" l="1"/>
  <c r="B2197" i="3" l="1"/>
  <c r="B2198" i="3" l="1"/>
  <c r="B2199" i="3" l="1"/>
  <c r="B2200" i="3" l="1"/>
  <c r="B2201" i="3" l="1"/>
  <c r="B2202" i="3" l="1"/>
  <c r="B2203" i="3" l="1"/>
  <c r="B2204" i="3" l="1"/>
  <c r="B2205" i="3" l="1"/>
  <c r="B2206" i="3" l="1"/>
  <c r="B2207" i="3" l="1"/>
  <c r="B2208" i="3" l="1"/>
  <c r="B2209" i="3" l="1"/>
  <c r="B2210" i="3" l="1"/>
  <c r="B2211" i="3" l="1"/>
  <c r="B2212" i="3" l="1"/>
  <c r="B2213" i="3" l="1"/>
  <c r="B2214" i="3" l="1"/>
  <c r="B2215" i="3" l="1"/>
  <c r="B2216" i="3" l="1"/>
  <c r="B2217" i="3" l="1"/>
  <c r="B2218" i="3" l="1"/>
  <c r="B2219" i="3" l="1"/>
  <c r="B2220" i="3" l="1"/>
  <c r="B2221" i="3" l="1"/>
  <c r="B2222" i="3" l="1"/>
  <c r="B2223" i="3" l="1"/>
  <c r="B2224" i="3" l="1"/>
  <c r="B2225" i="3" l="1"/>
  <c r="B2226" i="3" l="1"/>
  <c r="B2227" i="3" l="1"/>
  <c r="B2228" i="3" l="1"/>
  <c r="B2229" i="3" l="1"/>
  <c r="B2230" i="3" l="1"/>
  <c r="B2231" i="3" l="1"/>
  <c r="B2232" i="3" l="1"/>
  <c r="B2233" i="3" l="1"/>
  <c r="B2234" i="3" l="1"/>
  <c r="B2235" i="3" l="1"/>
  <c r="B2236" i="3" l="1"/>
  <c r="B2237" i="3" l="1"/>
  <c r="B2238" i="3" l="1"/>
  <c r="B2239" i="3" l="1"/>
  <c r="B2240" i="3" l="1"/>
  <c r="B2241" i="3" l="1"/>
  <c r="B2242" i="3" l="1"/>
  <c r="B2243" i="3" l="1"/>
  <c r="B2244" i="3" l="1"/>
  <c r="B2245" i="3" l="1"/>
  <c r="B2246" i="3" l="1"/>
  <c r="B2247" i="3" l="1"/>
  <c r="B2248" i="3" l="1"/>
  <c r="B2249" i="3" l="1"/>
  <c r="B2250" i="3" l="1"/>
  <c r="B2251" i="3" l="1"/>
  <c r="B2252" i="3" l="1"/>
  <c r="B2253" i="3" l="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l="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l="1"/>
  <c r="B2325" i="3" l="1"/>
  <c r="B2326" i="3" l="1"/>
  <c r="B2327" i="3" l="1"/>
  <c r="B2328" i="3" l="1"/>
  <c r="B2329" i="3" l="1"/>
  <c r="B2330" i="3" l="1"/>
  <c r="B2331" i="3" l="1"/>
  <c r="B2332" i="3" l="1"/>
  <c r="B2333" i="3" l="1"/>
  <c r="B2334" i="3" l="1"/>
  <c r="B2335" i="3" l="1"/>
  <c r="B2336" i="3" l="1"/>
  <c r="B2337" i="3" l="1"/>
  <c r="B2338" i="3" l="1"/>
  <c r="B2339" i="3" l="1"/>
  <c r="B2340" i="3" l="1"/>
  <c r="B2341" i="3" l="1"/>
  <c r="B2342" i="3" l="1"/>
  <c r="B2343" i="3" l="1"/>
  <c r="B2344" i="3" l="1"/>
  <c r="B2345" i="3" l="1"/>
  <c r="B2346" i="3" l="1"/>
  <c r="B2347" i="3" l="1"/>
  <c r="B2348" i="3" l="1"/>
  <c r="B2349" i="3" l="1"/>
  <c r="B2350" i="3" l="1"/>
  <c r="B2351" i="3" l="1"/>
  <c r="B2352" i="3" l="1"/>
  <c r="B2353" i="3" l="1"/>
  <c r="B2354" i="3" l="1"/>
  <c r="B2355" i="3" l="1"/>
  <c r="B2356" i="3" l="1"/>
  <c r="B2357" i="3" l="1"/>
  <c r="B2358" i="3" s="1"/>
  <c r="B2359" i="3" s="1"/>
  <c r="B2360" i="3" s="1"/>
  <c r="B2361" i="3" l="1"/>
  <c r="B2362" i="3" l="1"/>
  <c r="B2363" i="3" l="1"/>
  <c r="B2364" i="3" l="1"/>
  <c r="B2365" i="3" s="1"/>
  <c r="B2366" i="3" s="1"/>
  <c r="B2367" i="3" s="1"/>
  <c r="B2368" i="3" s="1"/>
  <c r="B2369" i="3" s="1"/>
  <c r="B2370" i="3" s="1"/>
  <c r="B2371" i="3" s="1"/>
  <c r="B2372" i="3" s="1"/>
  <c r="B2373" i="3" s="1"/>
  <c r="B2374" i="3" s="1"/>
  <c r="B2375" i="3" l="1"/>
  <c r="B2376" i="3" l="1"/>
  <c r="B2377" i="3" l="1"/>
  <c r="B2378" i="3" l="1"/>
  <c r="B2379" i="3" s="1"/>
  <c r="B2380" i="3" l="1"/>
  <c r="B2381" i="3" l="1"/>
  <c r="B2382" i="3" l="1"/>
  <c r="B2383" i="3" l="1"/>
  <c r="B2384" i="3" l="1"/>
  <c r="B2385" i="3" l="1"/>
  <c r="B2386" i="3" l="1"/>
  <c r="B2387" i="3" l="1"/>
  <c r="B2388" i="3" l="1"/>
  <c r="B2389" i="3" l="1"/>
  <c r="B2390" i="3" l="1"/>
  <c r="B2391" i="3" l="1"/>
  <c r="B2392" i="3" l="1"/>
  <c r="B2393" i="3" l="1"/>
  <c r="B2394" i="3" l="1"/>
  <c r="B2395" i="3" l="1"/>
  <c r="B2396" i="3" l="1"/>
  <c r="B2397" i="3" l="1"/>
  <c r="B2398" i="3" l="1"/>
  <c r="B2399" i="3" l="1"/>
  <c r="B2400" i="3" l="1"/>
  <c r="B2401" i="3" l="1"/>
  <c r="B2402" i="3" l="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l="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l="1"/>
  <c r="B2595" i="3" l="1"/>
  <c r="B2596" i="3" l="1"/>
  <c r="B2597" i="3" l="1"/>
  <c r="B2598" i="3" l="1"/>
  <c r="B2599" i="3" l="1"/>
  <c r="B2600" i="3" l="1"/>
  <c r="B2601" i="3" l="1"/>
  <c r="B2602" i="3" l="1"/>
  <c r="B2603" i="3" l="1"/>
  <c r="B2604" i="3" l="1"/>
  <c r="B2605" i="3" l="1"/>
  <c r="B2606" i="3" l="1"/>
  <c r="B2607" i="3" l="1"/>
  <c r="B2608" i="3" l="1"/>
  <c r="B2609" i="3" l="1"/>
  <c r="B2610" i="3" l="1"/>
  <c r="B2611" i="3" l="1"/>
  <c r="B2612" i="3" l="1"/>
  <c r="B2613" i="3" l="1"/>
  <c r="B2614" i="3" l="1"/>
  <c r="B2615" i="3" l="1"/>
  <c r="B2616" i="3" l="1"/>
  <c r="B2617" i="3" l="1"/>
  <c r="B2618" i="3" l="1"/>
  <c r="B2619" i="3" l="1"/>
  <c r="B2620" i="3" l="1"/>
  <c r="B2621" i="3" l="1"/>
  <c r="B2622" i="3" l="1"/>
  <c r="B2623" i="3" l="1"/>
  <c r="B2624" i="3" l="1"/>
  <c r="B2625" i="3" l="1"/>
  <c r="B2626" i="3" l="1"/>
  <c r="B2627" i="3" l="1"/>
  <c r="B2628" i="3" l="1"/>
  <c r="B2629" i="3" l="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l="1"/>
  <c r="B2684" i="3" l="1"/>
  <c r="B2685" i="3" l="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l="1"/>
  <c r="B2776" i="3" l="1"/>
  <c r="B2777" i="3" l="1"/>
  <c r="B2778" i="3" l="1"/>
  <c r="B2779" i="3" l="1"/>
  <c r="B2780" i="3" l="1"/>
  <c r="B2781" i="3" l="1"/>
  <c r="B2782" i="3" l="1"/>
  <c r="B2783" i="3" l="1"/>
  <c r="B2784" i="3" l="1"/>
  <c r="B2785" i="3" l="1"/>
  <c r="B2786" i="3" l="1"/>
  <c r="B2787" i="3" l="1"/>
  <c r="B2788" i="3" l="1"/>
  <c r="B2789" i="3" l="1"/>
  <c r="B2790" i="3" l="1"/>
  <c r="B2791" i="3" l="1"/>
  <c r="B2792" i="3" l="1"/>
  <c r="B2793" i="3" l="1"/>
  <c r="B2794" i="3" l="1"/>
  <c r="B2795" i="3" l="1"/>
  <c r="B2796" i="3" l="1"/>
  <c r="B2797" i="3" l="1"/>
  <c r="B2798" i="3" l="1"/>
  <c r="B2799" i="3" l="1"/>
  <c r="B2800" i="3" l="1"/>
  <c r="B2801" i="3" l="1"/>
  <c r="B2802" i="3" l="1"/>
  <c r="B2803" i="3" l="1"/>
  <c r="B2804" i="3" l="1"/>
  <c r="B2805" i="3" l="1"/>
  <c r="B2806" i="3" l="1"/>
  <c r="B2807" i="3" l="1"/>
  <c r="B2808" i="3" l="1"/>
  <c r="B2809" i="3" l="1"/>
  <c r="B2810" i="3" l="1"/>
  <c r="B2811" i="3" l="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l="1"/>
  <c r="B2872" i="3" l="1"/>
  <c r="B2873" i="3" l="1"/>
  <c r="B2874" i="3" l="1"/>
  <c r="B2875" i="3" l="1"/>
  <c r="B2876" i="3" l="1"/>
  <c r="B2877" i="3" l="1"/>
  <c r="B2878" i="3" l="1"/>
  <c r="B2879" i="3" l="1"/>
  <c r="B2880" i="3" l="1"/>
  <c r="B2881" i="3" l="1"/>
  <c r="B2882" i="3" l="1"/>
  <c r="B2883" i="3" l="1"/>
  <c r="B2884" i="3" l="1"/>
  <c r="B2885" i="3" l="1"/>
  <c r="B2886" i="3" l="1"/>
  <c r="B2887" i="3" l="1"/>
  <c r="B2888" i="3" l="1"/>
  <c r="B2889" i="3" l="1"/>
  <c r="B2890" i="3" l="1"/>
  <c r="B2891" i="3" l="1"/>
  <c r="B2892" i="3" l="1"/>
  <c r="B2893" i="3" l="1"/>
  <c r="B2894" i="3" l="1"/>
  <c r="B2895" i="3" l="1"/>
  <c r="B2896" i="3" l="1"/>
  <c r="B2897" i="3" l="1"/>
  <c r="B2898" i="3" l="1"/>
  <c r="B2899" i="3" l="1"/>
  <c r="B2900" i="3" l="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l="1"/>
  <c r="B2927" i="3" l="1"/>
  <c r="B2928" i="3" l="1"/>
  <c r="B2929" i="3" l="1"/>
  <c r="B2930" i="3" l="1"/>
  <c r="B2931" i="3" l="1"/>
  <c r="B2932" i="3" l="1"/>
  <c r="B2933" i="3" l="1"/>
  <c r="B2934" i="3" l="1"/>
  <c r="B2935" i="3" l="1"/>
  <c r="B2936" i="3" l="1"/>
  <c r="B2937" i="3" l="1"/>
  <c r="B2938" i="3" l="1"/>
  <c r="B2939" i="3" l="1"/>
  <c r="B2940" i="3" l="1"/>
  <c r="B2941" i="3" l="1"/>
  <c r="B2942" i="3" l="1"/>
  <c r="B2943" i="3" l="1"/>
  <c r="B2944" i="3" l="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l="1"/>
  <c r="B2967" i="3" l="1"/>
  <c r="B2968" i="3" l="1"/>
  <c r="B2969" i="3" l="1"/>
  <c r="B2970" i="3" l="1"/>
  <c r="B2971" i="3" l="1"/>
  <c r="B2972" i="3" l="1"/>
  <c r="B2973" i="3" l="1"/>
  <c r="B2974" i="3" l="1"/>
  <c r="B2975" i="3" l="1"/>
  <c r="B2976" i="3" l="1"/>
  <c r="B2977" i="3" l="1"/>
  <c r="B2978" i="3" l="1"/>
  <c r="B2979" i="3" l="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l="1"/>
  <c r="B3336" i="3" s="1"/>
  <c r="B3337" i="3" s="1"/>
  <c r="B3338" i="3" s="1"/>
  <c r="B3339" i="3" l="1"/>
  <c r="B3340" i="3" s="1"/>
  <c r="B3341" i="3" l="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l="1"/>
  <c r="B3447" i="3" l="1"/>
  <c r="B3448" i="3" l="1"/>
  <c r="B3449" i="3" l="1"/>
  <c r="B3450" i="3" l="1"/>
  <c r="B3451" i="3" l="1"/>
  <c r="B3452" i="3" l="1"/>
  <c r="B3453" i="3" l="1"/>
  <c r="B3454" i="3" l="1"/>
  <c r="B3455" i="3" l="1"/>
  <c r="B3456" i="3" l="1"/>
  <c r="B3457" i="3" l="1"/>
  <c r="B3458" i="3" l="1"/>
  <c r="B3459" i="3" l="1"/>
  <c r="B3460" i="3" l="1"/>
  <c r="B3461" i="3" l="1"/>
  <c r="B3462" i="3" l="1"/>
  <c r="B3463" i="3" l="1"/>
  <c r="B3464" i="3" l="1"/>
  <c r="B3465" i="3" l="1"/>
  <c r="B3466" i="3" l="1"/>
  <c r="B3467" i="3" l="1"/>
  <c r="B3468" i="3" l="1"/>
  <c r="B3469" i="3" l="1"/>
  <c r="B3470" i="3" l="1"/>
  <c r="B3471" i="3" l="1"/>
  <c r="B3472" i="3" l="1"/>
  <c r="B3473" i="3" l="1"/>
  <c r="B3474" i="3" l="1"/>
  <c r="B3475" i="3" l="1"/>
  <c r="B3476" i="3" l="1"/>
  <c r="B3477" i="3" l="1"/>
  <c r="B3478" i="3" l="1"/>
  <c r="B3479" i="3" l="1"/>
  <c r="B3480" i="3" l="1"/>
  <c r="B3481" i="3" l="1"/>
  <c r="B3482" i="3" l="1"/>
  <c r="B3483" i="3" l="1"/>
  <c r="B3484" i="3" l="1"/>
  <c r="B3485" i="3" l="1"/>
  <c r="B3486" i="3" l="1"/>
  <c r="B3487" i="3" l="1"/>
  <c r="B3488" i="3" l="1"/>
  <c r="B3489" i="3" l="1"/>
  <c r="B3490" i="3" l="1"/>
  <c r="B3491" i="3" l="1"/>
  <c r="B3492" i="3" l="1"/>
  <c r="B3493" i="3" l="1"/>
  <c r="B3494" i="3" l="1"/>
  <c r="B3495" i="3" l="1"/>
  <c r="B3496" i="3" l="1"/>
  <c r="B3497" i="3" l="1"/>
  <c r="B3498" i="3" l="1"/>
  <c r="B3499" i="3" l="1"/>
  <c r="B3500" i="3" l="1"/>
  <c r="B3501" i="3" l="1"/>
  <c r="B3502" i="3" l="1"/>
  <c r="B3503" i="3" l="1"/>
  <c r="B3504" i="3" l="1"/>
  <c r="B3505" i="3" l="1"/>
  <c r="B3506" i="3" l="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B4515" i="3" s="1"/>
  <c r="B4516" i="3" s="1"/>
  <c r="B4517" i="3" s="1"/>
  <c r="B4518" i="3" s="1"/>
  <c r="B4519" i="3" s="1"/>
  <c r="B4520" i="3" s="1"/>
  <c r="B4521" i="3" s="1"/>
  <c r="B4522" i="3" s="1"/>
  <c r="B4523" i="3" s="1"/>
  <c r="B4524" i="3" s="1"/>
  <c r="B4525" i="3" s="1"/>
  <c r="B4526" i="3" s="1"/>
  <c r="B4527" i="3" s="1"/>
  <c r="B4528" i="3" s="1"/>
  <c r="B4529" i="3" s="1"/>
  <c r="B4530" i="3" s="1"/>
  <c r="B4531" i="3" s="1"/>
  <c r="B4532" i="3" s="1"/>
  <c r="B4533" i="3" s="1"/>
  <c r="B4534" i="3" s="1"/>
  <c r="B4535" i="3" s="1"/>
  <c r="B4536" i="3" s="1"/>
  <c r="B4537" i="3" s="1"/>
  <c r="B4538" i="3" s="1"/>
  <c r="B4539" i="3" s="1"/>
  <c r="B4540" i="3" s="1"/>
  <c r="B4541" i="3" s="1"/>
  <c r="B4542" i="3" s="1"/>
  <c r="B4543" i="3" s="1"/>
  <c r="B4544" i="3" s="1"/>
  <c r="B4545" i="3" s="1"/>
  <c r="B4546" i="3" s="1"/>
  <c r="B4547" i="3" s="1"/>
  <c r="B4548" i="3" s="1"/>
  <c r="B4549" i="3" s="1"/>
  <c r="B4550" i="3" s="1"/>
  <c r="B4551" i="3" s="1"/>
  <c r="B4552" i="3" s="1"/>
  <c r="B4553" i="3" s="1"/>
  <c r="B4554" i="3" s="1"/>
  <c r="B4555" i="3" s="1"/>
  <c r="B4556" i="3" s="1"/>
  <c r="B4557" i="3" s="1"/>
  <c r="B4558" i="3" s="1"/>
  <c r="B4559" i="3" s="1"/>
  <c r="B4560" i="3" s="1"/>
  <c r="B4561" i="3" s="1"/>
  <c r="B4562" i="3" s="1"/>
  <c r="B4563" i="3" s="1"/>
  <c r="B4564" i="3" s="1"/>
  <c r="B4565" i="3" s="1"/>
  <c r="B4566" i="3" s="1"/>
  <c r="B4567" i="3" s="1"/>
  <c r="B4568" i="3" s="1"/>
  <c r="B4569" i="3" s="1"/>
  <c r="B4570" i="3" s="1"/>
  <c r="B4571" i="3" s="1"/>
  <c r="B4572" i="3" s="1"/>
  <c r="B4573" i="3" s="1"/>
  <c r="B4574" i="3" s="1"/>
  <c r="B4575" i="3" s="1"/>
  <c r="B4576" i="3" s="1"/>
  <c r="B4577" i="3" s="1"/>
  <c r="B4578" i="3" s="1"/>
  <c r="B4579" i="3" s="1"/>
  <c r="B4580" i="3" s="1"/>
  <c r="B4581" i="3" s="1"/>
  <c r="B4582" i="3" s="1"/>
  <c r="B4583" i="3" s="1"/>
  <c r="B4584" i="3" s="1"/>
  <c r="B4585" i="3" s="1"/>
  <c r="B4586" i="3" s="1"/>
  <c r="B4587" i="3" s="1"/>
  <c r="B4588" i="3" s="1"/>
  <c r="B4589" i="3" s="1"/>
  <c r="B4590" i="3" s="1"/>
  <c r="B4591" i="3" s="1"/>
  <c r="B4592" i="3" s="1"/>
  <c r="B4593" i="3" s="1"/>
  <c r="B4594" i="3" s="1"/>
  <c r="B4595" i="3" s="1"/>
  <c r="B4596" i="3" s="1"/>
  <c r="B4597" i="3" s="1"/>
  <c r="B4598" i="3" s="1"/>
  <c r="B4599" i="3" s="1"/>
  <c r="B4600" i="3" s="1"/>
  <c r="B4601" i="3" s="1"/>
  <c r="B4602" i="3" s="1"/>
  <c r="B4603" i="3" s="1"/>
  <c r="B4604" i="3" s="1"/>
  <c r="B4605" i="3" s="1"/>
  <c r="B4606" i="3" s="1"/>
  <c r="B4607" i="3" s="1"/>
  <c r="B4608" i="3" s="1"/>
  <c r="B4609" i="3" s="1"/>
  <c r="B4610" i="3" s="1"/>
  <c r="B4611" i="3" s="1"/>
  <c r="B4612" i="3" s="1"/>
  <c r="B4613" i="3" s="1"/>
  <c r="B4614" i="3" s="1"/>
  <c r="B4615" i="3" s="1"/>
  <c r="B4616" i="3" s="1"/>
  <c r="B4617" i="3" s="1"/>
  <c r="B4618" i="3" s="1"/>
  <c r="B4619" i="3" s="1"/>
  <c r="B4620" i="3" s="1"/>
  <c r="B4621" i="3" s="1"/>
  <c r="B4622" i="3" s="1"/>
  <c r="B4623" i="3" s="1"/>
  <c r="B4624" i="3" s="1"/>
  <c r="B4625" i="3" s="1"/>
  <c r="B4626" i="3" s="1"/>
  <c r="B4627" i="3" s="1"/>
  <c r="B4628" i="3" s="1"/>
  <c r="B4629" i="3" s="1"/>
  <c r="B4630" i="3" s="1"/>
  <c r="B4631" i="3" s="1"/>
  <c r="B4632" i="3" s="1"/>
  <c r="B4633" i="3" s="1"/>
  <c r="B4634" i="3" s="1"/>
  <c r="B4635" i="3" s="1"/>
  <c r="B4636" i="3" s="1"/>
  <c r="B4637" i="3" s="1"/>
  <c r="B4638" i="3" s="1"/>
  <c r="B4639" i="3" s="1"/>
  <c r="B4640" i="3" s="1"/>
  <c r="B4641" i="3" s="1"/>
  <c r="B4642" i="3" s="1"/>
  <c r="B4643" i="3" s="1"/>
  <c r="B4644" i="3" s="1"/>
  <c r="B4645" i="3" s="1"/>
  <c r="B4646" i="3" s="1"/>
  <c r="B4647" i="3" s="1"/>
  <c r="B4648" i="3" s="1"/>
  <c r="B4649" i="3" s="1"/>
  <c r="B4650" i="3" s="1"/>
  <c r="B4651" i="3" s="1"/>
  <c r="B4652" i="3" s="1"/>
  <c r="B4653" i="3" s="1"/>
  <c r="B4654" i="3" s="1"/>
  <c r="B4655" i="3" s="1"/>
  <c r="B4656" i="3" s="1"/>
  <c r="B4657" i="3" s="1"/>
  <c r="B4658" i="3" s="1"/>
  <c r="B4659" i="3" s="1"/>
  <c r="B4660" i="3" s="1"/>
  <c r="B4661" i="3" s="1"/>
  <c r="B4662" i="3" s="1"/>
  <c r="B4663" i="3" s="1"/>
  <c r="B4664" i="3" s="1"/>
  <c r="B4665" i="3" s="1"/>
  <c r="B4666" i="3" s="1"/>
  <c r="B4667" i="3" s="1"/>
  <c r="B4668" i="3" s="1"/>
  <c r="B4669" i="3" s="1"/>
  <c r="B4670" i="3" s="1"/>
  <c r="B4671" i="3" s="1"/>
  <c r="B4672" i="3" s="1"/>
  <c r="B4673" i="3" s="1"/>
  <c r="B4674" i="3" s="1"/>
  <c r="B4675" i="3" s="1"/>
  <c r="B4676" i="3" s="1"/>
  <c r="B4677" i="3" s="1"/>
  <c r="B4678" i="3" s="1"/>
  <c r="B4679" i="3" s="1"/>
  <c r="B4680" i="3" s="1"/>
  <c r="B4681" i="3" s="1"/>
  <c r="B4682" i="3" s="1"/>
  <c r="B4683" i="3" s="1"/>
  <c r="B4684" i="3" s="1"/>
  <c r="B4685" i="3" s="1"/>
  <c r="B4686" i="3" s="1"/>
  <c r="B4687" i="3" s="1"/>
  <c r="B4688" i="3" s="1"/>
  <c r="B4689" i="3" s="1"/>
  <c r="B4690" i="3" s="1"/>
  <c r="B4691" i="3" s="1"/>
  <c r="B4692" i="3" s="1"/>
  <c r="B4693" i="3" s="1"/>
  <c r="B4694" i="3" s="1"/>
  <c r="B4695" i="3" s="1"/>
  <c r="B4696" i="3" s="1"/>
  <c r="B4697" i="3" s="1"/>
  <c r="B4698" i="3" s="1"/>
  <c r="B4699" i="3" s="1"/>
  <c r="B4700" i="3" s="1"/>
  <c r="B4701" i="3" s="1"/>
  <c r="B4702" i="3" s="1"/>
  <c r="B4703" i="3" s="1"/>
  <c r="B4704" i="3" s="1"/>
  <c r="B4705" i="3" s="1"/>
  <c r="B4706" i="3" s="1"/>
  <c r="B4707" i="3" s="1"/>
  <c r="B4708" i="3" s="1"/>
  <c r="B4709" i="3" s="1"/>
  <c r="B4710" i="3" s="1"/>
  <c r="B4711" i="3" s="1"/>
  <c r="B4712" i="3" s="1"/>
  <c r="B4713" i="3" s="1"/>
  <c r="B4714" i="3" s="1"/>
  <c r="B4715" i="3" s="1"/>
  <c r="B4716" i="3" s="1"/>
  <c r="B4717" i="3" s="1"/>
  <c r="B4718" i="3" s="1"/>
  <c r="B4719" i="3" s="1"/>
  <c r="B4720" i="3" s="1"/>
  <c r="B4721" i="3" s="1"/>
  <c r="B4722" i="3" s="1"/>
  <c r="B4723" i="3" s="1"/>
  <c r="B4724" i="3" s="1"/>
  <c r="B4725" i="3" s="1"/>
  <c r="B4726" i="3" s="1"/>
  <c r="B4727" i="3" s="1"/>
  <c r="B4728" i="3" s="1"/>
  <c r="B4729" i="3" s="1"/>
  <c r="B4730" i="3" s="1"/>
  <c r="B4731" i="3" s="1"/>
  <c r="B4732" i="3" s="1"/>
  <c r="B4733" i="3" s="1"/>
  <c r="B4734" i="3" s="1"/>
  <c r="B4735" i="3" s="1"/>
  <c r="B4736" i="3" s="1"/>
  <c r="B4737" i="3" s="1"/>
  <c r="B4738" i="3" s="1"/>
  <c r="B4739" i="3" s="1"/>
  <c r="B4740" i="3" s="1"/>
  <c r="B4741" i="3" s="1"/>
  <c r="B4742" i="3" s="1"/>
  <c r="B4743" i="3" s="1"/>
  <c r="B4744" i="3" s="1"/>
  <c r="B4745" i="3" s="1"/>
  <c r="B4746" i="3" s="1"/>
  <c r="B4747" i="3" s="1"/>
  <c r="B4748" i="3" s="1"/>
  <c r="B4749" i="3" s="1"/>
  <c r="B4750" i="3" s="1"/>
  <c r="B4751" i="3" s="1"/>
  <c r="B4752" i="3" s="1"/>
  <c r="B4753" i="3" s="1"/>
  <c r="B4754" i="3" s="1"/>
  <c r="B4755" i="3" s="1"/>
  <c r="B4756" i="3" s="1"/>
  <c r="B4757" i="3" s="1"/>
  <c r="B4758" i="3" s="1"/>
  <c r="B4759" i="3" s="1"/>
  <c r="B4760" i="3" s="1"/>
  <c r="B4761" i="3" s="1"/>
  <c r="B4762" i="3" s="1"/>
  <c r="B4763" i="3" s="1"/>
  <c r="B4764" i="3" s="1"/>
  <c r="B4765" i="3" s="1"/>
  <c r="B4766" i="3" s="1"/>
  <c r="B4767" i="3" s="1"/>
  <c r="B4768" i="3" s="1"/>
  <c r="B4769" i="3" s="1"/>
  <c r="B4770" i="3" s="1"/>
  <c r="B4771" i="3" s="1"/>
  <c r="B4772" i="3" s="1"/>
  <c r="B4773" i="3" s="1"/>
  <c r="B4774" i="3" s="1"/>
  <c r="B4775" i="3" s="1"/>
  <c r="B4776" i="3" s="1"/>
  <c r="B4777" i="3" s="1"/>
  <c r="B4778" i="3" s="1"/>
  <c r="B4779" i="3" s="1"/>
  <c r="B4780" i="3" s="1"/>
  <c r="B4781" i="3" s="1"/>
  <c r="B4782" i="3" s="1"/>
  <c r="B4783" i="3" s="1"/>
  <c r="B4784" i="3" s="1"/>
  <c r="B4785" i="3" s="1"/>
  <c r="B4786" i="3" s="1"/>
  <c r="B4787" i="3" s="1"/>
  <c r="B4788" i="3" s="1"/>
  <c r="B4789" i="3" s="1"/>
  <c r="B4790" i="3" s="1"/>
  <c r="B4791" i="3" s="1"/>
  <c r="B4792" i="3" s="1"/>
  <c r="B4793" i="3" s="1"/>
  <c r="B4794" i="3" s="1"/>
  <c r="B4795" i="3" s="1"/>
  <c r="B4796" i="3" s="1"/>
  <c r="B4797" i="3" s="1"/>
  <c r="B4798" i="3" s="1"/>
  <c r="B4799" i="3" s="1"/>
  <c r="B4800" i="3" s="1"/>
  <c r="B4801" i="3" s="1"/>
  <c r="B4802" i="3" s="1"/>
  <c r="B4803" i="3" s="1"/>
  <c r="B4804" i="3" s="1"/>
  <c r="B4805" i="3" s="1"/>
  <c r="B4806" i="3" s="1"/>
  <c r="B4807" i="3" s="1"/>
  <c r="B4808" i="3" s="1"/>
  <c r="B4809" i="3" s="1"/>
  <c r="B4810" i="3" s="1"/>
  <c r="B4811" i="3" s="1"/>
  <c r="B4812" i="3" s="1"/>
  <c r="B4813" i="3" s="1"/>
  <c r="B4814" i="3" s="1"/>
  <c r="B4815" i="3" s="1"/>
  <c r="B4816" i="3" s="1"/>
  <c r="B4817" i="3" s="1"/>
  <c r="B4818" i="3" s="1"/>
  <c r="B4819" i="3" s="1"/>
  <c r="B4820" i="3" s="1"/>
  <c r="B4821" i="3" s="1"/>
  <c r="B4822" i="3" s="1"/>
  <c r="B4823" i="3" s="1"/>
  <c r="B4824" i="3" s="1"/>
  <c r="B4825" i="3" s="1"/>
  <c r="B4826" i="3" s="1"/>
  <c r="B4827" i="3" s="1"/>
  <c r="B4828" i="3" s="1"/>
  <c r="B4829" i="3" s="1"/>
  <c r="B4830" i="3" s="1"/>
  <c r="B4831" i="3" s="1"/>
  <c r="B4832" i="3" s="1"/>
  <c r="B4833" i="3" s="1"/>
  <c r="B4834" i="3" s="1"/>
  <c r="B4835" i="3" s="1"/>
  <c r="B4836" i="3" s="1"/>
  <c r="B4837" i="3" s="1"/>
  <c r="B4838" i="3" s="1"/>
  <c r="B4839" i="3" s="1"/>
  <c r="B4840" i="3" s="1"/>
  <c r="B4841" i="3" s="1"/>
  <c r="B4842" i="3" l="1"/>
  <c r="B4843" i="3" l="1"/>
  <c r="B4844" i="3" l="1"/>
  <c r="B4845" i="3" l="1"/>
  <c r="B4846" i="3" l="1"/>
  <c r="B4847" i="3" l="1"/>
  <c r="B4848" i="3" l="1"/>
  <c r="B4849" i="3" l="1"/>
  <c r="B4850" i="3" l="1"/>
  <c r="B4851" i="3" l="1"/>
  <c r="B4852" i="3" l="1"/>
  <c r="B4853" i="3" l="1"/>
  <c r="B4854" i="3" l="1"/>
  <c r="B4855" i="3" l="1"/>
  <c r="B4856" i="3" l="1"/>
  <c r="B4857" i="3" l="1"/>
  <c r="B4858" i="3" l="1"/>
  <c r="B4859" i="3" l="1"/>
  <c r="B4860" i="3" l="1"/>
  <c r="B4861" i="3" l="1"/>
  <c r="B4862" i="3" l="1"/>
  <c r="B4863" i="3" l="1"/>
  <c r="B4864" i="3" l="1"/>
  <c r="B4865" i="3" l="1"/>
  <c r="B4866" i="3" l="1"/>
  <c r="B4867" i="3" l="1"/>
  <c r="B4868" i="3" l="1"/>
  <c r="B4869" i="3" l="1"/>
  <c r="B4870" i="3" l="1"/>
  <c r="B4871" i="3" l="1"/>
  <c r="B4872" i="3" l="1"/>
  <c r="B4873" i="3" l="1"/>
  <c r="B4874" i="3" l="1"/>
  <c r="B4875" i="3" l="1"/>
  <c r="B4876" i="3" l="1"/>
  <c r="B4877" i="3" l="1"/>
  <c r="B4878" i="3" l="1"/>
  <c r="B4879" i="3" l="1"/>
  <c r="B4880" i="3" l="1"/>
  <c r="B4881" i="3" l="1"/>
  <c r="B4882" i="3" l="1"/>
  <c r="B4883" i="3" l="1"/>
  <c r="B4884" i="3" l="1"/>
  <c r="B4885" i="3" l="1"/>
  <c r="B4886" i="3" l="1"/>
  <c r="B4887" i="3" l="1"/>
  <c r="B4888" i="3" l="1"/>
  <c r="B4889" i="3" l="1"/>
  <c r="B4890" i="3" l="1"/>
  <c r="B4891" i="3" l="1"/>
  <c r="B4892" i="3" l="1"/>
  <c r="B4893" i="3" l="1"/>
  <c r="B4894" i="3" l="1"/>
  <c r="B4895" i="3" l="1"/>
  <c r="B4896" i="3" l="1"/>
  <c r="B4897" i="3" l="1"/>
  <c r="B4898" i="3" l="1"/>
  <c r="B4899" i="3" l="1"/>
  <c r="B4900" i="3" l="1"/>
  <c r="B4901" i="3" l="1"/>
  <c r="B4902" i="3" l="1"/>
  <c r="B4903" i="3" l="1"/>
  <c r="B4904" i="3" l="1"/>
  <c r="B4905" i="3" l="1"/>
  <c r="B4906" i="3" l="1"/>
  <c r="B4907" i="3" l="1"/>
  <c r="B4908" i="3" l="1"/>
  <c r="B4909" i="3" l="1"/>
  <c r="B4910" i="3" l="1"/>
  <c r="B4911" i="3" l="1"/>
  <c r="B4912" i="3" l="1"/>
  <c r="B4913" i="3" l="1"/>
  <c r="B4914" i="3" l="1"/>
  <c r="B4915" i="3" l="1"/>
  <c r="B4916" i="3" l="1"/>
  <c r="B4917" i="3" l="1"/>
  <c r="B4918" i="3" l="1"/>
  <c r="B4919" i="3" l="1"/>
  <c r="B4920" i="3" l="1"/>
  <c r="B4921" i="3" l="1"/>
  <c r="B4922" i="3" l="1"/>
  <c r="B4923" i="3" l="1"/>
  <c r="B4924" i="3" l="1"/>
  <c r="B4925" i="3" l="1"/>
  <c r="B4926" i="3" l="1"/>
  <c r="B4927" i="3" l="1"/>
  <c r="B4928" i="3" l="1"/>
  <c r="B4929" i="3" l="1"/>
  <c r="B4930" i="3" l="1"/>
  <c r="B4931" i="3" l="1"/>
  <c r="B4932" i="3" l="1"/>
  <c r="B4933" i="3" l="1"/>
  <c r="B4934" i="3" l="1"/>
  <c r="B4935" i="3" l="1"/>
  <c r="B4936" i="3" l="1"/>
  <c r="B4937" i="3" l="1"/>
  <c r="B4938" i="3" l="1"/>
  <c r="B4939" i="3" l="1"/>
  <c r="B4940" i="3" l="1"/>
  <c r="B4941" i="3" l="1"/>
  <c r="B4942" i="3" l="1"/>
  <c r="B4943" i="3" l="1"/>
  <c r="B4944" i="3" l="1"/>
  <c r="B4945" i="3" l="1"/>
  <c r="B4946" i="3" l="1"/>
  <c r="B4947" i="3" l="1"/>
  <c r="B4948" i="3" l="1"/>
  <c r="B4949" i="3" l="1"/>
  <c r="B4950" i="3" l="1"/>
  <c r="B4951" i="3" l="1"/>
  <c r="B4952" i="3" l="1"/>
  <c r="B4953" i="3" l="1"/>
  <c r="B4954" i="3" l="1"/>
  <c r="B4955" i="3" l="1"/>
  <c r="B4956" i="3" l="1"/>
  <c r="B4957" i="3" l="1"/>
  <c r="B4958" i="3" l="1"/>
  <c r="B4959" i="3" l="1"/>
  <c r="B4960" i="3" l="1"/>
  <c r="B4961" i="3" l="1"/>
  <c r="B4962" i="3" l="1"/>
  <c r="B4963" i="3" l="1"/>
  <c r="B4964" i="3" l="1"/>
  <c r="B4965" i="3" l="1"/>
  <c r="B4966" i="3" l="1"/>
  <c r="B4967" i="3" l="1"/>
  <c r="B4968" i="3" l="1"/>
  <c r="B4969" i="3" l="1"/>
  <c r="B4970" i="3" l="1"/>
  <c r="B4971" i="3" l="1"/>
  <c r="B4972" i="3" l="1"/>
  <c r="B4973" i="3" l="1"/>
  <c r="B4974" i="3" l="1"/>
  <c r="B4975" i="3" l="1"/>
  <c r="B4976" i="3" l="1"/>
  <c r="B4977" i="3" l="1"/>
  <c r="B4978" i="3" l="1"/>
  <c r="B4979" i="3" l="1"/>
  <c r="B4980" i="3" l="1"/>
  <c r="B4981" i="3" l="1"/>
  <c r="B4982" i="3" l="1"/>
  <c r="B4983" i="3" l="1"/>
  <c r="B4984" i="3" l="1"/>
  <c r="B4985" i="3" l="1"/>
  <c r="B4986" i="3" l="1"/>
  <c r="B4987" i="3" l="1"/>
  <c r="B4988" i="3" l="1"/>
  <c r="B4989" i="3" l="1"/>
  <c r="B4990" i="3" l="1"/>
  <c r="B4991" i="3" l="1"/>
  <c r="B4992" i="3" l="1"/>
  <c r="B4993" i="3" l="1"/>
  <c r="B4994" i="3" l="1"/>
  <c r="B4995" i="3" l="1"/>
  <c r="B4996" i="3" l="1"/>
  <c r="B4997" i="3" l="1"/>
  <c r="B4998" i="3" l="1"/>
  <c r="B4999" i="3" l="1"/>
  <c r="B5000" i="3" l="1"/>
  <c r="B5001" i="3" l="1"/>
  <c r="B5002" i="3" l="1"/>
  <c r="B5003" i="3" l="1"/>
  <c r="B5004" i="3" l="1"/>
  <c r="B5005" i="3" l="1"/>
  <c r="B5006" i="3" l="1"/>
  <c r="B5007" i="3" l="1"/>
  <c r="B5008" i="3" l="1"/>
  <c r="B5009" i="3" l="1"/>
  <c r="B5010" i="3" l="1"/>
  <c r="B5011" i="3" l="1"/>
  <c r="B5012" i="3" l="1"/>
  <c r="B5013" i="3" l="1"/>
  <c r="B5014" i="3" l="1"/>
  <c r="B5015" i="3" l="1"/>
  <c r="B5016" i="3" l="1"/>
  <c r="B5017" i="3" l="1"/>
  <c r="B5018" i="3" l="1"/>
  <c r="B5019" i="3" l="1"/>
  <c r="B5020" i="3" l="1"/>
  <c r="B5021" i="3" l="1"/>
  <c r="B5022" i="3" l="1"/>
  <c r="B5023" i="3" l="1"/>
  <c r="B5024" i="3" l="1"/>
  <c r="B5025" i="3" l="1"/>
  <c r="B5026" i="3" l="1"/>
  <c r="B5027" i="3" l="1"/>
  <c r="B5028" i="3" l="1"/>
  <c r="B5029" i="3" l="1"/>
  <c r="B5030" i="3" l="1"/>
  <c r="B5031" i="3" l="1"/>
  <c r="B5032" i="3" l="1"/>
  <c r="B5033" i="3" l="1"/>
  <c r="B5034" i="3" l="1"/>
  <c r="B5035" i="3" l="1"/>
  <c r="B5036" i="3" l="1"/>
  <c r="B5037" i="3" l="1"/>
  <c r="B5038" i="3" l="1"/>
  <c r="B5039" i="3" l="1"/>
  <c r="B5040" i="3" l="1"/>
  <c r="B5041" i="3" l="1"/>
  <c r="B5042" i="3" l="1"/>
  <c r="B5043" i="3" l="1"/>
  <c r="B5044" i="3" l="1"/>
  <c r="B5045" i="3" l="1"/>
  <c r="B5046" i="3" l="1"/>
  <c r="B5047" i="3" l="1"/>
  <c r="B5048" i="3" l="1"/>
  <c r="B5049" i="3" l="1"/>
  <c r="B5050" i="3" l="1"/>
  <c r="B5051" i="3" l="1"/>
  <c r="B5052" i="3" l="1"/>
  <c r="B5053" i="3" l="1"/>
  <c r="B5054" i="3" l="1"/>
  <c r="B5055" i="3" l="1"/>
  <c r="B5056" i="3" l="1"/>
  <c r="B5057" i="3" l="1"/>
  <c r="B5058" i="3" l="1"/>
  <c r="B5059" i="3" l="1"/>
  <c r="B5060" i="3" l="1"/>
  <c r="B5061" i="3" l="1"/>
  <c r="B5062" i="3" l="1"/>
  <c r="B5063" i="3" l="1"/>
  <c r="B5064" i="3" l="1"/>
  <c r="B5065" i="3" l="1"/>
  <c r="B5066" i="3" l="1"/>
  <c r="B5067" i="3" l="1"/>
  <c r="B5068" i="3" l="1"/>
  <c r="B5069" i="3" l="1"/>
  <c r="B5070" i="3" l="1"/>
  <c r="B5071" i="3" l="1"/>
  <c r="B5072" i="3" l="1"/>
  <c r="B5073" i="3" l="1"/>
  <c r="B5074" i="3" l="1"/>
  <c r="B5075" i="3" l="1"/>
  <c r="B5076" i="3" l="1"/>
  <c r="B5077" i="3" l="1"/>
  <c r="B5078" i="3" l="1"/>
  <c r="B5079" i="3" l="1"/>
  <c r="B5080" i="3" l="1"/>
  <c r="B5081" i="3" l="1"/>
  <c r="B5082" i="3" l="1"/>
  <c r="B5083" i="3" l="1"/>
  <c r="B5084" i="3" l="1"/>
  <c r="B5085" i="3" l="1"/>
  <c r="B5086" i="3" l="1"/>
  <c r="B5087" i="3" l="1"/>
  <c r="B5088" i="3" l="1"/>
  <c r="B5089" i="3" l="1"/>
  <c r="B5090" i="3" l="1"/>
  <c r="B5091" i="3" l="1"/>
  <c r="B5092" i="3" l="1"/>
  <c r="B5093" i="3" l="1"/>
  <c r="B5094" i="3" l="1"/>
  <c r="B5095" i="3" l="1"/>
  <c r="B5096" i="3" l="1"/>
  <c r="B5097" i="3" l="1"/>
  <c r="B5098" i="3" l="1"/>
  <c r="B5099" i="3" l="1"/>
  <c r="B5100" i="3" l="1"/>
  <c r="B5101" i="3" l="1"/>
  <c r="B5102" i="3" l="1"/>
  <c r="B5103" i="3" l="1"/>
  <c r="B5104" i="3" l="1"/>
  <c r="B5105" i="3" l="1"/>
  <c r="B5106" i="3" l="1"/>
  <c r="B5107" i="3" l="1"/>
  <c r="B5108" i="3" l="1"/>
  <c r="B5109" i="3" l="1"/>
  <c r="B5110" i="3" l="1"/>
  <c r="B5111" i="3" l="1"/>
  <c r="B5112" i="3" l="1"/>
  <c r="B5113" i="3" l="1"/>
  <c r="B5114" i="3" l="1"/>
  <c r="B5115" i="3" l="1"/>
  <c r="B5116" i="3" l="1"/>
  <c r="B5117" i="3" l="1"/>
  <c r="B5118" i="3" l="1"/>
  <c r="B5119" i="3" l="1"/>
  <c r="B5120" i="3" l="1"/>
  <c r="B5121" i="3" l="1"/>
  <c r="B5122" i="3" l="1"/>
  <c r="B5123" i="3" l="1"/>
  <c r="B5124" i="3" l="1"/>
  <c r="B5125" i="3" l="1"/>
  <c r="B5126" i="3" l="1"/>
  <c r="B5127" i="3" l="1"/>
  <c r="B5128" i="3" l="1"/>
  <c r="B5129" i="3" l="1"/>
  <c r="B5130" i="3" l="1"/>
  <c r="B5131" i="3" l="1"/>
  <c r="B5132" i="3" l="1"/>
  <c r="B5133" i="3" l="1"/>
  <c r="B5134" i="3" l="1"/>
  <c r="B5135" i="3" l="1"/>
  <c r="B5136" i="3" l="1"/>
  <c r="B5137" i="3" l="1"/>
  <c r="B5138" i="3" l="1"/>
  <c r="B5139" i="3" l="1"/>
  <c r="B5140" i="3" l="1"/>
  <c r="B5141" i="3" l="1"/>
  <c r="B5142" i="3" l="1"/>
  <c r="B5143" i="3" l="1"/>
  <c r="B5144" i="3" l="1"/>
  <c r="B5145" i="3" l="1"/>
  <c r="B5146" i="3" l="1"/>
  <c r="B5147" i="3" l="1"/>
  <c r="B5148" i="3" l="1"/>
  <c r="B5149" i="3" l="1"/>
  <c r="B5150" i="3" l="1"/>
  <c r="B5151" i="3" l="1"/>
  <c r="B5152" i="3" l="1"/>
  <c r="B5153" i="3" l="1"/>
  <c r="B5154" i="3" l="1"/>
  <c r="B5155" i="3" l="1"/>
  <c r="B5156" i="3" l="1"/>
  <c r="B5157" i="3" l="1"/>
  <c r="B5158" i="3" l="1"/>
  <c r="B5159" i="3" l="1"/>
  <c r="B5160" i="3" l="1"/>
  <c r="B5161" i="3" l="1"/>
  <c r="B5162" i="3" l="1"/>
  <c r="B5163" i="3" l="1"/>
  <c r="B5164" i="3" l="1"/>
  <c r="B5165" i="3" l="1"/>
  <c r="B5166" i="3" l="1"/>
  <c r="B5167" i="3" l="1"/>
  <c r="B5168" i="3" l="1"/>
  <c r="B5169" i="3" l="1"/>
  <c r="B5170" i="3" l="1"/>
  <c r="B5171" i="3" l="1"/>
  <c r="B5172" i="3" l="1"/>
  <c r="B5173" i="3" l="1"/>
  <c r="B5174" i="3" l="1"/>
  <c r="B5175" i="3" l="1"/>
  <c r="B5176" i="3" l="1"/>
  <c r="B5177" i="3" l="1"/>
  <c r="B5178" i="3" l="1"/>
  <c r="B5179" i="3" l="1"/>
  <c r="B5180" i="3" l="1"/>
  <c r="B5181" i="3" l="1"/>
  <c r="B5182" i="3" l="1"/>
  <c r="B5183" i="3" l="1"/>
  <c r="B5184" i="3" l="1"/>
  <c r="B5185" i="3" l="1"/>
  <c r="B5186" i="3" l="1"/>
  <c r="B5187" i="3" l="1"/>
  <c r="B5188" i="3" l="1"/>
  <c r="B5189" i="3" l="1"/>
  <c r="B5190" i="3" l="1"/>
  <c r="B5191" i="3" l="1"/>
  <c r="B5192" i="3" l="1"/>
  <c r="B5193" i="3" l="1"/>
  <c r="B5194" i="3" l="1"/>
  <c r="B5195" i="3" l="1"/>
  <c r="B5196" i="3" l="1"/>
  <c r="B5197" i="3" l="1"/>
  <c r="B5198" i="3" l="1"/>
  <c r="B5199" i="3" l="1"/>
  <c r="B5200" i="3" l="1"/>
  <c r="B5201" i="3" l="1"/>
  <c r="B5202" i="3" l="1"/>
  <c r="B5203" i="3" l="1"/>
  <c r="B5204" i="3" l="1"/>
  <c r="B5205" i="3" l="1"/>
  <c r="B5206" i="3" l="1"/>
  <c r="B5207" i="3" l="1"/>
  <c r="B5208" i="3" l="1"/>
  <c r="B5209" i="3" l="1"/>
  <c r="B5210" i="3" l="1"/>
  <c r="B5211" i="3" l="1"/>
  <c r="B5212" i="3" l="1"/>
  <c r="B5213" i="3" s="1"/>
  <c r="B5214" i="3" s="1"/>
  <c r="B5215" i="3" s="1"/>
  <c r="B5216" i="3" s="1"/>
  <c r="B5217" i="3" s="1"/>
  <c r="B5218" i="3" s="1"/>
  <c r="B5219" i="3" l="1"/>
  <c r="B5220" i="3" l="1"/>
  <c r="B5221" i="3" l="1"/>
  <c r="B5222" i="3" l="1"/>
  <c r="B5223" i="3" l="1"/>
  <c r="B5224" i="3" l="1"/>
  <c r="B5225" i="3" l="1"/>
  <c r="B5226" i="3" l="1"/>
  <c r="B5227" i="3" l="1"/>
  <c r="B5228" i="3" l="1"/>
  <c r="B5229" i="3" l="1"/>
  <c r="B5230" i="3" l="1"/>
  <c r="B5231" i="3" l="1"/>
  <c r="B5232" i="3" s="1"/>
  <c r="B5233" i="3" s="1"/>
  <c r="B5234" i="3" s="1"/>
  <c r="B5235" i="3" s="1"/>
  <c r="B5236" i="3" s="1"/>
  <c r="B5237" i="3" s="1"/>
  <c r="B5238" i="3" s="1"/>
  <c r="B5239" i="3" s="1"/>
  <c r="B5240" i="3" s="1"/>
  <c r="B5241" i="3" s="1"/>
  <c r="B5242" i="3" s="1"/>
  <c r="B5243" i="3" s="1"/>
  <c r="B5244" i="3" s="1"/>
  <c r="B5245" i="3" s="1"/>
  <c r="B5246" i="3" s="1"/>
  <c r="B5247" i="3" s="1"/>
  <c r="B5248" i="3" s="1"/>
  <c r="B5249" i="3" s="1"/>
  <c r="B5250" i="3" s="1"/>
  <c r="B5251" i="3" s="1"/>
  <c r="B5252" i="3" s="1"/>
  <c r="B5253" i="3" s="1"/>
  <c r="B5254" i="3" s="1"/>
  <c r="B5255" i="3" s="1"/>
  <c r="B5256" i="3" s="1"/>
  <c r="B5257" i="3" s="1"/>
  <c r="B5258" i="3" s="1"/>
  <c r="B5259" i="3" s="1"/>
  <c r="B5260" i="3" s="1"/>
  <c r="B5261" i="3" s="1"/>
  <c r="B5262" i="3" s="1"/>
  <c r="B5263" i="3" s="1"/>
  <c r="B5264" i="3" s="1"/>
  <c r="B5265" i="3" l="1"/>
  <c r="B5266" i="3" l="1"/>
  <c r="B5267" i="3" s="1"/>
  <c r="B5268" i="3" s="1"/>
  <c r="B5269" i="3" s="1"/>
  <c r="B5270" i="3" s="1"/>
  <c r="B5271" i="3" s="1"/>
  <c r="B5272" i="3" s="1"/>
  <c r="B5273" i="3" s="1"/>
  <c r="B5274" i="3" s="1"/>
  <c r="B5275" i="3" s="1"/>
  <c r="B5276" i="3" s="1"/>
  <c r="B5277" i="3" s="1"/>
  <c r="B5278" i="3" s="1"/>
  <c r="B5279" i="3" s="1"/>
  <c r="B5280" i="3" s="1"/>
  <c r="B5281" i="3" s="1"/>
  <c r="B5282" i="3" s="1"/>
  <c r="B5283" i="3" s="1"/>
  <c r="B5284" i="3" s="1"/>
  <c r="B5285" i="3" s="1"/>
  <c r="B5286" i="3" s="1"/>
  <c r="B5287" i="3" s="1"/>
  <c r="B5288" i="3" s="1"/>
  <c r="B5289" i="3" s="1"/>
  <c r="B5290" i="3" s="1"/>
  <c r="B5291" i="3" s="1"/>
  <c r="B5292" i="3" s="1"/>
  <c r="B5293" i="3" s="1"/>
  <c r="B5294" i="3" s="1"/>
  <c r="B5295" i="3" s="1"/>
  <c r="B5296" i="3" s="1"/>
  <c r="B5297" i="3" s="1"/>
  <c r="B5298" i="3" s="1"/>
  <c r="B5299" i="3" s="1"/>
  <c r="B5300" i="3" s="1"/>
  <c r="B5301" i="3" s="1"/>
  <c r="B5302" i="3" s="1"/>
  <c r="B5303" i="3" s="1"/>
  <c r="B5304" i="3" s="1"/>
  <c r="B5305" i="3" s="1"/>
  <c r="B5306" i="3" s="1"/>
  <c r="B5307" i="3" s="1"/>
  <c r="B5308" i="3" s="1"/>
  <c r="B5309" i="3" s="1"/>
  <c r="B5310" i="3" s="1"/>
  <c r="B5311" i="3" s="1"/>
  <c r="B5312" i="3" l="1"/>
  <c r="B5313" i="3" s="1"/>
  <c r="B5314" i="3" s="1"/>
  <c r="B5315" i="3" l="1"/>
  <c r="B5316" i="3" l="1"/>
  <c r="B5317" i="3" l="1"/>
  <c r="B5318" i="3" l="1"/>
  <c r="B5319" i="3" l="1"/>
  <c r="B5320" i="3" l="1"/>
  <c r="B5321" i="3" l="1"/>
  <c r="B5322" i="3" l="1"/>
  <c r="B5323" i="3" l="1"/>
  <c r="B5324" i="3" l="1"/>
  <c r="B5325" i="3" l="1"/>
  <c r="B5326" i="3" l="1"/>
  <c r="B5327" i="3" l="1"/>
  <c r="B5328" i="3" l="1"/>
  <c r="B5329" i="3" l="1"/>
  <c r="B5330" i="3" l="1"/>
  <c r="B5331" i="3" l="1"/>
  <c r="B5332" i="3" s="1"/>
  <c r="B5333" i="3" s="1"/>
  <c r="B5334" i="3" s="1"/>
  <c r="B5335" i="3" s="1"/>
  <c r="B5336" i="3" s="1"/>
  <c r="B5337" i="3" s="1"/>
  <c r="B5338" i="3" s="1"/>
  <c r="B5339" i="3" s="1"/>
  <c r="B5340" i="3" s="1"/>
  <c r="B5341" i="3" s="1"/>
  <c r="B5342" i="3" s="1"/>
  <c r="B5343" i="3" s="1"/>
  <c r="B5344" i="3" s="1"/>
  <c r="B5345" i="3" s="1"/>
  <c r="B5346" i="3" s="1"/>
  <c r="B5347" i="3" s="1"/>
  <c r="B5348" i="3" s="1"/>
  <c r="B5349" i="3" s="1"/>
  <c r="B5350" i="3" s="1"/>
  <c r="B5351" i="3" s="1"/>
  <c r="B5352" i="3" s="1"/>
  <c r="B5353" i="3" s="1"/>
  <c r="B5354" i="3" s="1"/>
  <c r="B5355" i="3" s="1"/>
  <c r="B5356" i="3" s="1"/>
  <c r="B5357" i="3" s="1"/>
  <c r="B5358" i="3" s="1"/>
  <c r="B5359" i="3" s="1"/>
  <c r="B5360" i="3" s="1"/>
  <c r="B5361" i="3" s="1"/>
  <c r="B5362" i="3" s="1"/>
  <c r="B5363" i="3" s="1"/>
  <c r="B5364" i="3" s="1"/>
  <c r="B5365" i="3" s="1"/>
  <c r="B5366" i="3" s="1"/>
  <c r="B5367" i="3" s="1"/>
  <c r="B5368" i="3" s="1"/>
  <c r="B5369" i="3" s="1"/>
  <c r="B5370" i="3" s="1"/>
  <c r="B5371" i="3" s="1"/>
  <c r="B5372" i="3" s="1"/>
  <c r="B5373" i="3" s="1"/>
  <c r="B5374" i="3" s="1"/>
  <c r="B5375" i="3" s="1"/>
  <c r="B5376" i="3" s="1"/>
  <c r="B5377" i="3" s="1"/>
  <c r="B5378" i="3" s="1"/>
  <c r="B5379" i="3" s="1"/>
  <c r="B5380" i="3" s="1"/>
  <c r="B5381" i="3" s="1"/>
  <c r="B5382" i="3" s="1"/>
  <c r="B5383" i="3" s="1"/>
  <c r="B5384" i="3" s="1"/>
  <c r="B5385" i="3" s="1"/>
  <c r="B5386" i="3" s="1"/>
  <c r="B5387" i="3" s="1"/>
  <c r="B5388" i="3" s="1"/>
  <c r="B5389" i="3" s="1"/>
  <c r="B5390" i="3" s="1"/>
  <c r="B5391" i="3" s="1"/>
  <c r="B5392" i="3" s="1"/>
  <c r="B5393" i="3" s="1"/>
  <c r="B5394" i="3" s="1"/>
  <c r="B5395" i="3" s="1"/>
  <c r="B5396" i="3" s="1"/>
  <c r="B5397" i="3" s="1"/>
  <c r="B5398" i="3" s="1"/>
  <c r="B5399" i="3" s="1"/>
  <c r="B5400" i="3" s="1"/>
  <c r="B5401" i="3" s="1"/>
  <c r="B5402" i="3" s="1"/>
  <c r="B5403" i="3" s="1"/>
  <c r="B5404" i="3" s="1"/>
  <c r="B5405" i="3" s="1"/>
  <c r="B5406" i="3" s="1"/>
  <c r="B5407" i="3" s="1"/>
  <c r="B5408" i="3" s="1"/>
  <c r="B5409" i="3" s="1"/>
  <c r="B5410" i="3" s="1"/>
  <c r="B5411" i="3" s="1"/>
  <c r="B5412" i="3" s="1"/>
  <c r="B5413" i="3" s="1"/>
  <c r="B5414" i="3" s="1"/>
  <c r="B5415" i="3" s="1"/>
  <c r="B5416" i="3" s="1"/>
  <c r="B5417" i="3" s="1"/>
  <c r="B5418" i="3" s="1"/>
  <c r="B5419" i="3" s="1"/>
  <c r="B5420" i="3" s="1"/>
  <c r="B5421" i="3" s="1"/>
  <c r="B5422" i="3" s="1"/>
  <c r="B5423" i="3" s="1"/>
  <c r="B5424" i="3" s="1"/>
  <c r="B5425" i="3" s="1"/>
  <c r="B5426" i="3" s="1"/>
  <c r="B5427" i="3" s="1"/>
  <c r="B5428" i="3" s="1"/>
  <c r="B5429" i="3" s="1"/>
  <c r="B5430" i="3" s="1"/>
  <c r="B5431" i="3" s="1"/>
  <c r="B5432" i="3" s="1"/>
  <c r="B5433" i="3" s="1"/>
  <c r="B5434" i="3" s="1"/>
  <c r="B5435" i="3" s="1"/>
  <c r="B5436" i="3" s="1"/>
  <c r="B5437" i="3" s="1"/>
  <c r="B5438" i="3" s="1"/>
  <c r="B5439" i="3" s="1"/>
  <c r="B5440" i="3" s="1"/>
  <c r="B5441" i="3" s="1"/>
  <c r="B5442" i="3" s="1"/>
  <c r="B5443" i="3" s="1"/>
  <c r="B5444" i="3" s="1"/>
  <c r="B5445" i="3" s="1"/>
  <c r="B5446" i="3" s="1"/>
  <c r="B5447" i="3" s="1"/>
  <c r="B5448" i="3" s="1"/>
  <c r="B5449" i="3" s="1"/>
  <c r="B5450" i="3" s="1"/>
  <c r="B5451" i="3" s="1"/>
  <c r="B5452" i="3" s="1"/>
  <c r="B5453" i="3" s="1"/>
  <c r="B5454" i="3" s="1"/>
  <c r="B5455" i="3" s="1"/>
  <c r="B5456" i="3" s="1"/>
  <c r="B5457" i="3" s="1"/>
  <c r="B5458" i="3" s="1"/>
  <c r="B5459" i="3" s="1"/>
  <c r="B5460" i="3" s="1"/>
  <c r="B5461" i="3" s="1"/>
  <c r="B5462" i="3" s="1"/>
  <c r="B5463" i="3" s="1"/>
  <c r="B5464" i="3" s="1"/>
  <c r="B5465" i="3" s="1"/>
  <c r="B5466" i="3" s="1"/>
  <c r="B5467" i="3" s="1"/>
  <c r="B5468" i="3" s="1"/>
  <c r="B5469" i="3" s="1"/>
  <c r="B5470" i="3" s="1"/>
  <c r="B5471" i="3" s="1"/>
  <c r="B5472" i="3" s="1"/>
  <c r="B5473" i="3" s="1"/>
  <c r="B5474" i="3" s="1"/>
  <c r="B5475" i="3" s="1"/>
  <c r="B5476" i="3" s="1"/>
  <c r="B5477" i="3" s="1"/>
  <c r="B5478" i="3" s="1"/>
  <c r="B5479" i="3" s="1"/>
  <c r="B5480" i="3" s="1"/>
  <c r="B5481" i="3" s="1"/>
  <c r="B5482" i="3" s="1"/>
  <c r="B5483" i="3" s="1"/>
  <c r="B5484" i="3" s="1"/>
  <c r="B5485" i="3" s="1"/>
  <c r="B5486" i="3" s="1"/>
  <c r="B5487" i="3" l="1"/>
  <c r="B5488" i="3" l="1"/>
  <c r="B5489" i="3" l="1"/>
  <c r="B5490" i="3" l="1"/>
  <c r="B5491" i="3" l="1"/>
  <c r="B5492" i="3" s="1"/>
  <c r="B5493" i="3" l="1"/>
  <c r="B5494" i="3" l="1"/>
  <c r="B5495" i="3" l="1"/>
  <c r="B5496" i="3" l="1"/>
  <c r="B5497" i="3" l="1"/>
  <c r="B5498" i="3" l="1"/>
  <c r="B5499" i="3" l="1"/>
  <c r="B5500" i="3" l="1"/>
  <c r="B5501" i="3" l="1"/>
  <c r="B5502" i="3" l="1"/>
  <c r="B5503" i="3" l="1"/>
  <c r="B5504" i="3" l="1"/>
  <c r="B5505" i="3" l="1"/>
  <c r="B5506" i="3" l="1"/>
  <c r="B5507" i="3" l="1"/>
  <c r="B5508" i="3" l="1"/>
  <c r="B5509" i="3" l="1"/>
  <c r="B5510" i="3" s="1"/>
  <c r="B5511" i="3" l="1"/>
  <c r="B5512" i="3" l="1"/>
  <c r="B5513" i="3" l="1"/>
  <c r="B5514" i="3" l="1"/>
  <c r="C82" i="3" l="1"/>
  <c r="C5" i="3"/>
  <c r="C244" i="3"/>
  <c r="C72" i="3"/>
  <c r="C83" i="3"/>
  <c r="C256" i="3"/>
  <c r="C179" i="3"/>
  <c r="C246" i="3"/>
  <c r="C42" i="3"/>
  <c r="C253" i="3"/>
  <c r="C25" i="3"/>
  <c r="C49" i="3"/>
  <c r="C76" i="3"/>
  <c r="C279" i="3"/>
  <c r="C173" i="3"/>
  <c r="C128" i="3"/>
  <c r="C56" i="3"/>
  <c r="C195" i="3"/>
  <c r="C31" i="3"/>
  <c r="C18" i="3"/>
  <c r="C8" i="3"/>
  <c r="C41" i="3"/>
  <c r="C45" i="3"/>
  <c r="C99" i="3"/>
  <c r="C127" i="3"/>
  <c r="C286" i="3"/>
  <c r="C36" i="3"/>
  <c r="C125" i="3"/>
  <c r="C111" i="3"/>
  <c r="C2" i="3"/>
  <c r="C250" i="3"/>
  <c r="C101" i="3"/>
  <c r="C14" i="3"/>
  <c r="C292" i="3"/>
  <c r="C167" i="3"/>
  <c r="C190" i="3"/>
  <c r="C221" i="3"/>
  <c r="C139" i="3"/>
  <c r="C158" i="3"/>
  <c r="C231" i="3"/>
  <c r="C154" i="3"/>
  <c r="C61" i="3"/>
  <c r="C172" i="3"/>
  <c r="C303" i="3"/>
  <c r="C201" i="3"/>
  <c r="C53" i="3"/>
  <c r="C137" i="3"/>
  <c r="C93" i="3"/>
  <c r="C91" i="3"/>
  <c r="C17" i="3"/>
  <c r="C297" i="3"/>
  <c r="C114" i="3"/>
  <c r="C299" i="3"/>
  <c r="C95" i="3"/>
  <c r="C203" i="3"/>
  <c r="C236" i="3"/>
  <c r="C52" i="3"/>
  <c r="C145" i="3"/>
  <c r="C120" i="3"/>
  <c r="C199" i="3"/>
  <c r="C112" i="3"/>
  <c r="C308" i="3"/>
  <c r="C304" i="3"/>
  <c r="C86" i="3"/>
  <c r="C265" i="3"/>
  <c r="C197" i="3"/>
  <c r="C193" i="3"/>
  <c r="C89" i="3"/>
  <c r="C293" i="3"/>
  <c r="C202" i="3"/>
  <c r="C33" i="3"/>
  <c r="C281" i="3"/>
  <c r="C11" i="3"/>
  <c r="C155" i="3"/>
  <c r="C37" i="3"/>
  <c r="C124" i="3"/>
  <c r="C115" i="3"/>
  <c r="C209" i="3"/>
  <c r="C204" i="3"/>
  <c r="C178" i="3"/>
  <c r="C254" i="3"/>
  <c r="C138" i="3"/>
  <c r="C251" i="3"/>
  <c r="C272" i="3"/>
  <c r="C312" i="3"/>
  <c r="C198" i="3"/>
  <c r="C140" i="3"/>
  <c r="C275" i="3"/>
  <c r="C60" i="3"/>
  <c r="C192" i="3"/>
  <c r="C222" i="3"/>
  <c r="C235" i="3"/>
  <c r="C314" i="3"/>
  <c r="C255" i="3"/>
  <c r="C68" i="3"/>
  <c r="C134" i="3"/>
  <c r="C102" i="3"/>
  <c r="C321" i="3"/>
  <c r="C143" i="3"/>
  <c r="C182" i="3"/>
  <c r="C7" i="3"/>
  <c r="C57" i="3"/>
  <c r="C135" i="3"/>
  <c r="C24" i="3"/>
  <c r="C80" i="3"/>
  <c r="C15" i="3"/>
  <c r="C77" i="3"/>
  <c r="C316" i="3"/>
  <c r="C261" i="3"/>
  <c r="C161" i="3"/>
  <c r="C260" i="3"/>
  <c r="C287" i="3"/>
  <c r="C248" i="3"/>
  <c r="C51" i="3"/>
  <c r="C163" i="3"/>
  <c r="C105" i="3"/>
  <c r="C130" i="3"/>
  <c r="C23" i="3"/>
  <c r="C294" i="3"/>
  <c r="C227" i="3"/>
  <c r="C233" i="3"/>
  <c r="C270" i="3"/>
  <c r="C35" i="3"/>
  <c r="C75" i="3"/>
  <c r="C180" i="3"/>
  <c r="C263" i="3"/>
  <c r="C239" i="3"/>
  <c r="C159" i="3"/>
  <c r="C118" i="3"/>
  <c r="C311" i="3"/>
  <c r="C313" i="3"/>
  <c r="C320" i="3"/>
  <c r="C22" i="3"/>
  <c r="C282" i="3"/>
  <c r="C43" i="3"/>
  <c r="C258" i="3"/>
  <c r="C63" i="3"/>
  <c r="C177" i="3"/>
  <c r="C315" i="3"/>
  <c r="C217" i="3"/>
  <c r="C214" i="3"/>
  <c r="C110" i="3"/>
  <c r="C87" i="3"/>
  <c r="C184" i="3"/>
  <c r="C262" i="3"/>
  <c r="C267" i="3"/>
  <c r="C207" i="3"/>
  <c r="C196" i="3"/>
  <c r="C107" i="3"/>
  <c r="C174" i="3"/>
  <c r="C213" i="3"/>
  <c r="C247" i="3"/>
  <c r="C98" i="3"/>
  <c r="C318" i="3"/>
  <c r="C81" i="3"/>
  <c r="C59" i="3"/>
  <c r="C28" i="3"/>
  <c r="C122" i="3"/>
  <c r="C97" i="3"/>
  <c r="C218" i="3"/>
  <c r="C117" i="3"/>
  <c r="C277" i="3"/>
  <c r="C194" i="3"/>
  <c r="C129" i="3"/>
  <c r="C74" i="3"/>
  <c r="C147" i="3"/>
  <c r="C123" i="3"/>
  <c r="C302" i="3"/>
  <c r="C186" i="3"/>
  <c r="C133" i="3"/>
  <c r="C310" i="3"/>
  <c r="C65" i="3"/>
  <c r="C13" i="3"/>
  <c r="C67" i="3"/>
  <c r="C285" i="3"/>
  <c r="C305" i="3"/>
  <c r="C206" i="3"/>
  <c r="C109" i="3"/>
  <c r="C34" i="3"/>
  <c r="C185" i="3"/>
  <c r="C141" i="3"/>
  <c r="C19" i="3"/>
  <c r="C104" i="3"/>
  <c r="C306" i="3"/>
  <c r="C289" i="3"/>
  <c r="C69" i="3"/>
  <c r="C257" i="3"/>
  <c r="C241" i="3"/>
  <c r="C317" i="3"/>
  <c r="C225" i="3"/>
  <c r="C85" i="3"/>
  <c r="C288" i="3"/>
  <c r="C215" i="3"/>
  <c r="C291" i="3"/>
  <c r="C188" i="3"/>
  <c r="C64" i="3"/>
  <c r="C274" i="3"/>
  <c r="C205" i="3"/>
  <c r="C103" i="3"/>
  <c r="C156" i="3"/>
  <c r="C283" i="3"/>
  <c r="C46" i="3"/>
  <c r="C58" i="3"/>
  <c r="C131" i="3"/>
  <c r="C269" i="3"/>
  <c r="C38" i="3"/>
  <c r="C4" i="3"/>
  <c r="C144" i="3"/>
  <c r="C27" i="3"/>
  <c r="C9" i="3"/>
  <c r="C245" i="3"/>
  <c r="C295" i="3"/>
  <c r="C284" i="3"/>
  <c r="C211" i="3"/>
  <c r="C21" i="3"/>
  <c r="C208" i="3"/>
  <c r="C142" i="3"/>
  <c r="C153" i="3"/>
  <c r="C300" i="3"/>
  <c r="C47" i="3"/>
  <c r="C16" i="3"/>
  <c r="C271" i="3"/>
  <c r="C176" i="3"/>
  <c r="C276" i="3"/>
  <c r="C228" i="3"/>
  <c r="C169" i="3"/>
  <c r="C319" i="3"/>
  <c r="C10" i="3"/>
  <c r="C200" i="3"/>
  <c r="C29" i="3"/>
  <c r="C268" i="3"/>
  <c r="C50" i="3"/>
  <c r="C183" i="3"/>
  <c r="C238" i="3"/>
  <c r="C212" i="3"/>
  <c r="C84" i="3"/>
  <c r="C132" i="3"/>
  <c r="C224" i="3"/>
  <c r="C12" i="3"/>
  <c r="C234" i="3"/>
  <c r="C223" i="3"/>
  <c r="C79" i="3"/>
  <c r="C164" i="3"/>
  <c r="C243" i="3"/>
  <c r="C94" i="3"/>
  <c r="C40" i="3"/>
  <c r="C106" i="3"/>
  <c r="C152" i="3"/>
  <c r="C92" i="3"/>
  <c r="C280" i="3"/>
  <c r="C44" i="3"/>
  <c r="C232" i="3"/>
  <c r="C309" i="3"/>
  <c r="C90" i="3"/>
  <c r="C30" i="3"/>
  <c r="C171" i="3"/>
  <c r="C150" i="3"/>
  <c r="C166" i="3"/>
  <c r="C121" i="3"/>
  <c r="C273" i="3"/>
  <c r="C96" i="3"/>
  <c r="C220" i="3"/>
  <c r="C296" i="3"/>
  <c r="C168" i="3"/>
  <c r="C108" i="3"/>
  <c r="C170" i="3"/>
  <c r="C78" i="3"/>
  <c r="C32" i="3"/>
  <c r="C71" i="3"/>
  <c r="C237" i="3"/>
  <c r="C191" i="3"/>
  <c r="C278" i="3"/>
  <c r="C157" i="3"/>
  <c r="C6" i="3"/>
  <c r="C226" i="3"/>
  <c r="C189" i="3"/>
  <c r="C210" i="3"/>
  <c r="C48" i="3"/>
  <c r="C229" i="3"/>
  <c r="C230" i="3"/>
  <c r="C165" i="3"/>
  <c r="C160" i="3"/>
  <c r="C100" i="3"/>
  <c r="C119" i="3"/>
  <c r="C20" i="3"/>
  <c r="C116" i="3"/>
  <c r="C54" i="3"/>
  <c r="C216" i="3"/>
  <c r="C88" i="3"/>
  <c r="C290" i="3"/>
  <c r="C151" i="3"/>
  <c r="C73" i="3"/>
  <c r="C307" i="3"/>
  <c r="C266" i="3"/>
  <c r="C66" i="3"/>
  <c r="C136" i="3"/>
  <c r="C240" i="3"/>
  <c r="C181" i="3"/>
  <c r="C149" i="3"/>
  <c r="C113" i="3"/>
  <c r="C3" i="3"/>
  <c r="C298" i="3"/>
  <c r="C55" i="3"/>
  <c r="C126" i="3"/>
  <c r="C146" i="3"/>
  <c r="C242" i="3"/>
  <c r="C259" i="3"/>
  <c r="C162" i="3"/>
  <c r="C187" i="3"/>
  <c r="C219" i="3"/>
  <c r="C175" i="3"/>
  <c r="C252" i="3"/>
  <c r="C39" i="3"/>
  <c r="C249" i="3"/>
  <c r="C264" i="3"/>
  <c r="C62" i="3"/>
  <c r="C301" i="3"/>
  <c r="C26" i="3"/>
  <c r="C70" i="3"/>
  <c r="C148" i="3"/>
  <c r="C5511" i="3"/>
  <c r="C566" i="3"/>
  <c r="C357" i="3"/>
  <c r="C510" i="3"/>
  <c r="C325" i="3"/>
  <c r="C480" i="3"/>
  <c r="C367" i="3"/>
  <c r="C412" i="3"/>
  <c r="C567" i="3"/>
  <c r="C559" i="3"/>
  <c r="C552" i="3"/>
  <c r="C505" i="3"/>
  <c r="C491" i="3"/>
  <c r="C523" i="3"/>
  <c r="C346" i="3"/>
  <c r="C537" i="3"/>
  <c r="C467" i="3"/>
  <c r="C531" i="3"/>
  <c r="C366" i="3"/>
  <c r="C556" i="3"/>
  <c r="C395" i="3"/>
  <c r="C561" i="3"/>
  <c r="C391" i="3"/>
  <c r="C328" i="3"/>
  <c r="C558" i="3"/>
  <c r="C339" i="3"/>
  <c r="C446" i="3"/>
  <c r="C498" i="3"/>
  <c r="C455" i="3"/>
  <c r="C430" i="3"/>
  <c r="C381" i="3"/>
  <c r="C440" i="3"/>
  <c r="C509" i="3"/>
  <c r="C354" i="3"/>
  <c r="C456" i="3"/>
  <c r="C473" i="3"/>
  <c r="C371" i="3"/>
  <c r="C564" i="3"/>
  <c r="C394" i="3"/>
  <c r="C562" i="3"/>
  <c r="C486" i="3"/>
  <c r="C560" i="3"/>
  <c r="C536" i="3"/>
  <c r="C547" i="3"/>
  <c r="C522" i="3"/>
  <c r="C553" i="3"/>
  <c r="C341" i="3"/>
  <c r="C525" i="3"/>
  <c r="C427" i="3"/>
  <c r="C361" i="3"/>
  <c r="C500" i="3"/>
  <c r="C385" i="3"/>
  <c r="C462" i="3"/>
  <c r="C323" i="3"/>
  <c r="C517" i="3"/>
  <c r="C501" i="3"/>
  <c r="C356" i="3"/>
  <c r="C504" i="3"/>
  <c r="C495" i="3"/>
  <c r="C399" i="3"/>
  <c r="C481" i="3"/>
  <c r="C324" i="3"/>
  <c r="C386" i="3"/>
  <c r="C543" i="3"/>
  <c r="C477" i="3"/>
  <c r="C330" i="3"/>
  <c r="C485" i="3"/>
  <c r="C364" i="3"/>
  <c r="C476" i="3"/>
  <c r="C488" i="3"/>
  <c r="C377" i="3"/>
  <c r="C421" i="3"/>
  <c r="C527" i="3"/>
  <c r="C363" i="3"/>
  <c r="C449" i="3"/>
  <c r="C544" i="3"/>
  <c r="C528" i="3"/>
  <c r="C340" i="3"/>
  <c r="C529" i="3"/>
  <c r="C360" i="3"/>
  <c r="C460" i="3"/>
  <c r="C461" i="3"/>
  <c r="C388" i="3"/>
  <c r="C359" i="3"/>
  <c r="C390" i="3"/>
  <c r="C332" i="3"/>
  <c r="C490" i="3"/>
  <c r="C352" i="3"/>
  <c r="C514" i="3"/>
  <c r="C432" i="3"/>
  <c r="C373" i="3"/>
  <c r="C415" i="3"/>
  <c r="C484" i="3"/>
  <c r="C355" i="3"/>
  <c r="C347" i="3"/>
  <c r="C532" i="3"/>
  <c r="C475" i="3"/>
  <c r="C479" i="3"/>
  <c r="C492" i="3"/>
  <c r="C478" i="3"/>
  <c r="C374" i="3"/>
  <c r="C554" i="3"/>
  <c r="C423" i="3"/>
  <c r="C526" i="3"/>
  <c r="C372" i="3"/>
  <c r="C379" i="3"/>
  <c r="C521" i="3"/>
  <c r="C344" i="3"/>
  <c r="C338" i="3"/>
  <c r="C470" i="3"/>
  <c r="C331" i="3"/>
  <c r="C451" i="3"/>
  <c r="C398" i="3"/>
  <c r="C499" i="3"/>
  <c r="C376" i="3"/>
  <c r="C508" i="3"/>
  <c r="C429" i="3"/>
  <c r="C417" i="3"/>
  <c r="C458" i="3"/>
  <c r="C348" i="3"/>
  <c r="C518" i="3"/>
  <c r="C549" i="3"/>
  <c r="C387" i="3"/>
  <c r="C380" i="3"/>
  <c r="C546" i="3"/>
  <c r="C393" i="3"/>
  <c r="C442" i="3"/>
  <c r="C396" i="3"/>
  <c r="C365" i="3"/>
  <c r="C438" i="3"/>
  <c r="C565" i="3"/>
  <c r="C389" i="3"/>
  <c r="C425" i="3"/>
  <c r="C538" i="3"/>
  <c r="C535" i="3"/>
  <c r="C413" i="3"/>
  <c r="C474" i="3"/>
  <c r="C428" i="3"/>
  <c r="C569" i="3"/>
  <c r="C471" i="3"/>
  <c r="C512" i="3"/>
  <c r="C457" i="3"/>
  <c r="C563" i="3"/>
  <c r="C511" i="3"/>
  <c r="C441" i="3"/>
  <c r="C368" i="3"/>
  <c r="C375" i="3"/>
  <c r="C342" i="3"/>
  <c r="C550" i="3"/>
  <c r="C426" i="3"/>
  <c r="C422" i="3"/>
  <c r="C408" i="3"/>
  <c r="C350" i="3"/>
  <c r="C407" i="3"/>
  <c r="C503" i="3"/>
  <c r="C459" i="3"/>
  <c r="C401" i="3"/>
  <c r="C513" i="3"/>
  <c r="C454" i="3"/>
  <c r="C568" i="3"/>
  <c r="C520" i="3"/>
  <c r="C551" i="3"/>
  <c r="C402" i="3"/>
  <c r="C453" i="3"/>
  <c r="C326" i="3"/>
  <c r="C383" i="3"/>
  <c r="C448" i="3"/>
  <c r="C524" i="3"/>
  <c r="C519" i="3"/>
  <c r="C463" i="3"/>
  <c r="C351" i="3"/>
  <c r="C494" i="3"/>
  <c r="C530" i="3"/>
  <c r="C439" i="3"/>
  <c r="C539" i="3"/>
  <c r="C334" i="3"/>
  <c r="C424" i="3"/>
  <c r="C436" i="3"/>
  <c r="C418" i="3"/>
  <c r="C506" i="3"/>
  <c r="C327" i="3"/>
  <c r="C353" i="3"/>
  <c r="C516" i="3"/>
  <c r="C414" i="3"/>
  <c r="C358" i="3"/>
  <c r="C557" i="3"/>
  <c r="C335" i="3"/>
  <c r="C466" i="3"/>
  <c r="C378" i="3"/>
  <c r="C370" i="3"/>
  <c r="C400" i="3"/>
  <c r="C545" i="3"/>
  <c r="C434" i="3"/>
  <c r="C406" i="3"/>
  <c r="C502" i="3"/>
  <c r="C382" i="3"/>
  <c r="C452" i="3"/>
  <c r="C447" i="3"/>
  <c r="C435" i="3"/>
  <c r="C433" i="3"/>
  <c r="C362" i="3"/>
  <c r="C345" i="3"/>
  <c r="C542" i="3"/>
  <c r="C405" i="3"/>
  <c r="C322" i="3"/>
  <c r="C444" i="3"/>
  <c r="C416" i="3"/>
  <c r="C493" i="3"/>
  <c r="C337" i="3"/>
  <c r="C555" i="3"/>
  <c r="C507" i="3"/>
  <c r="C410" i="3"/>
  <c r="C534" i="3"/>
  <c r="C420" i="3"/>
  <c r="C515" i="3"/>
  <c r="C437" i="3"/>
  <c r="C431" i="3"/>
  <c r="C482" i="3"/>
  <c r="C397" i="3"/>
  <c r="C411" i="3"/>
  <c r="C570" i="3"/>
  <c r="C540" i="3"/>
  <c r="C483" i="3"/>
  <c r="C496" i="3"/>
  <c r="C333" i="3"/>
  <c r="C419" i="3"/>
  <c r="C403" i="3"/>
  <c r="C404" i="3"/>
  <c r="C468" i="3"/>
  <c r="C541" i="3"/>
  <c r="C472" i="3"/>
  <c r="C464" i="3"/>
  <c r="C469" i="3"/>
  <c r="C392" i="3"/>
  <c r="C487" i="3"/>
  <c r="C336" i="3"/>
  <c r="C329" i="3"/>
  <c r="C489" i="3"/>
  <c r="C445" i="3"/>
  <c r="C465" i="3"/>
  <c r="C384" i="3"/>
  <c r="C533" i="3"/>
  <c r="C548" i="3"/>
  <c r="C343" i="3"/>
  <c r="C409" i="3"/>
  <c r="C349" i="3"/>
  <c r="C497" i="3"/>
  <c r="C450" i="3"/>
  <c r="C369" i="3"/>
  <c r="C443" i="3"/>
  <c r="C5512" i="3"/>
  <c r="C5508" i="3"/>
  <c r="C2302" i="3"/>
  <c r="C752" i="3"/>
  <c r="C4191" i="3"/>
  <c r="C1414" i="3"/>
  <c r="C3569" i="3"/>
  <c r="C4655" i="3"/>
  <c r="C645" i="3"/>
  <c r="C2633" i="3"/>
  <c r="C3234" i="3"/>
  <c r="C2803" i="3"/>
  <c r="C4124" i="3"/>
  <c r="C614" i="3"/>
  <c r="C673" i="3"/>
  <c r="C3563" i="3"/>
  <c r="C3966" i="3"/>
  <c r="C4653" i="3"/>
  <c r="C652" i="3"/>
  <c r="C3058" i="3"/>
  <c r="C3756" i="3"/>
  <c r="C4184" i="3"/>
  <c r="C2183" i="3"/>
  <c r="C1507" i="3"/>
  <c r="C4167" i="3"/>
  <c r="C3010" i="3"/>
  <c r="C4261" i="3"/>
  <c r="C3191" i="3"/>
  <c r="C3931" i="3"/>
  <c r="C4111" i="3"/>
  <c r="C3249" i="3"/>
  <c r="C4317" i="3"/>
  <c r="C2123" i="3"/>
  <c r="C1925" i="3"/>
  <c r="C3146" i="3"/>
  <c r="C4162" i="3"/>
  <c r="C1284" i="3"/>
  <c r="C1169" i="3"/>
  <c r="C1121" i="3"/>
  <c r="C3163" i="3"/>
  <c r="C1311" i="3"/>
  <c r="C1151" i="3"/>
  <c r="C1785" i="3"/>
  <c r="C1610" i="3"/>
  <c r="C905" i="3"/>
  <c r="C1620" i="3"/>
  <c r="C2140" i="3"/>
  <c r="C5439" i="3"/>
  <c r="C2742" i="3"/>
  <c r="C3355" i="3"/>
  <c r="C3977" i="3"/>
  <c r="C2817" i="3"/>
  <c r="C2703" i="3"/>
  <c r="C4492" i="3"/>
  <c r="C676" i="3"/>
  <c r="C4223" i="3"/>
  <c r="C2772" i="3"/>
  <c r="C821" i="3"/>
  <c r="C4616" i="3"/>
  <c r="C5125" i="3"/>
  <c r="C4551" i="3"/>
  <c r="C3233" i="3"/>
  <c r="C1106" i="3"/>
  <c r="C1893" i="3"/>
  <c r="C3366" i="3"/>
  <c r="C4020" i="3"/>
  <c r="C1093" i="3"/>
  <c r="C2704" i="3"/>
  <c r="C2627" i="3"/>
  <c r="C4924" i="3"/>
  <c r="C4620" i="3"/>
  <c r="C4354" i="3"/>
  <c r="C3561" i="3"/>
  <c r="C1586" i="3"/>
  <c r="C4946" i="3"/>
  <c r="C1265" i="3"/>
  <c r="C3239" i="3"/>
  <c r="C1976" i="3"/>
  <c r="C1612" i="3"/>
  <c r="C4764" i="3"/>
  <c r="C2328" i="3"/>
  <c r="C2402" i="3"/>
  <c r="C1410" i="3"/>
  <c r="C2596" i="3"/>
  <c r="C5130" i="3"/>
  <c r="C2993" i="3"/>
  <c r="C5034" i="3"/>
  <c r="C646" i="3"/>
  <c r="C3072" i="3"/>
  <c r="C1112" i="3"/>
  <c r="C1599" i="3"/>
  <c r="C1561" i="3"/>
  <c r="C4714" i="3"/>
  <c r="C4978" i="3"/>
  <c r="C3808" i="3"/>
  <c r="C4374" i="3"/>
  <c r="C844" i="3"/>
  <c r="C2422" i="3"/>
  <c r="C2151" i="3"/>
  <c r="C3185" i="3"/>
  <c r="C1765" i="3"/>
  <c r="C1967" i="3"/>
  <c r="C1019" i="3"/>
  <c r="C4622" i="3"/>
  <c r="C3099" i="3"/>
  <c r="C3660" i="3"/>
  <c r="C5339" i="3"/>
  <c r="C1412" i="3"/>
  <c r="C1820" i="3"/>
  <c r="C5460" i="3"/>
  <c r="C2106" i="3"/>
  <c r="C2275" i="3"/>
  <c r="C2307" i="3"/>
  <c r="C2764" i="3"/>
  <c r="C5198" i="3"/>
  <c r="C2881" i="3"/>
  <c r="C5081" i="3"/>
  <c r="C1566" i="3"/>
  <c r="C4237" i="3"/>
  <c r="C2034" i="3"/>
  <c r="C5021" i="3"/>
  <c r="C3822" i="3"/>
  <c r="C1476" i="3"/>
  <c r="C4016" i="3"/>
  <c r="C5141" i="3"/>
  <c r="C1375" i="3"/>
  <c r="C4693" i="3"/>
  <c r="C1535" i="3"/>
  <c r="C1918" i="3"/>
  <c r="C3968" i="3"/>
  <c r="C915" i="3"/>
  <c r="C3117" i="3"/>
  <c r="C1270" i="3"/>
  <c r="C1181" i="3"/>
  <c r="C4471" i="3"/>
  <c r="C3087" i="3"/>
  <c r="C3303" i="3"/>
  <c r="C1511" i="3"/>
  <c r="C3171" i="3"/>
  <c r="C4172" i="3"/>
  <c r="C1076" i="3"/>
  <c r="C4490" i="3"/>
  <c r="C3803" i="3"/>
  <c r="C1432" i="3"/>
  <c r="C3988" i="3"/>
  <c r="C800" i="3"/>
  <c r="C2500" i="3"/>
  <c r="C2542" i="3"/>
  <c r="C2738" i="3"/>
  <c r="C2965" i="3"/>
  <c r="C4817" i="3"/>
  <c r="C1347" i="3"/>
  <c r="C2169" i="3"/>
  <c r="C803" i="3"/>
  <c r="C3069" i="3"/>
  <c r="C3527" i="3"/>
  <c r="C3922" i="3"/>
  <c r="C3542" i="3"/>
  <c r="C842" i="3"/>
  <c r="C3846" i="3"/>
  <c r="C1285" i="3"/>
  <c r="C3138" i="3"/>
  <c r="C3256" i="3"/>
  <c r="C1218" i="3"/>
  <c r="C2588" i="3"/>
  <c r="C4148" i="3"/>
  <c r="C3616" i="3"/>
  <c r="C3133" i="3"/>
  <c r="C3909" i="3"/>
  <c r="C4757" i="3"/>
  <c r="C4278" i="3"/>
  <c r="C3059" i="3"/>
  <c r="C1348" i="3"/>
  <c r="C1595" i="3"/>
  <c r="C1738" i="3"/>
  <c r="C3358" i="3"/>
  <c r="C4843" i="3"/>
  <c r="C599" i="3"/>
  <c r="C1573" i="3"/>
  <c r="C1165" i="3"/>
  <c r="C4009" i="3"/>
  <c r="C1308" i="3"/>
  <c r="C2283" i="3"/>
  <c r="C3025" i="3"/>
  <c r="C4389" i="3"/>
  <c r="C4818" i="3"/>
  <c r="C1317" i="3"/>
  <c r="C2132" i="3"/>
  <c r="C1429" i="3"/>
  <c r="C3531" i="3"/>
  <c r="C4109" i="3"/>
  <c r="C4637" i="3"/>
  <c r="C4638" i="3"/>
  <c r="C665" i="3"/>
  <c r="C1767" i="3"/>
  <c r="C1108" i="3"/>
  <c r="C3305" i="3"/>
  <c r="C4257" i="3"/>
  <c r="C2634" i="3"/>
  <c r="C5111" i="3"/>
  <c r="C5357" i="3"/>
  <c r="C3737" i="3"/>
  <c r="C4438" i="3"/>
  <c r="C4708" i="3"/>
  <c r="C2112" i="3"/>
  <c r="C3799" i="3"/>
  <c r="C1161" i="3"/>
  <c r="C1310" i="3"/>
  <c r="C2251" i="3"/>
  <c r="C1700" i="3"/>
  <c r="C1998" i="3"/>
  <c r="C2498" i="3"/>
  <c r="C1714" i="3"/>
  <c r="C2299" i="3"/>
  <c r="C2393" i="3"/>
  <c r="C4244" i="3"/>
  <c r="C721" i="3"/>
  <c r="C2571" i="3"/>
  <c r="C3578" i="3"/>
  <c r="C851" i="3"/>
  <c r="C4208" i="3"/>
  <c r="C1927" i="3"/>
  <c r="C1947" i="3"/>
  <c r="C4959" i="3"/>
  <c r="C4876" i="3"/>
  <c r="C1379" i="3"/>
  <c r="C5466" i="3"/>
  <c r="C3628" i="3"/>
  <c r="C4407" i="3"/>
  <c r="C2037" i="3"/>
  <c r="C3196" i="3"/>
  <c r="C4752" i="3"/>
  <c r="C4793" i="3"/>
  <c r="C3433" i="3"/>
  <c r="C3367" i="3"/>
  <c r="C4032" i="3"/>
  <c r="C1088" i="3"/>
  <c r="C906" i="3"/>
  <c r="C3143" i="3"/>
  <c r="C1672" i="3"/>
  <c r="C3266" i="3"/>
  <c r="C5469" i="3"/>
  <c r="C3298" i="3"/>
  <c r="C2207" i="3"/>
  <c r="C1949" i="3"/>
  <c r="C4416" i="3"/>
  <c r="C2098" i="3"/>
  <c r="C2830" i="3"/>
  <c r="C1399" i="3"/>
  <c r="C1212" i="3"/>
  <c r="C3040" i="3"/>
  <c r="C1864" i="3"/>
  <c r="C2479" i="3"/>
  <c r="C1330" i="3"/>
  <c r="C5369" i="3"/>
  <c r="C3777" i="3"/>
  <c r="C3735" i="3"/>
  <c r="C1374" i="3"/>
  <c r="C2159" i="3"/>
  <c r="C2937" i="3"/>
  <c r="C689" i="3"/>
  <c r="C811" i="3"/>
  <c r="C5251" i="3"/>
  <c r="C5159" i="3"/>
  <c r="C5465" i="3"/>
  <c r="C1315" i="3"/>
  <c r="C1549" i="3"/>
  <c r="C3003" i="3"/>
  <c r="C4053" i="3"/>
  <c r="C936" i="3"/>
  <c r="C3077" i="3"/>
  <c r="C1062" i="3"/>
  <c r="C3426" i="3"/>
  <c r="C2797" i="3"/>
  <c r="C2709" i="3"/>
  <c r="C1010" i="3"/>
  <c r="C1679" i="3"/>
  <c r="C1773" i="3"/>
  <c r="C1427" i="3"/>
  <c r="C1687" i="3"/>
  <c r="C2268" i="3"/>
  <c r="C609" i="3"/>
  <c r="C580" i="3"/>
  <c r="C3079" i="3"/>
  <c r="C953" i="3"/>
  <c r="C5454" i="3"/>
  <c r="C2537" i="3"/>
  <c r="C4406" i="3"/>
  <c r="C3794" i="3"/>
  <c r="C780" i="3"/>
  <c r="C2990" i="3"/>
  <c r="C2569" i="3"/>
  <c r="C3790" i="3"/>
  <c r="C3513" i="3"/>
  <c r="C3225" i="3"/>
  <c r="C5394" i="3"/>
  <c r="C1113" i="3"/>
  <c r="C2417" i="3"/>
  <c r="C1087" i="3"/>
  <c r="C3971" i="3"/>
  <c r="C4287" i="3"/>
  <c r="C5413" i="3"/>
  <c r="C4486" i="3"/>
  <c r="C5475" i="3"/>
  <c r="C3455" i="3"/>
  <c r="C4837" i="3"/>
  <c r="C2980" i="3"/>
  <c r="C1471" i="3"/>
  <c r="C5412" i="3"/>
  <c r="C2715" i="3"/>
  <c r="C2085" i="3"/>
  <c r="C2884" i="3"/>
  <c r="C3537" i="3"/>
  <c r="C1107" i="3"/>
  <c r="C3213" i="3"/>
  <c r="C4604" i="3"/>
  <c r="C692" i="3"/>
  <c r="C4493" i="3"/>
  <c r="C1346" i="3"/>
  <c r="C1259" i="3"/>
  <c r="C1155" i="3"/>
  <c r="C5181" i="3"/>
  <c r="C830" i="3"/>
  <c r="C4446" i="3"/>
  <c r="C4183" i="3"/>
  <c r="C787" i="3"/>
  <c r="C898" i="3"/>
  <c r="C3227" i="3"/>
  <c r="C3268" i="3"/>
  <c r="C3253" i="3"/>
  <c r="C4349" i="3"/>
  <c r="C1435" i="3"/>
  <c r="C2412" i="3"/>
  <c r="C3602" i="3"/>
  <c r="C1845" i="3"/>
  <c r="C1932" i="3"/>
  <c r="C4508" i="3"/>
  <c r="C3834" i="3"/>
  <c r="C2205" i="3"/>
  <c r="C2698" i="3"/>
  <c r="C4656" i="3"/>
  <c r="C4502" i="3"/>
  <c r="C1797" i="3"/>
  <c r="C1999" i="3"/>
  <c r="C2695" i="3"/>
  <c r="C3666" i="3"/>
  <c r="C5079" i="3"/>
  <c r="C3216" i="3"/>
  <c r="C1276" i="3"/>
  <c r="C3273" i="3"/>
  <c r="C984" i="3"/>
  <c r="C1963" i="3"/>
  <c r="C1083" i="3"/>
  <c r="C1305" i="3"/>
  <c r="C1200" i="3"/>
  <c r="C4412" i="3"/>
  <c r="C2905" i="3"/>
  <c r="C1085" i="3"/>
  <c r="C1144" i="3"/>
  <c r="C4130" i="3"/>
  <c r="C1060" i="3"/>
  <c r="C2099" i="3"/>
  <c r="C3760" i="3"/>
  <c r="C1184" i="3"/>
  <c r="C3235" i="3"/>
  <c r="C2707" i="3"/>
  <c r="C2201" i="3"/>
  <c r="C1176" i="3"/>
  <c r="C1601" i="3"/>
  <c r="C2906" i="3"/>
  <c r="C5322" i="3"/>
  <c r="C4831" i="3"/>
  <c r="C1758" i="3"/>
  <c r="C1095" i="3"/>
  <c r="C4355" i="3"/>
  <c r="C4767" i="3"/>
  <c r="C4052" i="3"/>
  <c r="C2331" i="3"/>
  <c r="C1263" i="3"/>
  <c r="C3187" i="3"/>
  <c r="C1303" i="3"/>
  <c r="C2391" i="3"/>
  <c r="C3579" i="3"/>
  <c r="C3120" i="3"/>
  <c r="C838" i="3"/>
  <c r="C5074" i="3"/>
  <c r="C4951" i="3"/>
  <c r="C4321" i="3"/>
  <c r="C1756" i="3"/>
  <c r="C4741" i="3"/>
  <c r="C3210" i="3"/>
  <c r="C1743" i="3"/>
  <c r="C5376" i="3"/>
  <c r="C3877" i="3"/>
  <c r="C657" i="3"/>
  <c r="C3632" i="3"/>
  <c r="C929" i="3"/>
  <c r="C1572" i="3"/>
  <c r="C3744" i="3"/>
  <c r="C3731" i="3"/>
  <c r="C1387" i="3"/>
  <c r="C4298" i="3"/>
  <c r="C2737" i="3"/>
  <c r="C2619" i="3"/>
  <c r="C4833" i="3"/>
  <c r="C2301" i="3"/>
  <c r="C2405" i="3"/>
  <c r="C4582" i="3"/>
  <c r="C1068" i="3"/>
  <c r="C3525" i="3"/>
  <c r="C4177" i="3"/>
  <c r="C1280" i="3"/>
  <c r="C2888" i="3"/>
  <c r="C5016" i="3"/>
  <c r="C4912" i="3"/>
  <c r="C3176" i="3"/>
  <c r="C2075" i="3"/>
  <c r="C4473" i="3"/>
  <c r="C3078" i="3"/>
  <c r="C2978" i="3"/>
  <c r="C2434" i="3"/>
  <c r="C4969" i="3"/>
  <c r="C4926" i="3"/>
  <c r="C4991" i="3"/>
  <c r="C877" i="3"/>
  <c r="C3929" i="3"/>
  <c r="C3624" i="3"/>
  <c r="C802" i="3"/>
  <c r="C907" i="3"/>
  <c r="C2761" i="3"/>
  <c r="C2722" i="3"/>
  <c r="C756" i="3"/>
  <c r="C1867" i="3"/>
  <c r="C1990" i="3"/>
  <c r="C4526" i="3"/>
  <c r="C3017" i="3"/>
  <c r="C3446" i="3"/>
  <c r="C4855" i="3"/>
  <c r="C2137" i="3"/>
  <c r="C939" i="3"/>
  <c r="C656" i="3"/>
  <c r="C5409" i="3"/>
  <c r="C2559" i="3"/>
  <c r="C1851" i="3"/>
  <c r="C3114" i="3"/>
  <c r="C2414" i="3"/>
  <c r="C3596" i="3"/>
  <c r="C5447" i="3"/>
  <c r="C4568" i="3"/>
  <c r="C3471" i="3"/>
  <c r="C1796" i="3"/>
  <c r="C5311" i="3"/>
  <c r="C3432" i="3"/>
  <c r="C5129" i="3"/>
  <c r="C3057" i="3"/>
  <c r="C4673" i="3"/>
  <c r="C1930" i="3"/>
  <c r="C3472" i="3"/>
  <c r="C5097" i="3"/>
  <c r="C5321" i="3"/>
  <c r="C2998" i="3"/>
  <c r="C3634" i="3"/>
  <c r="C4201" i="3"/>
  <c r="C1446" i="3"/>
  <c r="C4077" i="3"/>
  <c r="C696" i="3"/>
  <c r="C3374" i="3"/>
  <c r="C2455" i="3"/>
  <c r="C4450" i="3"/>
  <c r="C4760" i="3"/>
  <c r="C4784" i="3"/>
  <c r="C895" i="3"/>
  <c r="C4073" i="3"/>
  <c r="C4345" i="3"/>
  <c r="C5419" i="3"/>
  <c r="C5403" i="3"/>
  <c r="C3101" i="3"/>
  <c r="C1861" i="3"/>
  <c r="C4566" i="3"/>
  <c r="C4547" i="3"/>
  <c r="C4316" i="3"/>
  <c r="C3940" i="3"/>
  <c r="C4518" i="3"/>
  <c r="C3031" i="3"/>
  <c r="C1098" i="3"/>
  <c r="C5288" i="3"/>
  <c r="C4911" i="3"/>
  <c r="C1877" i="3"/>
  <c r="C1840" i="3"/>
  <c r="C3112" i="3"/>
  <c r="C3377" i="3"/>
  <c r="C640" i="3"/>
  <c r="C732" i="3"/>
  <c r="C4318" i="3"/>
  <c r="C5411" i="3"/>
  <c r="C5274" i="3"/>
  <c r="C3467" i="3"/>
  <c r="C5041" i="3"/>
  <c r="C1324" i="3"/>
  <c r="C2243" i="3"/>
  <c r="C3421" i="3"/>
  <c r="C5147" i="3"/>
  <c r="C5137" i="3"/>
  <c r="C3441" i="3"/>
  <c r="C5317" i="3"/>
  <c r="C2428" i="3"/>
  <c r="C2150" i="3"/>
  <c r="C3713" i="3"/>
  <c r="C2964" i="3"/>
  <c r="C612" i="3"/>
  <c r="C3160" i="3"/>
  <c r="C2346" i="3"/>
  <c r="C2133" i="3"/>
  <c r="C1885" i="3"/>
  <c r="C641" i="3"/>
  <c r="C3805" i="3"/>
  <c r="C3302" i="3"/>
  <c r="C1997" i="3"/>
  <c r="C1492" i="3"/>
  <c r="C921" i="3"/>
  <c r="C4431" i="3"/>
  <c r="C1403" i="3"/>
  <c r="C3638" i="3"/>
  <c r="C4443" i="3"/>
  <c r="C2686" i="3"/>
  <c r="C2826" i="3"/>
  <c r="C3222" i="3"/>
  <c r="C4222" i="3"/>
  <c r="C5121" i="3"/>
  <c r="C5067" i="3"/>
  <c r="C3498" i="3"/>
  <c r="C2483" i="3"/>
  <c r="C5170" i="3"/>
  <c r="C4599" i="3"/>
  <c r="C2385" i="3"/>
  <c r="C1835" i="3"/>
  <c r="C2896" i="3"/>
  <c r="C715" i="3"/>
  <c r="C4982" i="3"/>
  <c r="C3586" i="3"/>
  <c r="C4313" i="3"/>
  <c r="C4564" i="3"/>
  <c r="C3417" i="3"/>
  <c r="C2286" i="3"/>
  <c r="C1900" i="3"/>
  <c r="C1237" i="3"/>
  <c r="C893" i="3"/>
  <c r="C2487" i="3"/>
  <c r="C2340" i="3"/>
  <c r="C3021" i="3"/>
  <c r="C3861" i="3"/>
  <c r="C3124" i="3"/>
  <c r="C2440" i="3"/>
  <c r="C3553" i="3"/>
  <c r="C1177" i="3"/>
  <c r="C3740" i="3"/>
  <c r="C4404" i="3"/>
  <c r="C4036" i="3"/>
  <c r="C3603" i="3"/>
  <c r="C1307" i="3"/>
  <c r="C5140" i="3"/>
  <c r="C5076" i="3"/>
  <c r="C3810" i="3"/>
  <c r="C1793" i="3"/>
  <c r="C3415" i="3"/>
  <c r="C1362" i="3"/>
  <c r="C2240" i="3"/>
  <c r="C2387" i="3"/>
  <c r="C4720" i="3"/>
  <c r="C4205" i="3"/>
  <c r="C1082" i="3"/>
  <c r="C5231" i="3"/>
  <c r="C5208" i="3"/>
  <c r="C3229" i="3"/>
  <c r="C2211" i="3"/>
  <c r="C4827" i="3"/>
  <c r="C1365" i="3"/>
  <c r="C1751" i="3"/>
  <c r="C1122" i="3"/>
  <c r="C2981" i="3"/>
  <c r="C3428" i="3"/>
  <c r="C5214" i="3"/>
  <c r="C5113" i="3"/>
  <c r="C2821" i="3"/>
  <c r="C2770" i="3"/>
  <c r="C2836" i="3"/>
  <c r="C2942" i="3"/>
  <c r="C3685" i="3"/>
  <c r="C2818" i="3"/>
  <c r="C2701" i="3"/>
  <c r="C2794" i="3"/>
  <c r="C5023" i="3"/>
  <c r="C4670" i="3"/>
  <c r="C5300" i="3"/>
  <c r="C1343" i="3"/>
  <c r="C4781" i="3"/>
  <c r="C3045" i="3"/>
  <c r="C3159" i="3"/>
  <c r="C1562" i="3"/>
  <c r="C2842" i="3"/>
  <c r="C3676" i="3"/>
  <c r="C1314" i="3"/>
  <c r="C3920" i="3"/>
  <c r="C4418" i="3"/>
  <c r="C5354" i="3"/>
  <c r="C1268" i="3"/>
  <c r="C3621" i="3"/>
  <c r="C4495" i="3"/>
  <c r="C5443" i="3"/>
  <c r="C3998" i="3"/>
  <c r="C4067" i="3"/>
  <c r="C4123" i="3"/>
  <c r="C4329" i="3"/>
  <c r="C3783" i="3"/>
  <c r="C3204" i="3"/>
  <c r="C3593" i="3"/>
  <c r="C4878" i="3"/>
  <c r="C3473" i="3"/>
  <c r="C2263" i="3"/>
  <c r="C5110" i="3"/>
  <c r="C4925" i="3"/>
  <c r="C5082" i="3"/>
  <c r="C1063" i="3"/>
  <c r="C4364" i="3"/>
  <c r="C3891" i="3"/>
  <c r="C4790" i="3"/>
  <c r="C1174" i="3"/>
  <c r="C4408" i="3"/>
  <c r="C3560" i="3"/>
  <c r="C4993" i="3"/>
  <c r="C2482" i="3"/>
  <c r="C5213" i="3"/>
  <c r="C637" i="3"/>
  <c r="C3512" i="3"/>
  <c r="C4961" i="3"/>
  <c r="C4334" i="3"/>
  <c r="C4929" i="3"/>
  <c r="C4966" i="3"/>
  <c r="C2197" i="3"/>
  <c r="C4948" i="3"/>
  <c r="C866" i="3"/>
  <c r="C653" i="3"/>
  <c r="C4470" i="3"/>
  <c r="C4104" i="3"/>
  <c r="C4064" i="3"/>
  <c r="C2293" i="3"/>
  <c r="C1541" i="3"/>
  <c r="C1211" i="3"/>
  <c r="C1815" i="3"/>
  <c r="C1503" i="3"/>
  <c r="C1587" i="3"/>
  <c r="C3357" i="3"/>
  <c r="C1059" i="3"/>
  <c r="C2745" i="3"/>
  <c r="C4545" i="3"/>
  <c r="C865" i="3"/>
  <c r="C728" i="3"/>
  <c r="C4452" i="3"/>
  <c r="C1590" i="3"/>
  <c r="C3060" i="3"/>
  <c r="C3751" i="3"/>
  <c r="C997" i="3"/>
  <c r="C3541" i="3"/>
  <c r="C3801" i="3"/>
  <c r="C3317" i="3"/>
  <c r="C3424" i="3"/>
  <c r="C2515" i="3"/>
  <c r="C695" i="3"/>
  <c r="C4945" i="3"/>
  <c r="C5305" i="3"/>
  <c r="C2545" i="3"/>
  <c r="C776" i="3"/>
  <c r="C3435" i="3"/>
  <c r="C2967" i="3"/>
  <c r="C5302" i="3"/>
  <c r="C3335" i="3"/>
  <c r="C1631" i="3"/>
  <c r="C1680" i="3"/>
  <c r="C3392" i="3"/>
  <c r="C5291" i="3"/>
  <c r="C3648" i="3"/>
  <c r="C1015" i="3"/>
  <c r="C4463" i="3"/>
  <c r="C4997" i="3"/>
  <c r="C4607" i="3"/>
  <c r="C5451" i="3"/>
  <c r="C5461" i="3"/>
  <c r="C4308" i="3"/>
  <c r="C5372" i="3"/>
  <c r="C2089" i="3"/>
  <c r="C4832" i="3"/>
  <c r="C1721" i="3"/>
  <c r="C2357" i="3"/>
  <c r="C4070" i="3"/>
  <c r="C3073" i="3"/>
  <c r="C3860" i="3"/>
  <c r="C1069" i="3"/>
  <c r="C5325" i="3"/>
  <c r="C1981" i="3"/>
  <c r="C5259" i="3"/>
  <c r="C1512" i="3"/>
  <c r="C2982" i="3"/>
  <c r="C3780" i="3"/>
  <c r="C1574" i="3"/>
  <c r="C5100" i="3"/>
  <c r="C572" i="3"/>
  <c r="C3686" i="3"/>
  <c r="C2413" i="3"/>
  <c r="C769" i="3"/>
  <c r="C3958" i="3"/>
  <c r="C2452" i="3"/>
  <c r="C3411" i="3"/>
  <c r="C4056" i="3"/>
  <c r="C1336" i="3"/>
  <c r="C4869" i="3"/>
  <c r="C796" i="3"/>
  <c r="C5216" i="3"/>
  <c r="C4968" i="3"/>
  <c r="C4918" i="3"/>
  <c r="C4977" i="3"/>
  <c r="C3488" i="3"/>
  <c r="C4727" i="3"/>
  <c r="C4105" i="3"/>
  <c r="C750" i="3"/>
  <c r="C4140" i="3"/>
  <c r="C3639" i="3"/>
  <c r="C1244" i="3"/>
  <c r="C1136" i="3"/>
  <c r="C1293" i="3"/>
  <c r="C1951" i="3"/>
  <c r="C979" i="3"/>
  <c r="C4814" i="3"/>
  <c r="C5442" i="3"/>
  <c r="C3459" i="3"/>
  <c r="C5362" i="3"/>
  <c r="C4738" i="3"/>
  <c r="C2012" i="3"/>
  <c r="C2291" i="3"/>
  <c r="C2950" i="3"/>
  <c r="C1821" i="3"/>
  <c r="C1464" i="3"/>
  <c r="C4709" i="3"/>
  <c r="C4779" i="3"/>
  <c r="C1395" i="3"/>
  <c r="C3362" i="3"/>
  <c r="C3418" i="3"/>
  <c r="C3284" i="3"/>
  <c r="C3743" i="3"/>
  <c r="C2486" i="3"/>
  <c r="C702" i="3"/>
  <c r="C2216" i="3"/>
  <c r="C1924" i="3"/>
  <c r="C3032" i="3"/>
  <c r="C4813" i="3"/>
  <c r="C2814" i="3"/>
  <c r="C5399" i="3"/>
  <c r="C2022" i="3"/>
  <c r="C2350" i="3"/>
  <c r="C1168" i="3"/>
  <c r="C867" i="3"/>
  <c r="C1175" i="3"/>
  <c r="C3372" i="3"/>
  <c r="C2606" i="3"/>
  <c r="C2062" i="3"/>
  <c r="C4499" i="3"/>
  <c r="C3754" i="3"/>
  <c r="C916" i="3"/>
  <c r="C5225" i="3"/>
  <c r="C3699" i="3"/>
  <c r="C1070" i="3"/>
  <c r="C4396" i="3"/>
  <c r="C1135" i="3"/>
  <c r="C908" i="3"/>
  <c r="C2580" i="3"/>
  <c r="C3857" i="3"/>
  <c r="C1188" i="3"/>
  <c r="C3325" i="3"/>
  <c r="C5164" i="3"/>
  <c r="C4618" i="3"/>
  <c r="C4648" i="3"/>
  <c r="C3658" i="3"/>
  <c r="C1090" i="3"/>
  <c r="C3026" i="3"/>
  <c r="C1531" i="3"/>
  <c r="C4691" i="3"/>
  <c r="C4394" i="3"/>
  <c r="C3220" i="3"/>
  <c r="C3462" i="3"/>
  <c r="C3410" i="3"/>
  <c r="C3270" i="3"/>
  <c r="C3097" i="3"/>
  <c r="C4243" i="3"/>
  <c r="C1739" i="3"/>
  <c r="C1694" i="3"/>
  <c r="C1116" i="3"/>
  <c r="C1850" i="3"/>
  <c r="C795" i="3"/>
  <c r="C1859" i="3"/>
  <c r="C918" i="3"/>
  <c r="C3195" i="3"/>
  <c r="C5427" i="3"/>
  <c r="C4548" i="3"/>
  <c r="C2586" i="3"/>
  <c r="C4078" i="3"/>
  <c r="C4403" i="3"/>
  <c r="C3839" i="3"/>
  <c r="C3041" i="3"/>
  <c r="C1096" i="3"/>
  <c r="C2565" i="3"/>
  <c r="C3768" i="3"/>
  <c r="C3263" i="3"/>
  <c r="C4004" i="3"/>
  <c r="C4370" i="3"/>
  <c r="C3687" i="3"/>
  <c r="C4477" i="3"/>
  <c r="C703" i="3"/>
  <c r="C4193" i="3"/>
  <c r="C3232" i="3"/>
  <c r="C2179" i="3"/>
  <c r="C1230" i="3"/>
  <c r="C1431" i="3"/>
  <c r="C3903" i="3"/>
  <c r="C5099" i="3"/>
  <c r="C1593" i="3"/>
  <c r="C4292" i="3"/>
  <c r="C1341" i="3"/>
  <c r="C4531" i="3"/>
  <c r="C1781" i="3"/>
  <c r="C3212" i="3"/>
  <c r="C3211" i="3"/>
  <c r="C4157" i="3"/>
  <c r="C4815" i="3"/>
  <c r="C5396" i="3"/>
  <c r="C4501" i="3"/>
  <c r="C5406" i="3"/>
  <c r="C5304" i="3"/>
  <c r="C5352" i="3"/>
  <c r="C1891" i="3"/>
  <c r="C3840" i="3"/>
  <c r="C3556" i="3"/>
  <c r="C1016" i="3"/>
  <c r="C4482" i="3"/>
  <c r="C2477" i="3"/>
  <c r="C4058" i="3"/>
  <c r="C4772" i="3"/>
  <c r="C5103" i="3"/>
  <c r="C4367" i="3"/>
  <c r="C2194" i="3"/>
  <c r="C3703" i="3"/>
  <c r="C4371" i="3"/>
  <c r="C3128" i="3"/>
  <c r="C4229" i="3"/>
  <c r="C1673" i="3"/>
  <c r="C1437" i="3"/>
  <c r="C3269" i="3"/>
  <c r="C1281" i="3"/>
  <c r="C1233" i="3"/>
  <c r="C3406" i="3"/>
  <c r="C4289" i="3"/>
  <c r="C3990" i="3"/>
  <c r="C3856" i="3"/>
  <c r="C2671" i="3"/>
  <c r="C1274" i="3"/>
  <c r="C2922" i="3"/>
  <c r="C2306" i="3"/>
  <c r="C1438" i="3"/>
  <c r="C5029" i="3"/>
  <c r="C3584" i="3"/>
  <c r="C2587" i="3"/>
  <c r="C1266" i="3"/>
  <c r="C1382" i="3"/>
  <c r="C5061" i="3"/>
  <c r="C720" i="3"/>
  <c r="C3568" i="3"/>
  <c r="C4659" i="3"/>
  <c r="C1029" i="3"/>
  <c r="C4417" i="3"/>
  <c r="C1741" i="3"/>
  <c r="C1936" i="3"/>
  <c r="C2674" i="3"/>
  <c r="C3000" i="3"/>
  <c r="C4639" i="3"/>
  <c r="C3565" i="3"/>
  <c r="C995" i="3"/>
  <c r="C658" i="3"/>
  <c r="C5224" i="3"/>
  <c r="C1306" i="3"/>
  <c r="C4434" i="3"/>
  <c r="C4231" i="3"/>
  <c r="C4528" i="3"/>
  <c r="C3999" i="3"/>
  <c r="C2001" i="3"/>
  <c r="C2862" i="3"/>
  <c r="C1442" i="3"/>
  <c r="C2754" i="3"/>
  <c r="C4351" i="3"/>
  <c r="C1199" i="3"/>
  <c r="C1724" i="3"/>
  <c r="C4042" i="3"/>
  <c r="C2344" i="3"/>
  <c r="C857" i="3"/>
  <c r="C3013" i="3"/>
  <c r="C5093" i="3"/>
  <c r="C819" i="3"/>
  <c r="C1846" i="3"/>
  <c r="C1682" i="3"/>
  <c r="C2338" i="3"/>
  <c r="C1966" i="3"/>
  <c r="C5382" i="3"/>
  <c r="C2021" i="3"/>
  <c r="C891" i="3"/>
  <c r="C4546" i="3"/>
  <c r="C3401" i="3"/>
  <c r="C3148" i="3"/>
  <c r="C2185" i="3"/>
  <c r="C1912" i="3"/>
  <c r="C1456" i="3"/>
  <c r="C4753" i="3"/>
  <c r="C5201" i="3"/>
  <c r="C5397" i="3"/>
  <c r="C4267" i="3"/>
  <c r="C2911" i="3"/>
  <c r="C2157" i="3"/>
  <c r="C4828" i="3"/>
  <c r="C3315" i="3"/>
  <c r="C5156" i="3"/>
  <c r="C4165" i="3"/>
  <c r="C4791" i="3"/>
  <c r="C1713" i="3"/>
  <c r="C1248" i="3"/>
  <c r="C4190" i="3"/>
  <c r="C4881" i="3"/>
  <c r="C3333" i="3"/>
  <c r="C2334" i="3"/>
  <c r="C4645" i="3"/>
  <c r="C3643" i="3"/>
  <c r="C3927" i="3"/>
  <c r="C4688" i="3"/>
  <c r="C1827" i="3"/>
  <c r="C3655" i="3"/>
  <c r="C948" i="3"/>
  <c r="C3348" i="3"/>
  <c r="C5294" i="3"/>
  <c r="C2706" i="3"/>
  <c r="C841" i="3"/>
  <c r="C871" i="3"/>
  <c r="C4166" i="3"/>
  <c r="C4524" i="3"/>
  <c r="C2148" i="3"/>
  <c r="C664" i="3"/>
  <c r="C882" i="3"/>
  <c r="C1327" i="3"/>
  <c r="C3287" i="3"/>
  <c r="C3456" i="3"/>
  <c r="C4188" i="3"/>
  <c r="C3953" i="3"/>
  <c r="C1675" i="3"/>
  <c r="C2658" i="3"/>
  <c r="C2699" i="3"/>
  <c r="C5087" i="3"/>
  <c r="C5351" i="3"/>
  <c r="C1508" i="3"/>
  <c r="C2548" i="3"/>
  <c r="C5402" i="3"/>
  <c r="C1195" i="3"/>
  <c r="C4652" i="3"/>
  <c r="C3692" i="3"/>
  <c r="C1762" i="3"/>
  <c r="C2253" i="3"/>
  <c r="C1480" i="3"/>
  <c r="C4390" i="3"/>
  <c r="C2313" i="3"/>
  <c r="C2494" i="3"/>
  <c r="C4325" i="3"/>
  <c r="C825" i="3"/>
  <c r="C4598" i="3"/>
  <c r="C699" i="3"/>
  <c r="C2790" i="3"/>
  <c r="C2597" i="3"/>
  <c r="C1818" i="3"/>
  <c r="C3702" i="3"/>
  <c r="C1356" i="3"/>
  <c r="C2728" i="3"/>
  <c r="C3250" i="3"/>
  <c r="C4414" i="3"/>
  <c r="C4309" i="3"/>
  <c r="C4504" i="3"/>
  <c r="C4302" i="3"/>
  <c r="C3282" i="3"/>
  <c r="C5233" i="3"/>
  <c r="C5083" i="3"/>
  <c r="C2499" i="3"/>
  <c r="C4029" i="3"/>
  <c r="C3601" i="3"/>
  <c r="C2759" i="3"/>
  <c r="C2622" i="3"/>
  <c r="C761" i="3"/>
  <c r="C4242" i="3"/>
  <c r="C2511" i="3"/>
  <c r="C3721" i="3"/>
  <c r="C4432" i="3"/>
  <c r="C2678" i="3"/>
  <c r="C3674" i="3"/>
  <c r="C1728" i="3"/>
  <c r="C5324" i="3"/>
  <c r="C4439" i="3"/>
  <c r="C4149" i="3"/>
  <c r="C2125" i="3"/>
  <c r="C1173" i="3"/>
  <c r="C2027" i="3"/>
  <c r="C2222" i="3"/>
  <c r="C5152" i="3"/>
  <c r="C3594" i="3"/>
  <c r="C2070" i="3"/>
  <c r="C3497" i="3"/>
  <c r="C3899" i="3"/>
  <c r="C5365" i="3"/>
  <c r="C4509" i="3"/>
  <c r="C2067" i="3"/>
  <c r="C4398" i="3"/>
  <c r="C5206" i="3"/>
  <c r="C1243" i="3"/>
  <c r="C2236" i="3"/>
  <c r="C5449" i="3"/>
  <c r="C4384" i="3"/>
  <c r="C3055" i="3"/>
  <c r="C1367" i="3"/>
  <c r="C2056" i="3"/>
  <c r="C5360" i="3"/>
  <c r="C3651" i="3"/>
  <c r="C1903" i="3"/>
  <c r="C2017" i="3"/>
  <c r="C2256" i="3"/>
  <c r="C835" i="3"/>
  <c r="C2599" i="3"/>
  <c r="C2144" i="3"/>
  <c r="C2076" i="3"/>
  <c r="C1579" i="3"/>
  <c r="C4480" i="3"/>
  <c r="C727" i="3"/>
  <c r="C1883" i="3"/>
  <c r="C1488" i="3"/>
  <c r="C2782" i="3"/>
  <c r="C2858" i="3"/>
  <c r="C2054" i="3"/>
  <c r="C3800" i="3"/>
  <c r="C2628" i="3"/>
  <c r="C1965" i="3"/>
  <c r="C914" i="3"/>
  <c r="C1386" i="3"/>
  <c r="C1863" i="3"/>
  <c r="C3608" i="3"/>
  <c r="C1205" i="3"/>
  <c r="C4611" i="3"/>
  <c r="C2931" i="3"/>
  <c r="C2206" i="3"/>
  <c r="C2265" i="3"/>
  <c r="C1957" i="3"/>
  <c r="C782" i="3"/>
  <c r="C1779" i="3"/>
  <c r="C2520" i="3"/>
  <c r="C4723" i="3"/>
  <c r="C2581" i="3"/>
  <c r="C4465" i="3"/>
  <c r="C2721" i="3"/>
  <c r="C2558" i="3"/>
  <c r="C2605" i="3"/>
  <c r="C2294" i="3"/>
  <c r="C4597" i="3"/>
  <c r="C1461" i="3"/>
  <c r="C1444" i="3"/>
  <c r="C4704" i="3"/>
  <c r="C1862" i="3"/>
  <c r="C1224" i="3"/>
  <c r="C1299" i="3"/>
  <c r="C2594" i="3"/>
  <c r="C1848" i="3"/>
  <c r="C4865" i="3"/>
  <c r="C2495" i="3"/>
  <c r="C1876" i="3"/>
  <c r="C3248" i="3"/>
  <c r="C601" i="3"/>
  <c r="C1080" i="3"/>
  <c r="C2568" i="3"/>
  <c r="C774" i="3"/>
  <c r="C1028" i="3"/>
  <c r="C3476" i="3"/>
  <c r="C3061" i="3"/>
  <c r="C5143" i="3"/>
  <c r="C5276" i="3"/>
  <c r="C845" i="3"/>
  <c r="C1856" i="3"/>
  <c r="C2221" i="3"/>
  <c r="C5386" i="3"/>
  <c r="C2533" i="3"/>
  <c r="C1482" i="3"/>
  <c r="C968" i="3"/>
  <c r="C4579" i="3"/>
  <c r="C2974" i="3"/>
  <c r="C5154" i="3"/>
  <c r="C3587" i="3"/>
  <c r="C2209" i="3"/>
  <c r="C2509" i="3"/>
  <c r="C1123" i="3"/>
  <c r="C1964" i="3"/>
  <c r="C888" i="3"/>
  <c r="C931" i="3"/>
  <c r="C2053" i="3"/>
  <c r="C2196" i="3"/>
  <c r="C2045" i="3"/>
  <c r="C3729" i="3"/>
  <c r="C1729" i="3"/>
  <c r="C2641" i="3"/>
  <c r="C2237" i="3"/>
  <c r="C3555" i="3"/>
  <c r="C1551" i="3"/>
  <c r="C1452" i="3"/>
  <c r="C5432" i="3"/>
  <c r="C2175" i="3"/>
  <c r="C4505" i="3"/>
  <c r="C2377" i="3"/>
  <c r="C4460" i="3"/>
  <c r="C1596" i="3"/>
  <c r="C2949" i="3"/>
  <c r="C3517" i="3"/>
  <c r="C1605" i="3"/>
  <c r="C3218" i="3"/>
  <c r="C1340" i="3"/>
  <c r="C576" i="3"/>
  <c r="C2688" i="3"/>
  <c r="C4386" i="3"/>
  <c r="C2363" i="3"/>
  <c r="C1704" i="3"/>
  <c r="C2751" i="3"/>
  <c r="C618" i="3"/>
  <c r="C1907" i="3"/>
  <c r="C4060" i="3"/>
  <c r="C1629" i="3"/>
  <c r="C3136" i="3"/>
  <c r="C1282" i="3"/>
  <c r="C1319" i="3"/>
  <c r="C1227" i="3"/>
  <c r="C4830" i="3"/>
  <c r="C2100" i="3"/>
  <c r="C852" i="3"/>
  <c r="C2121" i="3"/>
  <c r="C4530" i="3"/>
  <c r="C969" i="3"/>
  <c r="C2399" i="3"/>
  <c r="C3360" i="3"/>
  <c r="C5242" i="3"/>
  <c r="C4873" i="3"/>
  <c r="C597" i="3"/>
  <c r="C1074" i="3"/>
  <c r="C2840" i="3"/>
  <c r="C2912" i="3"/>
  <c r="C4641" i="3"/>
  <c r="C3916" i="3"/>
  <c r="C2608" i="3"/>
  <c r="C3954" i="3"/>
  <c r="C3294" i="3"/>
  <c r="C3161" i="3"/>
  <c r="C4536" i="3"/>
  <c r="C4871" i="3"/>
  <c r="C5078" i="3"/>
  <c r="C5392" i="3"/>
  <c r="C623" i="3"/>
  <c r="C2059" i="3"/>
  <c r="C5117" i="3"/>
  <c r="C966" i="3"/>
  <c r="C704" i="3"/>
  <c r="C3796" i="3"/>
  <c r="C574" i="3"/>
  <c r="C4083" i="3"/>
  <c r="C4272" i="3"/>
  <c r="C3864" i="3"/>
  <c r="C4194" i="3"/>
  <c r="C4013" i="3"/>
  <c r="C2020" i="3"/>
  <c r="C2719" i="3"/>
  <c r="C2960" i="3"/>
  <c r="C4672" i="3"/>
  <c r="C3992" i="3"/>
  <c r="C3178" i="3"/>
  <c r="C805" i="3"/>
  <c r="C3523" i="3"/>
  <c r="C2727" i="3"/>
  <c r="C2478" i="3"/>
  <c r="C1633" i="3"/>
  <c r="C1843" i="3"/>
  <c r="C2779" i="3"/>
  <c r="C2996" i="3"/>
  <c r="C5492" i="3"/>
  <c r="C2927" i="3"/>
  <c r="C2938" i="3"/>
  <c r="C2006" i="3"/>
  <c r="C2246" i="3"/>
  <c r="C5193" i="3"/>
  <c r="C4967" i="3"/>
  <c r="C1133" i="3"/>
  <c r="C1922" i="3"/>
  <c r="C2873" i="3"/>
  <c r="C3376" i="3"/>
  <c r="C2948" i="3"/>
  <c r="C2656" i="3"/>
  <c r="C4921" i="3"/>
  <c r="C4974" i="3"/>
  <c r="C3711" i="3"/>
  <c r="C4725" i="3"/>
  <c r="C963" i="3"/>
  <c r="C3509" i="3"/>
  <c r="C4103" i="3"/>
  <c r="C1759" i="3"/>
  <c r="C1648" i="3"/>
  <c r="C2616" i="3"/>
  <c r="C3645" i="3"/>
  <c r="C2155" i="3"/>
  <c r="C1764" i="3"/>
  <c r="C4746" i="3"/>
  <c r="C2604" i="3"/>
  <c r="C770" i="3"/>
  <c r="C4681" i="3"/>
  <c r="C4570" i="3"/>
  <c r="C4702" i="3"/>
  <c r="C887" i="3"/>
  <c r="C4740" i="3"/>
  <c r="C951" i="3"/>
  <c r="C2064" i="3"/>
  <c r="C4301" i="3"/>
  <c r="C4041" i="3"/>
  <c r="C3001" i="3"/>
  <c r="C3343" i="3"/>
  <c r="C2375" i="3"/>
  <c r="C1844" i="3"/>
  <c r="C2748" i="3"/>
  <c r="C3906" i="3"/>
  <c r="C4150" i="3"/>
  <c r="C2973" i="3"/>
  <c r="C4409" i="3"/>
  <c r="C4049" i="3"/>
  <c r="C1073" i="3"/>
  <c r="C3438" i="3"/>
  <c r="C1182" i="3"/>
  <c r="C4187" i="3"/>
  <c r="C3574" i="3"/>
  <c r="C753" i="3"/>
  <c r="C3319" i="3"/>
  <c r="C4025" i="3"/>
  <c r="C3299" i="3"/>
  <c r="C2510" i="3"/>
  <c r="C3332" i="3"/>
  <c r="C2882" i="3"/>
  <c r="C4429" i="3"/>
  <c r="C4684" i="3"/>
  <c r="C4658" i="3"/>
  <c r="C884" i="3"/>
  <c r="C4151" i="3"/>
  <c r="C3887" i="3"/>
  <c r="C4751" i="3"/>
  <c r="C2723" i="3"/>
  <c r="C1156" i="3"/>
  <c r="C4306" i="3"/>
  <c r="C3732" i="3"/>
  <c r="C3370" i="3"/>
  <c r="C4590" i="3"/>
  <c r="C4829" i="3"/>
  <c r="C3008" i="3"/>
  <c r="C4085" i="3"/>
  <c r="C3009" i="3"/>
  <c r="C3925" i="3"/>
  <c r="C2189" i="3"/>
  <c r="C2832" i="3"/>
  <c r="C1645" i="3"/>
  <c r="C2710" i="3"/>
  <c r="C2810" i="3"/>
  <c r="C4939" i="3"/>
  <c r="C5187" i="3"/>
  <c r="C5273" i="3"/>
  <c r="C3848" i="3"/>
  <c r="C1172" i="3"/>
  <c r="C4919" i="3"/>
  <c r="C598" i="3"/>
  <c r="C5197" i="3"/>
  <c r="C2602" i="3"/>
  <c r="C2388" i="3"/>
  <c r="C874" i="3"/>
  <c r="C4046" i="3"/>
  <c r="C4860" i="3"/>
  <c r="C2186" i="3"/>
  <c r="C1789" i="3"/>
  <c r="C883" i="3"/>
  <c r="C5059" i="3"/>
  <c r="C5183" i="3"/>
  <c r="C4971" i="3"/>
  <c r="C765" i="3"/>
  <c r="C2456" i="3"/>
  <c r="C2636" i="3"/>
  <c r="C4401" i="3"/>
  <c r="C705" i="3"/>
  <c r="C2757" i="3"/>
  <c r="C3281" i="3"/>
  <c r="C2632" i="3"/>
  <c r="C1874" i="3"/>
  <c r="C850" i="3"/>
  <c r="C942" i="3"/>
  <c r="C1012" i="3"/>
  <c r="C2104" i="3"/>
  <c r="C1283" i="3"/>
  <c r="C1392" i="3"/>
  <c r="C2035" i="3"/>
  <c r="C3815" i="3"/>
  <c r="C2835" i="3"/>
  <c r="C4854" i="3"/>
  <c r="C4251" i="3"/>
  <c r="C3880" i="3"/>
  <c r="C1521" i="3"/>
  <c r="C4889" i="3"/>
  <c r="C4938" i="3"/>
  <c r="C4875" i="3"/>
  <c r="C1689" i="3"/>
  <c r="C1384" i="3"/>
  <c r="C2843" i="3"/>
  <c r="C4587" i="3"/>
  <c r="C4366" i="3"/>
  <c r="C2322" i="3"/>
  <c r="C2411" i="3"/>
  <c r="C3353" i="3"/>
  <c r="C5194" i="3"/>
  <c r="C1985" i="3"/>
  <c r="C2988" i="3"/>
  <c r="C3793" i="3"/>
  <c r="C3386" i="3"/>
  <c r="C5163" i="3"/>
  <c r="C2108" i="3"/>
  <c r="C5149" i="3"/>
  <c r="C5038" i="3"/>
  <c r="C2097" i="3"/>
  <c r="C2774" i="3"/>
  <c r="C3642" i="3"/>
  <c r="C4552" i="3"/>
  <c r="C3379" i="3"/>
  <c r="C896" i="3"/>
  <c r="C4965" i="3"/>
  <c r="C1665" i="3"/>
  <c r="C1627" i="3"/>
  <c r="C1977" i="3"/>
  <c r="C592" i="3"/>
  <c r="C2224" i="3"/>
  <c r="C1839" i="3"/>
  <c r="C767" i="3"/>
  <c r="C2060" i="3"/>
  <c r="C4719" i="3"/>
  <c r="C1001" i="3"/>
  <c r="C3090" i="3"/>
  <c r="C4468" i="3"/>
  <c r="C710" i="3"/>
  <c r="C834" i="3"/>
  <c r="C1569" i="3"/>
  <c r="C1712" i="3"/>
  <c r="C1159" i="3"/>
  <c r="C4212" i="3"/>
  <c r="C3380" i="3"/>
  <c r="C2324" i="3"/>
  <c r="C1961" i="3"/>
  <c r="C2471" i="3"/>
  <c r="C5148" i="3"/>
  <c r="C913" i="3"/>
  <c r="C2470" i="3"/>
  <c r="C1342" i="3"/>
  <c r="C4113" i="3"/>
  <c r="C3044" i="3"/>
  <c r="C5385" i="3"/>
  <c r="C2900" i="3"/>
  <c r="C1147" i="3"/>
  <c r="C869" i="3"/>
  <c r="C3309" i="3"/>
  <c r="C1047" i="3"/>
  <c r="C4522" i="3"/>
  <c r="C4268" i="3"/>
  <c r="C833" i="3"/>
  <c r="C5485" i="3"/>
  <c r="C2824" i="3"/>
  <c r="C2784" i="3"/>
  <c r="C3139" i="3"/>
  <c r="C3943" i="3"/>
  <c r="C4657" i="3"/>
  <c r="C3119" i="3"/>
  <c r="C3853" i="3"/>
  <c r="C4484" i="3"/>
  <c r="C3536" i="3"/>
  <c r="C4437" i="3"/>
  <c r="C3945" i="3"/>
  <c r="C4785" i="3"/>
  <c r="C5128" i="3"/>
  <c r="C5132" i="3"/>
  <c r="C3824" i="3"/>
  <c r="C3828" i="3"/>
  <c r="C4778" i="3"/>
  <c r="C4014" i="3"/>
  <c r="C3957" i="3"/>
  <c r="C2311" i="3"/>
  <c r="C4984" i="3"/>
  <c r="C1615" i="3"/>
  <c r="C3499" i="3"/>
  <c r="C3173" i="3"/>
  <c r="C2582" i="3"/>
  <c r="C4031" i="3"/>
  <c r="C4868" i="3"/>
  <c r="C3328" i="3"/>
  <c r="C2935" i="3"/>
  <c r="C4605" i="3"/>
  <c r="C4907" i="3"/>
  <c r="C5155" i="3"/>
  <c r="C4336" i="3"/>
  <c r="C1256" i="3"/>
  <c r="C642" i="3"/>
  <c r="C3566" i="3"/>
  <c r="C3466" i="3"/>
  <c r="C2897" i="3"/>
  <c r="C2682" i="3"/>
  <c r="C2823" i="3"/>
  <c r="C2383" i="3"/>
  <c r="C4555" i="3"/>
  <c r="C3625" i="3"/>
  <c r="C2372" i="3"/>
  <c r="C959" i="3"/>
  <c r="C1591" i="3"/>
  <c r="C607" i="3"/>
  <c r="C3042" i="3"/>
  <c r="C2280" i="3"/>
  <c r="C1871" i="3"/>
  <c r="C3109" i="3"/>
  <c r="C4033" i="3"/>
  <c r="C587" i="3"/>
  <c r="C1613" i="3"/>
  <c r="C4835" i="3"/>
  <c r="C2365" i="3"/>
  <c r="C1995" i="3"/>
  <c r="C5313" i="3"/>
  <c r="C3450" i="3"/>
  <c r="C5467" i="3"/>
  <c r="C3027" i="3"/>
  <c r="C810" i="3"/>
  <c r="C1875" i="3"/>
  <c r="C2008" i="3"/>
  <c r="C3917" i="3"/>
  <c r="C3825" i="3"/>
  <c r="C2158" i="3"/>
  <c r="C2625" i="3"/>
  <c r="C2907" i="3"/>
  <c r="C4748" i="3"/>
  <c r="C789" i="3"/>
  <c r="C3543" i="3"/>
  <c r="C1530" i="3"/>
  <c r="C1608" i="3"/>
  <c r="C4203" i="3"/>
  <c r="C1502" i="3"/>
  <c r="C1571" i="3"/>
  <c r="C1943" i="3"/>
  <c r="C2631" i="3"/>
  <c r="C2652" i="3"/>
  <c r="C1518" i="3"/>
  <c r="C1768" i="3"/>
  <c r="C4299" i="3"/>
  <c r="C1110" i="3"/>
  <c r="C2857" i="3"/>
  <c r="C5009" i="3"/>
  <c r="C2921" i="3"/>
  <c r="C3495" i="3"/>
  <c r="C1784" i="3"/>
  <c r="C1898" i="3"/>
  <c r="C1865" i="3"/>
  <c r="C1498" i="3"/>
  <c r="C2259" i="3"/>
  <c r="C4458" i="3"/>
  <c r="C3795" i="3"/>
  <c r="C3626" i="3"/>
  <c r="C3486" i="3"/>
  <c r="C2556" i="3"/>
  <c r="C2612" i="3"/>
  <c r="C3084" i="3"/>
  <c r="C2461" i="3"/>
  <c r="C4511" i="3"/>
  <c r="C5268" i="3"/>
  <c r="C4580" i="3"/>
  <c r="C1287" i="3"/>
  <c r="C4089" i="3"/>
  <c r="C5138" i="3"/>
  <c r="C1479" i="3"/>
  <c r="C1622" i="3"/>
  <c r="C5418" i="3"/>
  <c r="C2856" i="3"/>
  <c r="C1119" i="3"/>
  <c r="C2136" i="3"/>
  <c r="C2561" i="3"/>
  <c r="C5022" i="3"/>
  <c r="C2000" i="3"/>
  <c r="C2683" i="3"/>
  <c r="C2536" i="3"/>
  <c r="C1262" i="3"/>
  <c r="C1931" i="3"/>
  <c r="C2936" i="3"/>
  <c r="C4516" i="3"/>
  <c r="C4099" i="3"/>
  <c r="C4812" i="3"/>
  <c r="C1944" i="3"/>
  <c r="C1803" i="3"/>
  <c r="C2640" i="3"/>
  <c r="C3912" i="3"/>
  <c r="C4523" i="3"/>
  <c r="C5440" i="3"/>
  <c r="C4487" i="3"/>
  <c r="C5328" i="3"/>
  <c r="C1428" i="3"/>
  <c r="C3245" i="3"/>
  <c r="C2376" i="3"/>
  <c r="C2567" i="3"/>
  <c r="C2676" i="3"/>
  <c r="C4630" i="3"/>
  <c r="C1190" i="3"/>
  <c r="C4320" i="3"/>
  <c r="C3219" i="3"/>
  <c r="C3491" i="3"/>
  <c r="C1749" i="3"/>
  <c r="C1338" i="3"/>
  <c r="C2011" i="3"/>
  <c r="C2775" i="3"/>
  <c r="C1180" i="3"/>
  <c r="C5136" i="3"/>
  <c r="C2711" i="3"/>
  <c r="C2439" i="3"/>
  <c r="C2778" i="3"/>
  <c r="C5179" i="3"/>
  <c r="C5415" i="3"/>
  <c r="C671" i="3"/>
  <c r="C1780" i="3"/>
  <c r="C3301" i="3"/>
  <c r="C1024" i="3"/>
  <c r="C4705" i="3"/>
  <c r="C2272" i="3"/>
  <c r="C1204" i="3"/>
  <c r="C2373" i="3"/>
  <c r="C2666" i="3"/>
  <c r="C5007" i="3"/>
  <c r="C3567" i="3"/>
  <c r="C3770" i="3"/>
  <c r="C806" i="3"/>
  <c r="C4074" i="3"/>
  <c r="C3973" i="3"/>
  <c r="C4059" i="3"/>
  <c r="C3237" i="3"/>
  <c r="C3019" i="3"/>
  <c r="C1904" i="3"/>
  <c r="C3484" i="3"/>
  <c r="C903" i="3"/>
  <c r="C4192" i="3"/>
  <c r="C4372" i="3"/>
  <c r="C5363" i="3"/>
  <c r="C5358" i="3"/>
  <c r="C1097" i="3"/>
  <c r="C3620" i="3"/>
  <c r="C5393" i="3"/>
  <c r="C2655" i="3"/>
  <c r="C2168" i="3"/>
  <c r="C5431" i="3"/>
  <c r="C2305" i="3"/>
  <c r="C5448" i="3"/>
  <c r="C2401" i="3"/>
  <c r="C2296" i="3"/>
  <c r="C4947" i="3"/>
  <c r="C5232" i="3"/>
  <c r="C1443" i="3"/>
  <c r="C3046" i="3"/>
  <c r="C1209" i="3"/>
  <c r="C3088" i="3"/>
  <c r="C3192" i="3"/>
  <c r="C3868" i="3"/>
  <c r="C4040" i="3"/>
  <c r="C3843" i="3"/>
  <c r="C3445" i="3"/>
  <c r="C4100" i="3"/>
  <c r="C5390" i="3"/>
  <c r="C4731" i="3"/>
  <c r="C1146" i="3"/>
  <c r="C4663" i="3"/>
  <c r="C5479" i="3"/>
  <c r="C3618" i="3"/>
  <c r="C1249" i="3"/>
  <c r="C3184" i="3"/>
  <c r="C1708" i="3"/>
  <c r="C2677" i="3"/>
  <c r="C1038" i="3"/>
  <c r="C1916" i="3"/>
  <c r="C4902" i="3"/>
  <c r="C2793" i="3"/>
  <c r="C1345" i="3"/>
  <c r="C2864" i="3"/>
  <c r="C4750" i="3"/>
  <c r="C2142" i="3"/>
  <c r="C1350" i="3"/>
  <c r="C2493" i="3"/>
  <c r="C3103" i="3"/>
  <c r="C1941" i="3"/>
  <c r="C1696" i="3"/>
  <c r="C5162" i="3"/>
  <c r="C5218" i="3"/>
  <c r="C1413" i="3"/>
  <c r="C1519" i="3"/>
  <c r="C1089" i="3"/>
  <c r="C859" i="3"/>
  <c r="C2129" i="3"/>
  <c r="C4819" i="3"/>
  <c r="C1760" i="3"/>
  <c r="C3802" i="3"/>
  <c r="C5331" i="3"/>
  <c r="C3678" i="3"/>
  <c r="C1214" i="3"/>
  <c r="C1216" i="3"/>
  <c r="C3784" i="3"/>
  <c r="C4635" i="3"/>
  <c r="C1786" i="3"/>
  <c r="C4447" i="3"/>
  <c r="C2101" i="3"/>
  <c r="C1424" i="3"/>
  <c r="C3520" i="3"/>
  <c r="C2178" i="3"/>
  <c r="C1513" i="3"/>
  <c r="C4034" i="3"/>
  <c r="C2523" i="3"/>
  <c r="C3412" i="3"/>
  <c r="C1391" i="3"/>
  <c r="C2366" i="3"/>
  <c r="C1958" i="3"/>
  <c r="C667" i="3"/>
  <c r="C5478" i="3"/>
  <c r="C2753" i="3"/>
  <c r="C2188" i="3"/>
  <c r="C2055" i="3"/>
  <c r="C790" i="3"/>
  <c r="C798" i="3"/>
  <c r="C2909" i="3"/>
  <c r="C3747" i="3"/>
  <c r="C3776" i="3"/>
  <c r="C3208" i="3"/>
  <c r="C4413" i="3"/>
  <c r="C1084" i="3"/>
  <c r="C2362" i="3"/>
  <c r="C1547" i="3"/>
  <c r="C3004" i="3"/>
  <c r="C584" i="3"/>
  <c r="C4962" i="3"/>
  <c r="C1187" i="3"/>
  <c r="C4496" i="3"/>
  <c r="C1201" i="3"/>
  <c r="C4211" i="3"/>
  <c r="C1126" i="3"/>
  <c r="C2712" i="3"/>
  <c r="C2015" i="3"/>
  <c r="C4934" i="3"/>
  <c r="C2714" i="3"/>
  <c r="C4375" i="3"/>
  <c r="C2066" i="3"/>
  <c r="C2072" i="3"/>
  <c r="C4253" i="3"/>
  <c r="C1372" i="3"/>
  <c r="C2593" i="3"/>
  <c r="C5425" i="3"/>
  <c r="C3276" i="3"/>
  <c r="C2160" i="3"/>
  <c r="C2208" i="3"/>
  <c r="C1394" i="3"/>
  <c r="C5437" i="3"/>
  <c r="C2551" i="3"/>
  <c r="C5463" i="3"/>
  <c r="C2618" i="3"/>
  <c r="C581" i="3"/>
  <c r="C1114" i="3"/>
  <c r="C4218" i="3"/>
  <c r="C3295" i="3"/>
  <c r="C3667" i="3"/>
  <c r="C1322" i="3"/>
  <c r="C3775" i="3"/>
  <c r="C3797" i="3"/>
  <c r="C4445" i="3"/>
  <c r="C2235" i="3"/>
  <c r="C3884" i="3"/>
  <c r="C3983" i="3"/>
  <c r="C3950" i="3"/>
  <c r="C3757" i="3"/>
  <c r="C4559" i="3"/>
  <c r="C3582" i="3"/>
  <c r="C5333" i="3"/>
  <c r="C2550" i="3"/>
  <c r="C989" i="3"/>
  <c r="C4198" i="3"/>
  <c r="C1440" i="3"/>
  <c r="C4553" i="3"/>
  <c r="C3550" i="3"/>
  <c r="C1814" i="3"/>
  <c r="C3224" i="3"/>
  <c r="C4610" i="3"/>
  <c r="C4724" i="3"/>
  <c r="C933" i="3"/>
  <c r="C3869" i="3"/>
  <c r="C4344" i="3"/>
  <c r="C3872" i="3"/>
  <c r="C4356" i="3"/>
  <c r="C4393" i="3"/>
  <c r="C3183" i="3"/>
  <c r="C1236" i="3"/>
  <c r="C5058" i="3"/>
  <c r="C3016" i="3"/>
  <c r="C5433" i="3"/>
  <c r="C2481" i="3"/>
  <c r="C3720" i="3"/>
  <c r="C2929" i="3"/>
  <c r="C5441" i="3"/>
  <c r="C1928" i="3"/>
  <c r="C1364" i="3"/>
  <c r="C3876" i="3"/>
  <c r="C5491" i="3"/>
  <c r="C3036" i="3"/>
  <c r="C2103" i="3"/>
  <c r="C1660" i="3"/>
  <c r="C2382" i="3"/>
  <c r="C3080" i="3"/>
  <c r="C2743" i="3"/>
  <c r="C2968" i="3"/>
  <c r="C1334" i="3"/>
  <c r="C4800" i="3"/>
  <c r="C1398" i="3"/>
  <c r="C669" i="3"/>
  <c r="C3812" i="3"/>
  <c r="C5473" i="3"/>
  <c r="C1138" i="3"/>
  <c r="C5343" i="3"/>
  <c r="C5371" i="3"/>
  <c r="C5010" i="3"/>
  <c r="C3818" i="3"/>
  <c r="C4350" i="3"/>
  <c r="C3280" i="3"/>
  <c r="C828" i="3"/>
  <c r="C1426" i="3"/>
  <c r="C2050" i="3"/>
  <c r="C5400" i="3"/>
  <c r="C3322" i="3"/>
  <c r="C1813" i="3"/>
  <c r="C4220" i="3"/>
  <c r="C2489" i="3"/>
  <c r="C4209" i="3"/>
  <c r="C1606" i="3"/>
  <c r="C3759" i="3"/>
  <c r="C2454" i="3"/>
  <c r="C4075" i="3"/>
  <c r="C4228" i="3"/>
  <c r="C3838" i="3"/>
  <c r="C1719" i="3"/>
  <c r="C1360" i="3"/>
  <c r="C2932" i="3"/>
  <c r="C4631" i="3"/>
  <c r="C5436" i="3"/>
  <c r="C2919" i="3"/>
  <c r="C4562" i="3"/>
  <c r="C4286" i="3"/>
  <c r="C3279" i="3"/>
  <c r="C3923" i="3"/>
  <c r="C3098" i="3"/>
  <c r="C3521" i="3"/>
  <c r="C5260" i="3"/>
  <c r="C4557" i="3"/>
  <c r="C1198" i="3"/>
  <c r="C4043" i="3"/>
  <c r="C707" i="3"/>
  <c r="C1430" i="3"/>
  <c r="C4245" i="3"/>
  <c r="C846" i="3"/>
  <c r="C1301" i="3"/>
  <c r="C1385" i="3"/>
  <c r="C1272" i="3"/>
  <c r="C5281" i="3"/>
  <c r="C5483" i="3"/>
  <c r="C880" i="3"/>
  <c r="C2295" i="3"/>
  <c r="C3894" i="3"/>
  <c r="C1447" i="3"/>
  <c r="C3194" i="3"/>
  <c r="C2762" i="3"/>
  <c r="C5174" i="3"/>
  <c r="C4180" i="3"/>
  <c r="C3050" i="3"/>
  <c r="C5205" i="3"/>
  <c r="C632" i="3"/>
  <c r="C1246" i="3"/>
  <c r="C1434" i="3"/>
  <c r="C1735" i="3"/>
  <c r="C3549" i="3"/>
  <c r="C4397" i="3"/>
  <c r="C575" i="3"/>
  <c r="C1100" i="3"/>
  <c r="C3955" i="3"/>
  <c r="C1109" i="3"/>
  <c r="C1352" i="3"/>
  <c r="C2871" i="3"/>
  <c r="C4797" i="3"/>
  <c r="C3781" i="3"/>
  <c r="C3641" i="3"/>
  <c r="C4048" i="3"/>
  <c r="C3067" i="3"/>
  <c r="C4718" i="3"/>
  <c r="C3172" i="3"/>
  <c r="C1130" i="3"/>
  <c r="C4195" i="3"/>
  <c r="C1223" i="3"/>
  <c r="C4515" i="3"/>
  <c r="C4347" i="3"/>
  <c r="C4701" i="3"/>
  <c r="C3774" i="3"/>
  <c r="C1153" i="3"/>
  <c r="C2191" i="3"/>
  <c r="C2170" i="3"/>
  <c r="C3223" i="3"/>
  <c r="C2670" i="3"/>
  <c r="C1585" i="3"/>
  <c r="C2488" i="3"/>
  <c r="C3419" i="3"/>
  <c r="C4583" i="3"/>
  <c r="C2653" i="3"/>
  <c r="C3271" i="3"/>
  <c r="C919" i="3"/>
  <c r="C4853" i="3"/>
  <c r="C2289" i="3"/>
  <c r="C3368" i="3"/>
  <c r="C5171" i="3"/>
  <c r="C4411" i="3"/>
  <c r="C4385" i="3"/>
  <c r="C4561" i="3"/>
  <c r="C1451" i="3"/>
  <c r="C2321" i="3"/>
  <c r="C3705" i="3"/>
  <c r="C801" i="3"/>
  <c r="C3324" i="3"/>
  <c r="C2342" i="3"/>
  <c r="C1027" i="3"/>
  <c r="C1650" i="3"/>
  <c r="C678" i="3"/>
  <c r="C4595" i="3"/>
  <c r="C4072" i="3"/>
  <c r="C4035" i="3"/>
  <c r="C2457" i="3"/>
  <c r="C1908" i="3"/>
  <c r="C2796" i="3"/>
  <c r="C4002" i="3"/>
  <c r="C1004" i="3"/>
  <c r="C4176" i="3"/>
  <c r="C1715" i="3"/>
  <c r="C2143" i="3"/>
  <c r="C4602" i="3"/>
  <c r="C711" i="3"/>
  <c r="C3331" i="3"/>
  <c r="C3393" i="3"/>
  <c r="C4423" i="3"/>
  <c r="C5167" i="3"/>
  <c r="C4365" i="3"/>
  <c r="C3661" i="3"/>
  <c r="C2621" i="3"/>
  <c r="C4449" i="3"/>
  <c r="C1602" i="3"/>
  <c r="C2438" i="3"/>
  <c r="C4933" i="3"/>
  <c r="C2805" i="3"/>
  <c r="C2592" i="3"/>
  <c r="C4118" i="3"/>
  <c r="C5401" i="3"/>
  <c r="C4448" i="3"/>
  <c r="C5122" i="3"/>
  <c r="C2720" i="3"/>
  <c r="C3403" i="3"/>
  <c r="C5043" i="3"/>
  <c r="C4848" i="3"/>
  <c r="C2198" i="3"/>
  <c r="C4459" i="3"/>
  <c r="C1043" i="3"/>
  <c r="C694" i="3"/>
  <c r="C755" i="3"/>
  <c r="C3709" i="3"/>
  <c r="C5421" i="3"/>
  <c r="C5471" i="3"/>
  <c r="C4520" i="3"/>
  <c r="C3914" i="3"/>
  <c r="C3289" i="3"/>
  <c r="C1717" i="3"/>
  <c r="C4254" i="3"/>
  <c r="C3318" i="3"/>
  <c r="C4956" i="3"/>
  <c r="C1232" i="3"/>
  <c r="C4045" i="3"/>
  <c r="C974" i="3"/>
  <c r="C1528" i="3"/>
  <c r="C1150" i="3"/>
  <c r="C4768" i="3"/>
  <c r="C2325" i="3"/>
  <c r="C1709" i="3"/>
  <c r="C2668" i="3"/>
  <c r="C2566" i="3"/>
  <c r="C5001" i="3"/>
  <c r="C4894" i="3"/>
  <c r="C2976" i="3"/>
  <c r="C2364" i="3"/>
  <c r="C797" i="3"/>
  <c r="C1354" i="3"/>
  <c r="C2739" i="3"/>
  <c r="C4426" i="3"/>
  <c r="C4628" i="3"/>
  <c r="C3442" i="3"/>
  <c r="C4963" i="3"/>
  <c r="C4928" i="3"/>
  <c r="C603" i="3"/>
  <c r="C5045" i="3"/>
  <c r="C4125" i="3"/>
  <c r="C1483" i="3"/>
  <c r="C5014" i="3"/>
  <c r="C1061" i="3"/>
  <c r="C2585" i="3"/>
  <c r="C3341" i="3"/>
  <c r="C3334" i="3"/>
  <c r="C1009" i="3"/>
  <c r="C3251" i="3"/>
  <c r="C4136" i="3"/>
  <c r="C3885" i="3"/>
  <c r="C3959" i="3"/>
  <c r="C1455" i="3"/>
  <c r="C4687" i="3"/>
  <c r="C2555" i="3"/>
  <c r="C2232" i="3"/>
  <c r="C2092" i="3"/>
  <c r="C4729" i="3"/>
  <c r="C3422" i="3"/>
  <c r="C1901" i="3"/>
  <c r="C2773" i="3"/>
  <c r="C1575" i="3"/>
  <c r="C5261" i="3"/>
  <c r="C4512" i="3"/>
  <c r="C3716" i="3"/>
  <c r="C1210" i="3"/>
  <c r="C1102" i="3"/>
  <c r="C5315" i="3"/>
  <c r="C912" i="3"/>
  <c r="C5065" i="3"/>
  <c r="C2684" i="3"/>
  <c r="C4953" i="3"/>
  <c r="C5229" i="3"/>
  <c r="C5323" i="3"/>
  <c r="C3680" i="3"/>
  <c r="C2777" i="3"/>
  <c r="C2731" i="3"/>
  <c r="C2692" i="3"/>
  <c r="C5226" i="3"/>
  <c r="C4427" i="3"/>
  <c r="C5299" i="3"/>
  <c r="C2903" i="3"/>
  <c r="C3180" i="3"/>
  <c r="C760" i="3"/>
  <c r="C743" i="3"/>
  <c r="C5180" i="3"/>
  <c r="C2554" i="3"/>
  <c r="C3157" i="3"/>
  <c r="C3202" i="3"/>
  <c r="C1357" i="3"/>
  <c r="C3600" i="3"/>
  <c r="C4362" i="3"/>
  <c r="C4500" i="3"/>
  <c r="C4810" i="3"/>
  <c r="C3094" i="3"/>
  <c r="C1163" i="3"/>
  <c r="C3134" i="3"/>
  <c r="C991" i="3"/>
  <c r="C829" i="3"/>
  <c r="C2771" i="3"/>
  <c r="C4980" i="3"/>
  <c r="C5075" i="3"/>
  <c r="C5398" i="3"/>
  <c r="C1692" i="3"/>
  <c r="C2442" i="3"/>
  <c r="C5316" i="3"/>
  <c r="C3835" i="3"/>
  <c r="C1326" i="3"/>
  <c r="C3724" i="3"/>
  <c r="C1838" i="3"/>
  <c r="C2086" i="3"/>
  <c r="C5105" i="3"/>
  <c r="C1160" i="3"/>
  <c r="C2036" i="3"/>
  <c r="C3516" i="3"/>
  <c r="C831" i="3"/>
  <c r="C3156" i="3"/>
  <c r="C3701" i="3"/>
  <c r="C2274" i="3"/>
  <c r="C2660" i="3"/>
  <c r="C588" i="3"/>
  <c r="C5250" i="3"/>
  <c r="C5030" i="3"/>
  <c r="C4478" i="3"/>
  <c r="C1101" i="3"/>
  <c r="C3534" i="3"/>
  <c r="C4571" i="3"/>
  <c r="C3354" i="3"/>
  <c r="C1556" i="3"/>
  <c r="C2971" i="3"/>
  <c r="C2915" i="3"/>
  <c r="C3444" i="3"/>
  <c r="C996" i="3"/>
  <c r="C2490" i="3"/>
  <c r="C4666" i="3"/>
  <c r="C2977" i="3"/>
  <c r="C5364" i="3"/>
  <c r="C3189" i="3"/>
  <c r="C5446" i="3"/>
  <c r="C4765" i="3"/>
  <c r="C2521" i="3"/>
  <c r="C3970" i="3"/>
  <c r="C4250" i="3"/>
  <c r="C1157" i="3"/>
  <c r="C5188" i="3"/>
  <c r="C4696" i="3"/>
  <c r="C4333" i="3"/>
  <c r="C4146" i="3"/>
  <c r="C856" i="3"/>
  <c r="C5423" i="3"/>
  <c r="C4288" i="3"/>
  <c r="C4944" i="3"/>
  <c r="C1514" i="3"/>
  <c r="C1808" i="3"/>
  <c r="C1993" i="3"/>
  <c r="C3496" i="3"/>
  <c r="C4444" i="3"/>
  <c r="C5039" i="3"/>
  <c r="C2853" i="3"/>
  <c r="C2300" i="3"/>
  <c r="C3323" i="3"/>
  <c r="C5244" i="3"/>
  <c r="C1954" i="3"/>
  <c r="C3710" i="3"/>
  <c r="C3437" i="3"/>
  <c r="C5139" i="3"/>
  <c r="C2735" i="3"/>
  <c r="C1917" i="3"/>
  <c r="C4654" i="3"/>
  <c r="C573" i="3"/>
  <c r="C1953" i="3"/>
  <c r="C2200" i="3"/>
  <c r="C3649" i="3"/>
  <c r="C5334" i="3"/>
  <c r="C5375" i="3"/>
  <c r="C2958" i="3"/>
  <c r="C4119" i="3"/>
  <c r="C2217" i="3"/>
  <c r="C3238" i="3"/>
  <c r="C3873" i="3"/>
  <c r="C4703" i="3"/>
  <c r="C2861" i="3"/>
  <c r="C1577" i="3"/>
  <c r="C1544" i="3"/>
  <c r="C1823" i="3"/>
  <c r="C2130" i="3"/>
  <c r="C773" i="3"/>
  <c r="C4093" i="3"/>
  <c r="C5031" i="3"/>
  <c r="C1752" i="3"/>
  <c r="C1720" i="3"/>
  <c r="C4379" i="3"/>
  <c r="C3201" i="3"/>
  <c r="C4941" i="3"/>
  <c r="C3329" i="3"/>
  <c r="C3976" i="3"/>
  <c r="C1316" i="3"/>
  <c r="C1582" i="3"/>
  <c r="C4456" i="3"/>
  <c r="C3062" i="3"/>
  <c r="C785" i="3"/>
  <c r="C3307" i="3"/>
  <c r="C4186" i="3"/>
  <c r="C666" i="3"/>
  <c r="C4169" i="3"/>
  <c r="C5033" i="3"/>
  <c r="C2459" i="3"/>
  <c r="C3870" i="3"/>
  <c r="C5109" i="3"/>
  <c r="C4161" i="3"/>
  <c r="C4624" i="3"/>
  <c r="C2333" i="3"/>
  <c r="C5019" i="3"/>
  <c r="C4589" i="3"/>
  <c r="C5212" i="3"/>
  <c r="C1701" i="3"/>
  <c r="C4467" i="3"/>
  <c r="C3652" i="3"/>
  <c r="C3053" i="3"/>
  <c r="C613" i="3"/>
  <c r="C3551" i="3"/>
  <c r="C1732" i="3"/>
  <c r="C2154" i="3"/>
  <c r="C1286" i="3"/>
  <c r="C2590" i="3"/>
  <c r="C2563" i="3"/>
  <c r="C1616" i="3"/>
  <c r="C4851" i="3"/>
  <c r="C1006" i="3"/>
  <c r="C1203" i="3"/>
  <c r="C1332" i="3"/>
  <c r="C1079" i="3"/>
  <c r="C1592" i="3"/>
  <c r="C4291" i="3"/>
  <c r="C4219" i="3"/>
  <c r="C3617" i="3"/>
  <c r="C4525" i="3"/>
  <c r="C4826" i="3"/>
  <c r="C2690" i="3"/>
  <c r="C2444" i="3"/>
  <c r="C2809" i="3"/>
  <c r="C3407" i="3"/>
  <c r="C2147" i="3"/>
  <c r="C2522" i="3"/>
  <c r="C630" i="3"/>
  <c r="C3123" i="3"/>
  <c r="C3447" i="3"/>
  <c r="C1879" i="3"/>
  <c r="C2517" i="3"/>
  <c r="C2961" i="3"/>
  <c r="C3340" i="3"/>
  <c r="C889" i="3"/>
  <c r="C1297" i="3"/>
  <c r="C4529" i="3"/>
  <c r="C4098" i="3"/>
  <c r="C5494" i="3"/>
  <c r="C5017" i="3"/>
  <c r="C1690" i="3"/>
  <c r="C5342" i="3"/>
  <c r="C3137" i="3"/>
  <c r="C4543" i="3"/>
  <c r="C4383" i="3"/>
  <c r="C3083" i="3"/>
  <c r="C4744" i="3"/>
  <c r="C881" i="3"/>
  <c r="C3292" i="3"/>
  <c r="C3763" i="3"/>
  <c r="C4271" i="3"/>
  <c r="C4010" i="3"/>
  <c r="C3408" i="3"/>
  <c r="C1791" i="3"/>
  <c r="C2713" i="3"/>
  <c r="C4327" i="3"/>
  <c r="C3535" i="3"/>
  <c r="C1207" i="3"/>
  <c r="C4337" i="3"/>
  <c r="C662" i="3"/>
  <c r="C5196" i="3"/>
  <c r="C4312" i="3"/>
  <c r="C4352" i="3"/>
  <c r="C3570" i="3"/>
  <c r="C686" i="3"/>
  <c r="C5184" i="3"/>
  <c r="C675" i="3"/>
  <c r="C2685" i="3"/>
  <c r="C2254" i="3"/>
  <c r="C4129" i="3"/>
  <c r="C3043" i="3"/>
  <c r="C1527" i="3"/>
  <c r="C2430" i="3"/>
  <c r="C1887" i="3"/>
  <c r="C3264" i="3"/>
  <c r="C1393" i="3"/>
  <c r="C3397" i="3"/>
  <c r="C3020" i="3"/>
  <c r="C1580" i="3"/>
  <c r="C1710" i="3"/>
  <c r="C973" i="3"/>
  <c r="C3048" i="3"/>
  <c r="C1092" i="3"/>
  <c r="C1727" i="3"/>
  <c r="C3769" i="3"/>
  <c r="C3881" i="3"/>
  <c r="C5330" i="3"/>
  <c r="C4575" i="3"/>
  <c r="C2691" i="3"/>
  <c r="C2756" i="3"/>
  <c r="C3089" i="3"/>
  <c r="C4662" i="3"/>
  <c r="C4805" i="3"/>
  <c r="C2071" i="3"/>
  <c r="C4304" i="3"/>
  <c r="C3604" i="3"/>
  <c r="C1755" i="3"/>
  <c r="C1271" i="3"/>
  <c r="C4003" i="3"/>
  <c r="C3288" i="3"/>
  <c r="C3458" i="3"/>
  <c r="C1559" i="3"/>
  <c r="C2234" i="3"/>
  <c r="C4234" i="3"/>
  <c r="C2820" i="3"/>
  <c r="C5296" i="3"/>
  <c r="C4322" i="3"/>
  <c r="C1691" i="3"/>
  <c r="C3135" i="3"/>
  <c r="C3086" i="3"/>
  <c r="C4230" i="3"/>
  <c r="C5108" i="3"/>
  <c r="C2928" i="3"/>
  <c r="C1056" i="3"/>
  <c r="C1915" i="3"/>
  <c r="C3644" i="3"/>
  <c r="C2923" i="3"/>
  <c r="C3181" i="3"/>
  <c r="C2367" i="3"/>
  <c r="C3773" i="3"/>
  <c r="C4252" i="3"/>
  <c r="C4927" i="3"/>
  <c r="C5026" i="3"/>
  <c r="C3924" i="3"/>
  <c r="C1693" i="3"/>
  <c r="C781" i="3"/>
  <c r="C4882" i="3"/>
  <c r="C5452" i="3"/>
  <c r="C1652" i="3"/>
  <c r="C3727" i="3"/>
  <c r="C1242" i="3"/>
  <c r="C2441" i="3"/>
  <c r="C4326" i="3"/>
  <c r="C4200" i="3"/>
  <c r="C624" i="3"/>
  <c r="C2418" i="3"/>
  <c r="C3439" i="3"/>
  <c r="C4801" i="3"/>
  <c r="C2997" i="3"/>
  <c r="C2525" i="3"/>
  <c r="C4121" i="3"/>
  <c r="C1373" i="3"/>
  <c r="C1267" i="3"/>
  <c r="C4248" i="3"/>
  <c r="C3115" i="3"/>
  <c r="C2957" i="3"/>
  <c r="C4419" i="3"/>
  <c r="C3631" i="3"/>
  <c r="C4464" i="3"/>
  <c r="C4227" i="3"/>
  <c r="C890" i="3"/>
  <c r="C1833" i="3"/>
  <c r="C1481" i="3"/>
  <c r="C5455" i="3"/>
  <c r="C4717" i="3"/>
  <c r="C5248" i="3"/>
  <c r="C4629" i="3"/>
  <c r="C4893" i="3"/>
  <c r="C892" i="3"/>
  <c r="C4734" i="3"/>
  <c r="C987" i="3"/>
  <c r="C2153" i="3"/>
  <c r="C1866" i="3"/>
  <c r="C4338" i="3"/>
  <c r="C4736" i="3"/>
  <c r="C1632" i="3"/>
  <c r="C4281" i="3"/>
  <c r="C4803" i="3"/>
  <c r="C1686" i="3"/>
  <c r="C1970" i="3"/>
  <c r="C1565" i="3"/>
  <c r="C4804" i="3"/>
  <c r="C3823" i="3"/>
  <c r="C4498" i="3"/>
  <c r="C2574" i="3"/>
  <c r="C1460" i="3"/>
  <c r="C3611" i="3"/>
  <c r="C2415" i="3"/>
  <c r="C2239" i="3"/>
  <c r="C3807" i="3"/>
  <c r="C1439" i="3"/>
  <c r="C2124" i="3"/>
  <c r="C847" i="3"/>
  <c r="C2838" i="3"/>
  <c r="C2394" i="3"/>
  <c r="C586" i="3"/>
  <c r="C3591" i="3"/>
  <c r="C1018" i="3"/>
  <c r="C1529" i="3"/>
  <c r="C1054" i="3"/>
  <c r="C1474" i="3"/>
  <c r="C2213" i="3"/>
  <c r="C751" i="3"/>
  <c r="C2570" i="3"/>
  <c r="C2726" i="3"/>
  <c r="C4127" i="3"/>
  <c r="C3664" i="3"/>
  <c r="C1695" i="3"/>
  <c r="C4534" i="3"/>
  <c r="C4532" i="3"/>
  <c r="C2156" i="3"/>
  <c r="C2368" i="3"/>
  <c r="C635" i="3"/>
  <c r="C1534" i="3"/>
  <c r="C4488" i="3"/>
  <c r="C1118" i="3"/>
  <c r="C3240" i="3"/>
  <c r="C735" i="3"/>
  <c r="C1058" i="3"/>
  <c r="C4674" i="3"/>
  <c r="C2094" i="3"/>
  <c r="C1980" i="3"/>
  <c r="C4715" i="3"/>
  <c r="C4285" i="3"/>
  <c r="C2663" i="3"/>
  <c r="C4780" i="3"/>
  <c r="C758" i="3"/>
  <c r="C4713" i="3"/>
  <c r="C4152" i="3"/>
  <c r="C4065" i="3"/>
  <c r="C2398" i="3"/>
  <c r="C2449" i="3"/>
  <c r="C3066" i="3"/>
  <c r="C1419" i="3"/>
  <c r="C2323" i="3"/>
  <c r="C3718" i="3"/>
  <c r="C766" i="3"/>
  <c r="C1397" i="3"/>
  <c r="C4435" i="3"/>
  <c r="C1625" i="3"/>
  <c r="C5391" i="3"/>
  <c r="C5263" i="3"/>
  <c r="C5182" i="3"/>
  <c r="C1548" i="3"/>
  <c r="C3910" i="3"/>
  <c r="C5290" i="3"/>
  <c r="C2023" i="3"/>
  <c r="C708" i="3"/>
  <c r="C1736" i="3"/>
  <c r="C3610" i="3"/>
  <c r="C5435" i="3"/>
  <c r="C3788" i="3"/>
  <c r="C748" i="3"/>
  <c r="C3106" i="3"/>
  <c r="C901" i="3"/>
  <c r="C1557" i="3"/>
  <c r="C909" i="3"/>
  <c r="C4142" i="3"/>
  <c r="C1847" i="3"/>
  <c r="C2041" i="3"/>
  <c r="C4802" i="3"/>
  <c r="C3758" i="3"/>
  <c r="C589" i="3"/>
  <c r="C4133" i="3"/>
  <c r="C3132" i="3"/>
  <c r="C1914" i="3"/>
  <c r="C2999" i="3"/>
  <c r="C3075" i="3"/>
  <c r="C2876" i="3"/>
  <c r="C2269" i="3"/>
  <c r="C4185" i="3"/>
  <c r="C3717" i="3"/>
  <c r="C3209" i="3"/>
  <c r="C4027" i="3"/>
  <c r="C4238" i="3"/>
  <c r="C1725" i="3"/>
  <c r="C4840" i="3"/>
  <c r="C3310" i="3"/>
  <c r="C1624" i="3"/>
  <c r="C4300" i="3"/>
  <c r="C3169" i="3"/>
  <c r="C1065" i="3"/>
  <c r="C1697" i="3"/>
  <c r="C3510" i="3"/>
  <c r="C1213" i="3"/>
  <c r="C2465" i="3"/>
  <c r="C4147" i="3"/>
  <c r="C2579" i="3"/>
  <c r="C3012" i="3"/>
  <c r="C3863" i="3"/>
  <c r="C4082" i="3"/>
  <c r="C985" i="3"/>
  <c r="C2149" i="3"/>
  <c r="C4117" i="3"/>
  <c r="C3538" i="3"/>
  <c r="C5112" i="3"/>
  <c r="C5306" i="3"/>
  <c r="C1472" i="3"/>
  <c r="C3558" i="3"/>
  <c r="C4101" i="3"/>
  <c r="C3898" i="3"/>
  <c r="C622" i="3"/>
  <c r="C2577" i="3"/>
  <c r="C740" i="3"/>
  <c r="C1277" i="3"/>
  <c r="C3832" i="3"/>
  <c r="C5160" i="3"/>
  <c r="C5211" i="3"/>
  <c r="C1366" i="3"/>
  <c r="C1361" i="3"/>
  <c r="C3691" i="3"/>
  <c r="C2872" i="3"/>
  <c r="C1659" i="3"/>
  <c r="C5135" i="3"/>
  <c r="C5056" i="3"/>
  <c r="C1892" i="3"/>
  <c r="C1221" i="3"/>
  <c r="C4422" i="3"/>
  <c r="C2218" i="3"/>
  <c r="C920" i="3"/>
  <c r="C1325" i="3"/>
  <c r="C4453" i="3"/>
  <c r="C3142" i="3"/>
  <c r="C5015" i="3"/>
  <c r="C1604" i="3"/>
  <c r="C2783" i="3"/>
  <c r="C2514" i="3"/>
  <c r="C3154" i="3"/>
  <c r="C3829" i="3"/>
  <c r="C1376" i="3"/>
  <c r="C4565" i="3"/>
  <c r="C2141" i="3"/>
  <c r="C4451" i="3"/>
  <c r="C2781" i="3"/>
  <c r="C2004" i="3"/>
  <c r="C2512" i="3"/>
  <c r="C2163" i="3"/>
  <c r="C1771" i="3"/>
  <c r="C1858" i="3"/>
  <c r="C4092" i="3"/>
  <c r="C1777" i="3"/>
  <c r="C5495" i="3"/>
  <c r="C2002" i="3"/>
  <c r="C4838" i="3"/>
  <c r="C1641" i="3"/>
  <c r="C3854" i="3"/>
  <c r="C2637" i="3"/>
  <c r="C1933" i="3"/>
  <c r="C999" i="3"/>
  <c r="C697" i="3"/>
  <c r="C4215" i="3"/>
  <c r="C3306" i="3"/>
  <c r="C690" i="3"/>
  <c r="C2260" i="3"/>
  <c r="C2576" i="3"/>
  <c r="C3867" i="3"/>
  <c r="C1637" i="3"/>
  <c r="C1671" i="3"/>
  <c r="C4392" i="3"/>
  <c r="C4937" i="3"/>
  <c r="C1716" i="3"/>
  <c r="C1630" i="3"/>
  <c r="C4210" i="3"/>
  <c r="C2480" i="3"/>
  <c r="C2048" i="3"/>
  <c r="C5481" i="3"/>
  <c r="C1983" i="3"/>
  <c r="C5185" i="3"/>
  <c r="C778" i="3"/>
  <c r="C1938" i="3"/>
  <c r="C2866" i="3"/>
  <c r="C3215" i="3"/>
  <c r="C4178" i="3"/>
  <c r="C5496" i="3"/>
  <c r="C5380" i="3"/>
  <c r="C1794" i="3"/>
  <c r="C4153" i="3"/>
  <c r="C3841" i="3"/>
  <c r="C1646" i="3"/>
  <c r="C1685" i="3"/>
  <c r="C1289" i="3"/>
  <c r="C2614" i="3"/>
  <c r="C1055" i="3"/>
  <c r="C2145" i="3"/>
  <c r="C4131" i="3"/>
  <c r="C1459" i="3"/>
  <c r="C1014" i="3"/>
  <c r="C636" i="3"/>
  <c r="C1033" i="3"/>
  <c r="C2661" i="3"/>
  <c r="C4836" i="3"/>
  <c r="C2231" i="3"/>
  <c r="C2984" i="3"/>
  <c r="C4024" i="3"/>
  <c r="C2081" i="3"/>
  <c r="C2244" i="3"/>
  <c r="C5426" i="3"/>
  <c r="C1407" i="3"/>
  <c r="C2613" i="3"/>
  <c r="C2354" i="3"/>
  <c r="C2543" i="3"/>
  <c r="C3396" i="3"/>
  <c r="C3599" i="3"/>
  <c r="C1783" i="3"/>
  <c r="C1651" i="3"/>
  <c r="C3996" i="3"/>
  <c r="C3200" i="3"/>
  <c r="C2526" i="3"/>
  <c r="C679" i="3"/>
  <c r="C2839" i="3"/>
  <c r="C3257" i="3"/>
  <c r="C4382" i="3"/>
  <c r="C4428" i="3"/>
  <c r="C1795" i="3"/>
  <c r="C2249" i="3"/>
  <c r="C2225" i="3"/>
  <c r="C1841" i="3"/>
  <c r="C5104" i="3"/>
  <c r="C4538" i="3"/>
  <c r="C1811" i="3"/>
  <c r="C2087" i="3"/>
  <c r="C886" i="3"/>
  <c r="C596" i="3"/>
  <c r="C2646" i="3"/>
  <c r="C2476" i="3"/>
  <c r="C2507" i="3"/>
  <c r="C2841" i="3"/>
  <c r="C4816" i="3"/>
  <c r="C1086" i="3"/>
  <c r="C2122" i="3"/>
  <c r="C1081" i="3"/>
  <c r="C4913" i="3"/>
  <c r="C2945" i="3"/>
  <c r="C1753" i="3"/>
  <c r="C1798" i="3"/>
  <c r="C2519" i="3"/>
  <c r="C2908" i="3"/>
  <c r="C2611" i="3"/>
  <c r="C1222" i="3"/>
  <c r="C4284" i="3"/>
  <c r="C1517" i="3"/>
  <c r="C2261" i="3"/>
  <c r="C1778" i="3"/>
  <c r="C4596" i="3"/>
  <c r="C779" i="3"/>
  <c r="C4266" i="3"/>
  <c r="C924" i="3"/>
  <c r="C5095" i="3"/>
  <c r="C2583" i="3"/>
  <c r="C2804" i="3"/>
  <c r="C1103" i="3"/>
  <c r="C1723" i="3"/>
  <c r="C2111" i="3"/>
  <c r="C927" i="3"/>
  <c r="C4711" i="3"/>
  <c r="C1369" i="3"/>
  <c r="C3006" i="3"/>
  <c r="C4898" i="3"/>
  <c r="C1353" i="3"/>
  <c r="C4275" i="3"/>
  <c r="C1664" i="3"/>
  <c r="C1669" i="3"/>
  <c r="C2437" i="3"/>
  <c r="C4006" i="3"/>
  <c r="C4269" i="3"/>
  <c r="C3494" i="3"/>
  <c r="C1470" i="3"/>
  <c r="C4294" i="3"/>
  <c r="C3573" i="3"/>
  <c r="C1257" i="3"/>
  <c r="C1066" i="3"/>
  <c r="C3349" i="3"/>
  <c r="C2058" i="3"/>
  <c r="C5319" i="3"/>
  <c r="C4942" i="3"/>
  <c r="C3501" i="3"/>
  <c r="C3464" i="3"/>
  <c r="C5090" i="3"/>
  <c r="C2892" i="3"/>
  <c r="C4846" i="3"/>
  <c r="C5049" i="3"/>
  <c r="C2190" i="3"/>
  <c r="C4391" i="3"/>
  <c r="C853" i="3"/>
  <c r="C2278" i="3"/>
  <c r="C1807" i="3"/>
  <c r="C4680" i="3"/>
  <c r="C4466" i="3"/>
  <c r="C4554" i="3"/>
  <c r="C4909" i="3"/>
  <c r="C832" i="3"/>
  <c r="C1124" i="3"/>
  <c r="C4774" i="3"/>
  <c r="C3605" i="3"/>
  <c r="C3693" i="3"/>
  <c r="C1355" i="3"/>
  <c r="C3082" i="3"/>
  <c r="C4270" i="3"/>
  <c r="C3118" i="3"/>
  <c r="C3817" i="3"/>
  <c r="C5228" i="3"/>
  <c r="C860" i="3"/>
  <c r="C3514" i="3"/>
  <c r="C3093" i="3"/>
  <c r="C1275" i="3"/>
  <c r="C3738" i="3"/>
  <c r="C3214" i="3"/>
  <c r="C2468" i="3"/>
  <c r="C1417" i="3"/>
  <c r="C4863" i="3"/>
  <c r="C2358" i="3"/>
  <c r="C1849" i="3"/>
  <c r="C2508" i="3"/>
  <c r="C3689" i="3"/>
  <c r="C5310" i="3"/>
  <c r="C585" i="3"/>
  <c r="C3778" i="3"/>
  <c r="C3554" i="3"/>
  <c r="C961" i="3"/>
  <c r="C4964" i="3"/>
  <c r="C2074" i="3"/>
  <c r="C1896" i="3"/>
  <c r="C981" i="3"/>
  <c r="C772" i="3"/>
  <c r="C5239" i="3"/>
  <c r="C4241" i="3"/>
  <c r="C2392" i="3"/>
  <c r="C625" i="3"/>
  <c r="C4567" i="3"/>
  <c r="C2088" i="3"/>
  <c r="C2643" i="3"/>
  <c r="C872" i="3"/>
  <c r="C1804" i="3"/>
  <c r="C685" i="3"/>
  <c r="C670" i="3"/>
  <c r="C1607" i="3"/>
  <c r="C2276" i="3"/>
  <c r="C1486" i="3"/>
  <c r="C1539" i="3"/>
  <c r="C3960" i="3"/>
  <c r="C4217" i="3"/>
  <c r="C2833" i="3"/>
  <c r="C804" i="3"/>
  <c r="C2039" i="3"/>
  <c r="C1962" i="3"/>
  <c r="C1039" i="3"/>
  <c r="C712" i="3"/>
  <c r="C3772" i="3"/>
  <c r="C2052" i="3"/>
  <c r="C1115" i="3"/>
  <c r="C3722" i="3"/>
  <c r="C1197" i="3"/>
  <c r="C1105" i="3"/>
  <c r="C3595" i="3"/>
  <c r="C4015" i="3"/>
  <c r="C2717" i="3"/>
  <c r="C4883" i="3"/>
  <c r="C1396" i="3"/>
  <c r="C2228" i="3"/>
  <c r="C4915" i="3"/>
  <c r="C820" i="3"/>
  <c r="C3461" i="3"/>
  <c r="C1578" i="3"/>
  <c r="C2420" i="3"/>
  <c r="C5011" i="3"/>
  <c r="C3388" i="3"/>
  <c r="C3622" i="3"/>
  <c r="C3443" i="3"/>
  <c r="C3882" i="3"/>
  <c r="C4096" i="3"/>
  <c r="C5283" i="3"/>
  <c r="C816" i="3"/>
  <c r="C2528" i="3"/>
  <c r="C982" i="3"/>
  <c r="C1378" i="3"/>
  <c r="C3875" i="3"/>
  <c r="C1179" i="3"/>
  <c r="C975" i="3"/>
  <c r="C3188" i="3"/>
  <c r="C4369" i="3"/>
  <c r="C4707" i="3"/>
  <c r="C4264" i="3"/>
  <c r="C1420" i="3"/>
  <c r="C734" i="3"/>
  <c r="C4887" i="3"/>
  <c r="C5161" i="3"/>
  <c r="C5468" i="3"/>
  <c r="C3728" i="3"/>
  <c r="C4890" i="3"/>
  <c r="C2330" i="3"/>
  <c r="C1899" i="3"/>
  <c r="C2250" i="3"/>
  <c r="C2049" i="3"/>
  <c r="C986" i="3"/>
  <c r="C3436" i="3"/>
  <c r="C4569" i="3"/>
  <c r="C3165" i="3"/>
  <c r="C1290" i="3"/>
  <c r="C1829" i="3"/>
  <c r="C1636" i="3"/>
  <c r="C2969" i="3"/>
  <c r="C1940" i="3"/>
  <c r="C2769" i="3"/>
  <c r="C817" i="3"/>
  <c r="C5292" i="3"/>
  <c r="C3381" i="3"/>
  <c r="C5086" i="3"/>
  <c r="C1884" i="3"/>
  <c r="C2696" i="3"/>
  <c r="C2914" i="3"/>
  <c r="C4479" i="3"/>
  <c r="C1077" i="3"/>
  <c r="C4102" i="3"/>
  <c r="C5366" i="3"/>
  <c r="C1023" i="3"/>
  <c r="C2091" i="3"/>
  <c r="C1400" i="3"/>
  <c r="C583" i="3"/>
  <c r="C4712" i="3"/>
  <c r="C1979" i="3"/>
  <c r="C4710" i="3"/>
  <c r="C2791" i="3"/>
  <c r="C2290" i="3"/>
  <c r="C4387" i="3"/>
  <c r="C2860" i="3"/>
  <c r="C3946" i="3"/>
  <c r="C2458" i="3"/>
  <c r="C1890" i="3"/>
  <c r="C4632" i="3"/>
  <c r="C3748" i="3"/>
  <c r="C3934" i="3"/>
  <c r="C1568" i="3"/>
  <c r="C2854" i="3"/>
  <c r="C3469" i="3"/>
  <c r="C4858" i="3"/>
  <c r="C2623" i="3"/>
  <c r="C1269" i="3"/>
  <c r="C3762" i="3"/>
  <c r="C1742" i="3"/>
  <c r="C1589" i="3"/>
  <c r="C5158" i="3"/>
  <c r="C5101" i="3"/>
  <c r="C2369" i="3"/>
  <c r="C4987" i="3"/>
  <c r="C5301" i="3"/>
  <c r="C4683" i="3"/>
  <c r="C1418" i="3"/>
  <c r="C1676" i="3"/>
  <c r="C4972" i="3"/>
  <c r="C1013" i="3"/>
  <c r="C2913" i="3"/>
  <c r="C1583" i="3"/>
  <c r="C2785" i="3"/>
  <c r="C4695" i="3"/>
  <c r="C2648" i="3"/>
  <c r="C5337" i="3"/>
  <c r="C1564" i="3"/>
  <c r="C2381" i="3"/>
  <c r="C873" i="3"/>
  <c r="C5295" i="3"/>
  <c r="C5488" i="3"/>
  <c r="C1003" i="3"/>
  <c r="C4378" i="3"/>
  <c r="C3813" i="3"/>
  <c r="C2547" i="3"/>
  <c r="C3126" i="3"/>
  <c r="C2435" i="3"/>
  <c r="C1570" i="3"/>
  <c r="C4761" i="3"/>
  <c r="C1987" i="3"/>
  <c r="C2005" i="3"/>
  <c r="C993" i="3"/>
  <c r="C3350" i="3"/>
  <c r="C2649" i="3"/>
  <c r="C1810" i="3"/>
  <c r="C2090" i="3"/>
  <c r="C1042" i="3"/>
  <c r="C3937" i="3"/>
  <c r="C1878" i="3"/>
  <c r="C5153" i="3"/>
  <c r="C4513" i="3"/>
  <c r="C3874" i="3"/>
  <c r="C1226" i="3"/>
  <c r="C3683" i="3"/>
  <c r="C4613" i="3"/>
  <c r="C5165" i="3"/>
  <c r="C5312" i="3"/>
  <c r="C2747" i="3"/>
  <c r="C2400" i="3"/>
  <c r="C4867" i="3"/>
  <c r="C807" i="3"/>
  <c r="C3205" i="3"/>
  <c r="C4258" i="3"/>
  <c r="C5186" i="3"/>
  <c r="C4360" i="3"/>
  <c r="C3356" i="3"/>
  <c r="C1718" i="3"/>
  <c r="C2917" i="3"/>
  <c r="C2952" i="3"/>
  <c r="C3500" i="3"/>
  <c r="C4588" i="3"/>
  <c r="C5106" i="3"/>
  <c r="C621" i="3"/>
  <c r="C4646" i="3"/>
  <c r="C4249" i="3"/>
  <c r="C1215" i="3"/>
  <c r="C3033" i="3"/>
  <c r="C4087" i="3"/>
  <c r="C2469" i="3"/>
  <c r="C1046" i="3"/>
  <c r="C4507" i="3"/>
  <c r="C4483" i="3"/>
  <c r="C864" i="3"/>
  <c r="C3635" i="3"/>
  <c r="C3182" i="3"/>
  <c r="C4550" i="3"/>
  <c r="C970" i="3"/>
  <c r="C5407" i="3"/>
  <c r="C4441" i="3"/>
  <c r="C4196" i="3"/>
  <c r="C2501" i="3"/>
  <c r="C2578" i="3"/>
  <c r="C2172" i="3"/>
  <c r="C3383" i="3"/>
  <c r="C2063" i="3"/>
  <c r="C2603" i="3"/>
  <c r="C5096" i="3"/>
  <c r="C4094" i="3"/>
  <c r="C4081" i="3"/>
  <c r="C1540" i="3"/>
  <c r="C2204" i="3"/>
  <c r="C3015" i="3"/>
  <c r="C5046" i="3"/>
  <c r="C4770" i="3"/>
  <c r="C2171" i="3"/>
  <c r="C605" i="3"/>
  <c r="C3905" i="3"/>
  <c r="C4037" i="3"/>
  <c r="C2994" i="3"/>
  <c r="C2162" i="3"/>
  <c r="C4782" i="3"/>
  <c r="C4584" i="3"/>
  <c r="C4132" i="3"/>
  <c r="C1300" i="3"/>
  <c r="C1968" i="3"/>
  <c r="C2257" i="3"/>
  <c r="C5070" i="3"/>
  <c r="C3859" i="3"/>
  <c r="C4769" i="3"/>
  <c r="C823" i="3"/>
  <c r="C1745" i="3"/>
  <c r="C648" i="3"/>
  <c r="C4647" i="3"/>
  <c r="C2335" i="3"/>
  <c r="C2920" i="3"/>
  <c r="C4936" i="3"/>
  <c r="C1011" i="3"/>
  <c r="C3547" i="3"/>
  <c r="C2348" i="3"/>
  <c r="C3190" i="3"/>
  <c r="C2114" i="3"/>
  <c r="C5308" i="3"/>
  <c r="C2496" i="3"/>
  <c r="C1469" i="3"/>
  <c r="C4400" i="3"/>
  <c r="C1321" i="3"/>
  <c r="C1991" i="3"/>
  <c r="C3915" i="3"/>
  <c r="C1312" i="3"/>
  <c r="C1288" i="3"/>
  <c r="C3242" i="3"/>
  <c r="C2303" i="3"/>
  <c r="C1128" i="3"/>
  <c r="C4668" i="3"/>
  <c r="C5285" i="3"/>
  <c r="C1335" i="3"/>
  <c r="C2989" i="3"/>
  <c r="C3285" i="3"/>
  <c r="C2651" i="3"/>
  <c r="C5173" i="3"/>
  <c r="C579" i="3"/>
  <c r="C2267" i="3"/>
  <c r="C4895" i="3"/>
  <c r="C2504" i="3"/>
  <c r="C2831" i="3"/>
  <c r="C2702" i="3"/>
  <c r="C4005" i="3"/>
  <c r="C1497" i="3"/>
  <c r="C5462" i="3"/>
  <c r="C1634" i="3"/>
  <c r="C2718" i="3"/>
  <c r="C5257" i="3"/>
  <c r="C4920" i="3"/>
  <c r="C4870" i="3"/>
  <c r="C5025" i="3"/>
  <c r="C5241" i="3"/>
  <c r="C2815" i="3"/>
  <c r="C3956" i="3"/>
  <c r="C2944" i="3"/>
  <c r="C1030" i="3"/>
  <c r="C3207" i="3"/>
  <c r="C3063" i="3"/>
  <c r="C1171" i="3"/>
  <c r="C746" i="3"/>
  <c r="C2173" i="3"/>
  <c r="C4627" i="3"/>
  <c r="C3741" i="3"/>
  <c r="C4181" i="3"/>
  <c r="C3890" i="3"/>
  <c r="C4068" i="3"/>
  <c r="C4585" i="3"/>
  <c r="C4461" i="3"/>
  <c r="C3425" i="3"/>
  <c r="C3733" i="3"/>
  <c r="C3198" i="3"/>
  <c r="C4955" i="3"/>
  <c r="C1992" i="3"/>
  <c r="C2025" i="3"/>
  <c r="C5118" i="3"/>
  <c r="C2024" i="3"/>
  <c r="C2780" i="3"/>
  <c r="C5048" i="3"/>
  <c r="C4572" i="3"/>
  <c r="C684" i="3"/>
  <c r="C1278" i="3"/>
  <c r="C2689" i="3"/>
  <c r="C3677" i="3"/>
  <c r="C677" i="3"/>
  <c r="C1766" i="3"/>
  <c r="C2891" i="3"/>
  <c r="C3308" i="3"/>
  <c r="C2705" i="3"/>
  <c r="C4116" i="3"/>
  <c r="C783" i="3"/>
  <c r="C1705" i="3"/>
  <c r="C3391" i="3"/>
  <c r="C4994" i="3"/>
  <c r="C3588" i="3"/>
  <c r="C1950" i="3"/>
  <c r="C5080" i="3"/>
  <c r="C4055" i="3"/>
  <c r="C3852" i="3"/>
  <c r="C4076" i="3"/>
  <c r="C4159" i="3"/>
  <c r="C5217" i="3"/>
  <c r="C1913" i="3"/>
  <c r="C2983" i="3"/>
  <c r="C1787" i="3"/>
  <c r="C1468" i="3"/>
  <c r="C1792" i="3"/>
  <c r="C3524" i="3"/>
  <c r="C4420" i="3"/>
  <c r="C2423" i="3"/>
  <c r="C4335" i="3"/>
  <c r="C2345" i="3"/>
  <c r="C3688" i="3"/>
  <c r="C2030" i="3"/>
  <c r="C2518" i="3"/>
  <c r="C5102" i="3"/>
  <c r="C4776" i="3"/>
  <c r="C1870" i="3"/>
  <c r="C2127" i="3"/>
  <c r="C745" i="3"/>
  <c r="C5335" i="3"/>
  <c r="C4986" i="3"/>
  <c r="C2395" i="3"/>
  <c r="C5303" i="3"/>
  <c r="C2963" i="3"/>
  <c r="C3398" i="3"/>
  <c r="C5350" i="3"/>
  <c r="C4233" i="3"/>
  <c r="C1750" i="3"/>
  <c r="C3351" i="3"/>
  <c r="C5124" i="3"/>
  <c r="C1825" i="3"/>
  <c r="C3485" i="3"/>
  <c r="C2617" i="3"/>
  <c r="C2918" i="3"/>
  <c r="C719" i="3"/>
  <c r="C815" i="3"/>
  <c r="C4625" i="3"/>
  <c r="C3552" i="3"/>
  <c r="C894" i="3"/>
  <c r="C2451" i="3"/>
  <c r="C2220" i="3"/>
  <c r="C2825" i="3"/>
  <c r="C3675" i="3"/>
  <c r="C1051" i="3"/>
  <c r="C4348" i="3"/>
  <c r="C1309" i="3"/>
  <c r="C3065" i="3"/>
  <c r="C3892" i="3"/>
  <c r="C3460" i="3"/>
  <c r="C3039" i="3"/>
  <c r="C978" i="3"/>
  <c r="C681" i="3"/>
  <c r="C4343" i="3"/>
  <c r="C2848" i="3"/>
  <c r="C2341" i="3"/>
  <c r="C1812" i="3"/>
  <c r="C2266" i="3"/>
  <c r="C4922" i="3"/>
  <c r="C5085" i="3"/>
  <c r="C3468" i="3"/>
  <c r="C1020" i="3"/>
  <c r="C3708" i="3"/>
  <c r="C4206" i="3"/>
  <c r="C1127" i="3"/>
  <c r="C3577" i="3"/>
  <c r="C3668" i="3"/>
  <c r="C5052" i="3"/>
  <c r="C3170" i="3"/>
  <c r="C2379" i="3"/>
  <c r="C4050" i="3"/>
  <c r="C3518" i="3"/>
  <c r="C3054" i="3"/>
  <c r="C5458" i="3"/>
  <c r="C4022" i="3"/>
  <c r="C3842" i="3"/>
  <c r="C1041" i="3"/>
  <c r="C2947" i="3"/>
  <c r="C5490" i="3"/>
  <c r="C633" i="3"/>
  <c r="C1328" i="3"/>
  <c r="C731" i="3"/>
  <c r="C591" i="3"/>
  <c r="C3260" i="3"/>
  <c r="C4283" i="3"/>
  <c r="C2110" i="3"/>
  <c r="C3785" i="3"/>
  <c r="C5480" i="3"/>
  <c r="C1506" i="3"/>
  <c r="C3449" i="3"/>
  <c r="C594" i="3"/>
  <c r="C3155" i="3"/>
  <c r="C1888" i="3"/>
  <c r="C4758" i="3"/>
  <c r="C4733" i="3"/>
  <c r="C3243" i="3"/>
  <c r="C5000" i="3"/>
  <c r="C956" i="3"/>
  <c r="C3847" i="3"/>
  <c r="C1563" i="3"/>
  <c r="C2165" i="3"/>
  <c r="C2763" i="3"/>
  <c r="C4682" i="3"/>
  <c r="C3267" i="3"/>
  <c r="C687" i="3"/>
  <c r="C4475" i="3"/>
  <c r="C4126" i="3"/>
  <c r="C4489" i="3"/>
  <c r="C2281" i="3"/>
  <c r="C1782" i="3"/>
  <c r="C2847" i="3"/>
  <c r="C2910" i="3"/>
  <c r="C2193" i="3"/>
  <c r="C949" i="3"/>
  <c r="C4594" i="3"/>
  <c r="C2750" i="3"/>
  <c r="C2885" i="3"/>
  <c r="C5247" i="3"/>
  <c r="C2252" i="3"/>
  <c r="C5236" i="3"/>
  <c r="C4877" i="3"/>
  <c r="C1071" i="3"/>
  <c r="C4634" i="3"/>
  <c r="C3576" i="3"/>
  <c r="C655" i="3"/>
  <c r="C1139" i="3"/>
  <c r="C1351" i="3"/>
  <c r="C4297" i="3"/>
  <c r="C713" i="3"/>
  <c r="C3967" i="3"/>
  <c r="C4742" i="3"/>
  <c r="C2126" i="3"/>
  <c r="C1934" i="3"/>
  <c r="C4623" i="3"/>
  <c r="C714" i="3"/>
  <c r="C3742" i="3"/>
  <c r="C928" i="3"/>
  <c r="C5298" i="3"/>
  <c r="C2073" i="3"/>
  <c r="C3761" i="3"/>
  <c r="C3908" i="3"/>
  <c r="C1543" i="3"/>
  <c r="C1117" i="3"/>
  <c r="C3241" i="3"/>
  <c r="C1754" i="3"/>
  <c r="C5073" i="3"/>
  <c r="C5166" i="3"/>
  <c r="C5062" i="3"/>
  <c r="C4122" i="3"/>
  <c r="C2845" i="3"/>
  <c r="C4822" i="3"/>
  <c r="C3627" i="3"/>
  <c r="C4090" i="3"/>
  <c r="C2955" i="3"/>
  <c r="C5238" i="3"/>
  <c r="C3371" i="3"/>
  <c r="C4472" i="3"/>
  <c r="C775" i="3"/>
  <c r="C4576" i="3"/>
  <c r="C3749" i="3"/>
  <c r="C2285" i="3"/>
  <c r="C4643" i="3"/>
  <c r="C661" i="3"/>
  <c r="C2629" i="3"/>
  <c r="C5326" i="3"/>
  <c r="C2601" i="3"/>
  <c r="C1880" i="3"/>
  <c r="C660" i="3"/>
  <c r="C4063" i="3"/>
  <c r="C824" i="3"/>
  <c r="C1202" i="3"/>
  <c r="C1799" i="3"/>
  <c r="C4732" i="3"/>
  <c r="C4476" i="3"/>
  <c r="C3893" i="3"/>
  <c r="C5189" i="3"/>
  <c r="C4135" i="3"/>
  <c r="C747" i="3"/>
  <c r="C5370" i="3"/>
  <c r="C3186" i="3"/>
  <c r="C5240" i="3"/>
  <c r="C3779" i="3"/>
  <c r="C3482" i="3"/>
  <c r="C3420" i="3"/>
  <c r="C4763" i="3"/>
  <c r="C3149" i="3"/>
  <c r="C4481" i="3"/>
  <c r="C3978" i="3"/>
  <c r="C5116" i="3"/>
  <c r="C3330" i="3"/>
  <c r="C2245" i="3"/>
  <c r="C4954" i="3"/>
  <c r="C5053" i="3"/>
  <c r="C5284" i="3"/>
  <c r="C2630" i="3"/>
  <c r="C1886" i="3"/>
  <c r="C3092" i="3"/>
  <c r="C717" i="3"/>
  <c r="C5256" i="3"/>
  <c r="C2776" i="3"/>
  <c r="C4886" i="3"/>
  <c r="C4995" i="3"/>
  <c r="C4896" i="3"/>
  <c r="C2662" i="3"/>
  <c r="C3589" i="3"/>
  <c r="C4442" i="3"/>
  <c r="C4168" i="3"/>
  <c r="C4614" i="3"/>
  <c r="C4798" i="3"/>
  <c r="C4494" i="3"/>
  <c r="C3844" i="3"/>
  <c r="C3907" i="3"/>
  <c r="C590" i="3"/>
  <c r="C1186" i="3"/>
  <c r="C1515" i="3"/>
  <c r="C4339" i="3"/>
  <c r="C3965" i="3"/>
  <c r="C1072" i="3"/>
  <c r="C1296" i="3"/>
  <c r="C4698" i="3"/>
  <c r="C3659" i="3"/>
  <c r="C1339" i="3"/>
  <c r="C2485" i="3"/>
  <c r="C2370" i="3"/>
  <c r="C3221" i="3"/>
  <c r="C5255" i="3"/>
  <c r="C2697" i="3"/>
  <c r="C2318" i="3"/>
  <c r="C629" i="3"/>
  <c r="C885" i="3"/>
  <c r="C2829" i="3"/>
  <c r="C1406" i="3"/>
  <c r="C4021" i="3"/>
  <c r="C2654" i="3"/>
  <c r="C749" i="3"/>
  <c r="C4864" i="3"/>
  <c r="C1868" i="3"/>
  <c r="C2429" i="3"/>
  <c r="C3153" i="3"/>
  <c r="C1034" i="3"/>
  <c r="C4359" i="3"/>
  <c r="C3175" i="3"/>
  <c r="C1323" i="3"/>
  <c r="C2819" i="3"/>
  <c r="C4943" i="3"/>
  <c r="C2182" i="3"/>
  <c r="C3991" i="3"/>
  <c r="C4665" i="3"/>
  <c r="C3051" i="3"/>
  <c r="C3129" i="3"/>
  <c r="C5332" i="3"/>
  <c r="C1050" i="3"/>
  <c r="C2386" i="3"/>
  <c r="C1909" i="3"/>
  <c r="C1740" i="3"/>
  <c r="C4679" i="3"/>
  <c r="C1228" i="3"/>
  <c r="C2664" i="3"/>
  <c r="C3657" i="3"/>
  <c r="C1546" i="3"/>
  <c r="C4786" i="3"/>
  <c r="C3792" i="3"/>
  <c r="C1516" i="3"/>
  <c r="C3064" i="3"/>
  <c r="C5410" i="3"/>
  <c r="C2181" i="3"/>
  <c r="C3011" i="3"/>
  <c r="C2277" i="3"/>
  <c r="C1313" i="3"/>
  <c r="C5470" i="3"/>
  <c r="C2210" i="3"/>
  <c r="C4141" i="3"/>
  <c r="C3753" i="3"/>
  <c r="C4940" i="3"/>
  <c r="C4839" i="3"/>
  <c r="C2669" i="3"/>
  <c r="C1363" i="3"/>
  <c r="C5003" i="3"/>
  <c r="C2337" i="3"/>
  <c r="C5202" i="3"/>
  <c r="C4207" i="3"/>
  <c r="C4224" i="3"/>
  <c r="C1974" i="3"/>
  <c r="C4197" i="3"/>
  <c r="C4771" i="3"/>
  <c r="C3606" i="3"/>
  <c r="C5051" i="3"/>
  <c r="C1734" i="3"/>
  <c r="C4762" i="3"/>
  <c r="C4225" i="3"/>
  <c r="C3258" i="3"/>
  <c r="C1545" i="3"/>
  <c r="C1525" i="3"/>
  <c r="C2863" i="3"/>
  <c r="C5277" i="3"/>
  <c r="C1178" i="3"/>
  <c r="C5438" i="3"/>
  <c r="C3038" i="3"/>
  <c r="C3228" i="3"/>
  <c r="C3612" i="3"/>
  <c r="C2134" i="3"/>
  <c r="C595" i="3"/>
  <c r="C3095" i="3"/>
  <c r="C634" i="3"/>
  <c r="C1002" i="3"/>
  <c r="C3816" i="3"/>
  <c r="C3286" i="3"/>
  <c r="C2282" i="3"/>
  <c r="C1167" i="3"/>
  <c r="C4296" i="3"/>
  <c r="C2539" i="3"/>
  <c r="C1017" i="3"/>
  <c r="C737" i="3"/>
  <c r="C925" i="3"/>
  <c r="C619" i="3"/>
  <c r="C4510" i="3"/>
  <c r="C3987" i="3"/>
  <c r="C1653" i="3"/>
  <c r="C1331" i="3"/>
  <c r="C1504" i="3"/>
  <c r="C4739" i="3"/>
  <c r="C2390" i="3"/>
  <c r="C4904" i="3"/>
  <c r="C1104" i="3"/>
  <c r="C5457" i="3"/>
  <c r="C3806" i="3"/>
  <c r="C1371" i="3"/>
  <c r="C1401" i="3"/>
  <c r="C4358" i="3"/>
  <c r="C2798" i="3"/>
  <c r="C2808" i="3"/>
  <c r="C1500" i="3"/>
  <c r="C1832" i="3"/>
  <c r="C1129" i="3"/>
  <c r="C2902" i="3"/>
  <c r="C1022" i="3"/>
  <c r="C4214" i="3"/>
  <c r="C726" i="3"/>
  <c r="C3865" i="3"/>
  <c r="C3690" i="3"/>
  <c r="C3969" i="3"/>
  <c r="C1026" i="3"/>
  <c r="C4263" i="3"/>
  <c r="C3771" i="3"/>
  <c r="C5221" i="3"/>
  <c r="C799" i="3"/>
  <c r="C4824" i="3"/>
  <c r="C938" i="3"/>
  <c r="C5428" i="3"/>
  <c r="C5341" i="3"/>
  <c r="C3871" i="3"/>
  <c r="C606" i="3"/>
  <c r="C3614" i="3"/>
  <c r="C1240" i="3"/>
  <c r="C2647" i="3"/>
  <c r="C2016" i="3"/>
  <c r="C1094" i="3"/>
  <c r="C3104" i="3"/>
  <c r="C5027" i="3"/>
  <c r="C5060" i="3"/>
  <c r="C4221" i="3"/>
  <c r="C1733" i="3"/>
  <c r="C5450" i="3"/>
  <c r="C3493" i="3"/>
  <c r="C4328" i="3"/>
  <c r="C1920" i="3"/>
  <c r="C5420" i="3"/>
  <c r="C3024" i="3"/>
  <c r="C3789" i="3"/>
  <c r="C3300" i="3"/>
  <c r="C4892" i="3"/>
  <c r="C3327" i="3"/>
  <c r="C2564" i="3"/>
  <c r="C3889" i="3"/>
  <c r="C762" i="3"/>
  <c r="C3901" i="3"/>
  <c r="C3919" i="3"/>
  <c r="C2107" i="3"/>
  <c r="C1143" i="3"/>
  <c r="C3035" i="3"/>
  <c r="C3385" i="3"/>
  <c r="C4581" i="3"/>
  <c r="C2787" i="3"/>
  <c r="C5336" i="3"/>
  <c r="C698" i="3"/>
  <c r="C4171" i="3"/>
  <c r="C2371" i="3"/>
  <c r="C2215" i="3"/>
  <c r="C2865" i="3"/>
  <c r="C2975" i="3"/>
  <c r="C3111" i="3"/>
  <c r="C1772" i="3"/>
  <c r="C3650" i="3"/>
  <c r="C3855" i="3"/>
  <c r="C899" i="3"/>
  <c r="C1390" i="3"/>
  <c r="C2879" i="3"/>
  <c r="C3100" i="3"/>
  <c r="C2118" i="3"/>
  <c r="C1661" i="3"/>
  <c r="C3669" i="3"/>
  <c r="C2934" i="3"/>
  <c r="C2419" i="3"/>
  <c r="C5309" i="3"/>
  <c r="C3168" i="3"/>
  <c r="C1220" i="3"/>
  <c r="C3814" i="3"/>
  <c r="C911" i="3"/>
  <c r="C3096" i="3"/>
  <c r="C2878" i="3"/>
  <c r="C2195" i="3"/>
  <c r="C2732" i="3"/>
  <c r="C5280" i="3"/>
  <c r="C5178" i="3"/>
  <c r="C5119" i="3"/>
  <c r="C4361" i="3"/>
  <c r="C1510" i="3"/>
  <c r="C4852" i="3"/>
  <c r="C2315" i="3"/>
  <c r="C5144" i="3"/>
  <c r="C967" i="3"/>
  <c r="C582" i="3"/>
  <c r="C4469" i="3"/>
  <c r="C5456" i="3"/>
  <c r="C4415" i="3"/>
  <c r="C4273" i="3"/>
  <c r="C2351" i="3"/>
  <c r="C611" i="3"/>
  <c r="C4341" i="3"/>
  <c r="C3504" i="3"/>
  <c r="C4730" i="3"/>
  <c r="C1465" i="3"/>
  <c r="C4373" i="3"/>
  <c r="C2247" i="3"/>
  <c r="C2657" i="3"/>
  <c r="C3203" i="3"/>
  <c r="C1722" i="3"/>
  <c r="C3508" i="3"/>
  <c r="C1654" i="3"/>
  <c r="C3656" i="3"/>
  <c r="C2795" i="3"/>
  <c r="C5220" i="3"/>
  <c r="C2279" i="3"/>
  <c r="C2589" i="3"/>
  <c r="C5219" i="3"/>
  <c r="C3389" i="3"/>
  <c r="C3454" i="3"/>
  <c r="C4115" i="3"/>
  <c r="C4173" i="3"/>
  <c r="C3247" i="3"/>
  <c r="C2513" i="3"/>
  <c r="C827" i="3"/>
  <c r="C4560" i="3"/>
  <c r="C2446" i="3"/>
  <c r="C2029" i="3"/>
  <c r="C1388" i="3"/>
  <c r="C5191" i="3"/>
  <c r="C3636" i="3"/>
  <c r="C2083" i="3"/>
  <c r="C1996" i="3"/>
  <c r="C5272" i="3"/>
  <c r="C3375" i="3"/>
  <c r="C5120" i="3"/>
  <c r="C2893" i="3"/>
  <c r="C5243" i="3"/>
  <c r="C3849" i="3"/>
  <c r="C957" i="3"/>
  <c r="C4395" i="3"/>
  <c r="C4901" i="3"/>
  <c r="C1642" i="3"/>
  <c r="C1667" i="3"/>
  <c r="C3511" i="3"/>
  <c r="C3167" i="3"/>
  <c r="C2516" i="3"/>
  <c r="C2298" i="3"/>
  <c r="C5271" i="3"/>
  <c r="C3131" i="3"/>
  <c r="C1408" i="3"/>
  <c r="C3540" i="3"/>
  <c r="C647" i="3"/>
  <c r="C4642" i="3"/>
  <c r="C1219" i="3"/>
  <c r="C1318" i="3"/>
  <c r="C4346" i="3"/>
  <c r="C4745" i="3"/>
  <c r="C1453" i="3"/>
  <c r="C3529" i="3"/>
  <c r="C4677" i="3"/>
  <c r="C2436" i="3"/>
  <c r="C5098" i="3"/>
  <c r="C2432" i="3"/>
  <c r="C2837" i="3"/>
  <c r="C2638" i="3"/>
  <c r="C757" i="3"/>
  <c r="C5195" i="3"/>
  <c r="C4897" i="3"/>
  <c r="C4998" i="3"/>
  <c r="C2573" i="3"/>
  <c r="C3629" i="3"/>
  <c r="C4079" i="3"/>
  <c r="C3116" i="3"/>
  <c r="C3766" i="3"/>
  <c r="C3663" i="3"/>
  <c r="C855" i="3"/>
  <c r="C4433" i="3"/>
  <c r="C3404" i="3"/>
  <c r="C5346" i="3"/>
  <c r="C650" i="3"/>
  <c r="C2598" i="3"/>
  <c r="C1049" i="3"/>
  <c r="C4633" i="3"/>
  <c r="C4332" i="3"/>
  <c r="C2620" i="3"/>
  <c r="C4799" i="3"/>
  <c r="C5444" i="3"/>
  <c r="C2120" i="3"/>
  <c r="C3900" i="3"/>
  <c r="C2987" i="3"/>
  <c r="C3866" i="3"/>
  <c r="C4823" i="3"/>
  <c r="C3833" i="3"/>
  <c r="C1183" i="3"/>
  <c r="C2352" i="3"/>
  <c r="C5055" i="3"/>
  <c r="C4976" i="3"/>
  <c r="C2115" i="3"/>
  <c r="C3400" i="3"/>
  <c r="C3938" i="3"/>
  <c r="C5367" i="3"/>
  <c r="C4999" i="3"/>
  <c r="C1640" i="3"/>
  <c r="C1911" i="3"/>
  <c r="C5361" i="3"/>
  <c r="C1926" i="3"/>
  <c r="C2901" i="3"/>
  <c r="C4975" i="3"/>
  <c r="C3293" i="3"/>
  <c r="C972" i="3"/>
  <c r="C682" i="3"/>
  <c r="C4910" i="3"/>
  <c r="C5289" i="3"/>
  <c r="C2560" i="3"/>
  <c r="C2473" i="3"/>
  <c r="C5234" i="3"/>
  <c r="C4424" i="3"/>
  <c r="C680" i="3"/>
  <c r="C651" i="3"/>
  <c r="C5338" i="3"/>
  <c r="C5378" i="3"/>
  <c r="C1415" i="3"/>
  <c r="C3791" i="3"/>
  <c r="C1467" i="3"/>
  <c r="C4825" i="3"/>
  <c r="C2426" i="3"/>
  <c r="C1600" i="3"/>
  <c r="C1560" i="3"/>
  <c r="C2650" i="3"/>
  <c r="C3546" i="3"/>
  <c r="C3613" i="3"/>
  <c r="C724" i="3"/>
  <c r="C4651" i="3"/>
  <c r="C2786" i="3"/>
  <c r="C4809" i="3"/>
  <c r="C3984" i="3"/>
  <c r="C4521" i="3"/>
  <c r="C2816" i="3"/>
  <c r="C628" i="3"/>
  <c r="C943" i="3"/>
  <c r="C2102" i="3"/>
  <c r="C4916" i="3"/>
  <c r="C2941" i="3"/>
  <c r="C2887" i="3"/>
  <c r="C2875" i="3"/>
  <c r="C3530" i="3"/>
  <c r="C960" i="3"/>
  <c r="C5064" i="3"/>
  <c r="C2687" i="3"/>
  <c r="C2972" i="3"/>
  <c r="C3359" i="3"/>
  <c r="C759" i="3"/>
  <c r="C626" i="3"/>
  <c r="C2827" i="3"/>
  <c r="C5424" i="3"/>
  <c r="C4908" i="3"/>
  <c r="C868" i="3"/>
  <c r="C988" i="3"/>
  <c r="C1555" i="3"/>
  <c r="C4903" i="3"/>
  <c r="C922" i="3"/>
  <c r="C3883" i="3"/>
  <c r="C5373" i="3"/>
  <c r="C5222" i="3"/>
  <c r="C2042" i="3"/>
  <c r="C1381" i="3"/>
  <c r="C2741" i="3"/>
  <c r="C2361" i="3"/>
  <c r="C2552" i="3"/>
  <c r="C2894" i="3"/>
  <c r="C950" i="3"/>
  <c r="C3993" i="3"/>
  <c r="C3049" i="3"/>
  <c r="C1304" i="3"/>
  <c r="C5445" i="3"/>
  <c r="C1800" i="3"/>
  <c r="C3321" i="3"/>
  <c r="C3416" i="3"/>
  <c r="C3145" i="3"/>
  <c r="C2970" i="3"/>
  <c r="C4533" i="3"/>
  <c r="C2319" i="3"/>
  <c r="C4874" i="3"/>
  <c r="C5133" i="3"/>
  <c r="C791" i="3"/>
  <c r="C4619" i="3"/>
  <c r="C875" i="3"/>
  <c r="C744" i="3"/>
  <c r="C3782" i="3"/>
  <c r="C4410" i="3"/>
  <c r="C5320" i="3"/>
  <c r="C2497" i="3"/>
  <c r="C3952" i="3"/>
  <c r="C2591" i="3"/>
  <c r="C763" i="3"/>
  <c r="C4107" i="3"/>
  <c r="C2356" i="3"/>
  <c r="C4737" i="3"/>
  <c r="C3734" i="3"/>
  <c r="C3490" i="3"/>
  <c r="C5265" i="3"/>
  <c r="C3311" i="3"/>
  <c r="C2584" i="3"/>
  <c r="C4983" i="3"/>
  <c r="C814" i="3"/>
  <c r="C839" i="3"/>
  <c r="C610" i="3"/>
  <c r="C3787" i="3"/>
  <c r="C965" i="3"/>
  <c r="C1860" i="3"/>
  <c r="C3217" i="3"/>
  <c r="C4030" i="3"/>
  <c r="C3296" i="3"/>
  <c r="C5489" i="3"/>
  <c r="C3140" i="3"/>
  <c r="C4095" i="3"/>
  <c r="C4593" i="3"/>
  <c r="C3345" i="3"/>
  <c r="C2926" i="3"/>
  <c r="C5131" i="3"/>
  <c r="C1638" i="3"/>
  <c r="C3047" i="3"/>
  <c r="C2113" i="3"/>
  <c r="C1260" i="3"/>
  <c r="C627" i="3"/>
  <c r="C3590" i="3"/>
  <c r="C5278" i="3"/>
  <c r="C5044" i="3"/>
  <c r="C2694" i="3"/>
  <c r="C1889" i="3"/>
  <c r="C2800" i="3"/>
  <c r="C3522" i="3"/>
  <c r="C5077" i="3"/>
  <c r="C2811" i="3"/>
  <c r="C2014" i="3"/>
  <c r="C2304" i="3"/>
  <c r="C4573" i="3"/>
  <c r="C5089" i="3"/>
  <c r="C5035" i="3"/>
  <c r="C4856" i="3"/>
  <c r="C4981" i="3"/>
  <c r="C1075" i="3"/>
  <c r="C3704" i="3"/>
  <c r="C4950" i="3"/>
  <c r="C4120" i="3"/>
  <c r="C3018" i="3"/>
  <c r="C4232" i="3"/>
  <c r="C4340" i="3"/>
  <c r="C5356" i="3"/>
  <c r="C2855" i="3"/>
  <c r="C3980" i="3"/>
  <c r="C2460" i="3"/>
  <c r="C1744" i="3"/>
  <c r="C3262" i="3"/>
  <c r="C3074" i="3"/>
  <c r="C3928" i="3"/>
  <c r="C4062" i="3"/>
  <c r="C4290" i="3"/>
  <c r="C2733" i="3"/>
  <c r="C1208" i="3"/>
  <c r="C1329" i="3"/>
  <c r="C3414" i="3"/>
  <c r="C5094" i="3"/>
  <c r="C1611" i="3"/>
  <c r="C3489" i="3"/>
  <c r="C2421" i="3"/>
  <c r="C2898" i="3"/>
  <c r="C5345" i="3"/>
  <c r="C3320" i="3"/>
  <c r="C4615" i="3"/>
  <c r="C1132" i="3"/>
  <c r="C3997" i="3"/>
  <c r="C980" i="3"/>
  <c r="C5340" i="3"/>
  <c r="C2916" i="3"/>
  <c r="C2472" i="3"/>
  <c r="C2131" i="3"/>
  <c r="C4667" i="3"/>
  <c r="C5262" i="3"/>
  <c r="C2889" i="3"/>
  <c r="C1254" i="3"/>
  <c r="C1532" i="3"/>
  <c r="C2529" i="3"/>
  <c r="C2813" i="3"/>
  <c r="C5287" i="3"/>
  <c r="C3646" i="3"/>
  <c r="C608" i="3"/>
  <c r="C4621" i="3"/>
  <c r="C5493" i="3"/>
  <c r="C4556" i="3"/>
  <c r="C2527" i="3"/>
  <c r="C2851" i="3"/>
  <c r="C3283" i="3"/>
  <c r="C1509" i="3"/>
  <c r="C812" i="3"/>
  <c r="C4054" i="3"/>
  <c r="C2767" i="3"/>
  <c r="C3505" i="3"/>
  <c r="C2009" i="3"/>
  <c r="C3585" i="3"/>
  <c r="C4138" i="3"/>
  <c r="C2752" i="3"/>
  <c r="C2308" i="3"/>
  <c r="C1137" i="3"/>
  <c r="C2557" i="3"/>
  <c r="C2297" i="3"/>
  <c r="C3478" i="3"/>
  <c r="C5199" i="3"/>
  <c r="C5142" i="3"/>
  <c r="C5384" i="3"/>
  <c r="C3640" i="3"/>
  <c r="C1971" i="3"/>
  <c r="C1830" i="3"/>
  <c r="C900" i="3"/>
  <c r="C2883" i="3"/>
  <c r="C946" i="3"/>
  <c r="C2624" i="3"/>
  <c r="C1699" i="3"/>
  <c r="C3671" i="3"/>
  <c r="C4137" i="3"/>
  <c r="C4721" i="3"/>
  <c r="C3452" i="3"/>
  <c r="C4787" i="3"/>
  <c r="C3896" i="3"/>
  <c r="C3130" i="3"/>
  <c r="C5069" i="3"/>
  <c r="C4857" i="3"/>
  <c r="C5157" i="3"/>
  <c r="C4535" i="3"/>
  <c r="C4038" i="3"/>
  <c r="C4574" i="3"/>
  <c r="C1194" i="3"/>
  <c r="C4315" i="3"/>
  <c r="C3255" i="3"/>
  <c r="C3252" i="3"/>
  <c r="C2424" i="3"/>
  <c r="C2248" i="3"/>
  <c r="C1496" i="3"/>
  <c r="C945" i="3"/>
  <c r="C3598" i="3"/>
  <c r="C1598" i="3"/>
  <c r="C3382" i="3"/>
  <c r="C3102" i="3"/>
  <c r="C4542" i="3"/>
  <c r="C4311" i="3"/>
  <c r="C644" i="3"/>
  <c r="C3236" i="3"/>
  <c r="C739" i="3"/>
  <c r="C1377" i="3"/>
  <c r="C3752" i="3"/>
  <c r="C4189" i="3"/>
  <c r="C4112" i="3"/>
  <c r="C788" i="3"/>
  <c r="C5004" i="3"/>
  <c r="C3434" i="3"/>
  <c r="C3274" i="3"/>
  <c r="C3739" i="3"/>
  <c r="C5264" i="3"/>
  <c r="C602" i="3"/>
  <c r="C5329" i="3"/>
  <c r="C2979" i="3"/>
  <c r="C2271" i="3"/>
  <c r="C5387" i="3"/>
  <c r="C1681" i="3"/>
  <c r="C2007" i="3"/>
  <c r="C3913" i="3"/>
  <c r="C976" i="3"/>
  <c r="C1683" i="3"/>
  <c r="C2575" i="3"/>
  <c r="C2789" i="3"/>
  <c r="C1457" i="3"/>
  <c r="C3886" i="3"/>
  <c r="C3941" i="3"/>
  <c r="C5230" i="3"/>
  <c r="C5209" i="3"/>
  <c r="C2202" i="3"/>
  <c r="C1158" i="3"/>
  <c r="C2105" i="3"/>
  <c r="C5453" i="3"/>
  <c r="C1558" i="3"/>
  <c r="C3337" i="3"/>
  <c r="C3564" i="3"/>
  <c r="C1536" i="3"/>
  <c r="C3030" i="3"/>
  <c r="C1044" i="3"/>
  <c r="C990" i="3"/>
  <c r="C1493" i="3"/>
  <c r="C1520" i="3"/>
  <c r="C2635" i="3"/>
  <c r="C2292" i="3"/>
  <c r="C3487" i="3"/>
  <c r="C4158" i="3"/>
  <c r="C1881" i="3"/>
  <c r="C4755" i="3"/>
  <c r="C4671" i="3"/>
  <c r="C822" i="3"/>
  <c r="C2484" i="3"/>
  <c r="C4310" i="3"/>
  <c r="C2264" i="3"/>
  <c r="C2680" i="3"/>
  <c r="C3261" i="3"/>
  <c r="C1191" i="3"/>
  <c r="C2084" i="3"/>
  <c r="C1959" i="3"/>
  <c r="C1628" i="3"/>
  <c r="C2380" i="3"/>
  <c r="C742" i="3"/>
  <c r="C4018" i="3"/>
  <c r="C3399" i="3"/>
  <c r="C5013" i="3"/>
  <c r="C4792" i="3"/>
  <c r="C2806" i="3"/>
  <c r="C3944" i="3"/>
  <c r="C4783" i="3"/>
  <c r="C4164" i="3"/>
  <c r="C3091" i="3"/>
  <c r="C1702" i="3"/>
  <c r="C1495" i="3"/>
  <c r="C2546" i="3"/>
  <c r="C4669" i="3"/>
  <c r="C3081" i="3"/>
  <c r="C4747" i="3"/>
  <c r="C2255" i="3"/>
  <c r="C2626" i="3"/>
  <c r="C793" i="3"/>
  <c r="C4678" i="3"/>
  <c r="C1984" i="3"/>
  <c r="C1837" i="3"/>
  <c r="C1494" i="3"/>
  <c r="C836" i="3"/>
  <c r="C4213" i="3"/>
  <c r="C4796" i="3"/>
  <c r="C2672" i="3"/>
  <c r="C2242" i="3"/>
  <c r="C3197" i="3"/>
  <c r="C5145" i="3"/>
  <c r="C2320" i="3"/>
  <c r="C2241" i="3"/>
  <c r="C4905" i="3"/>
  <c r="C2943" i="3"/>
  <c r="C2406" i="3"/>
  <c r="C1021" i="3"/>
  <c r="C1533" i="3"/>
  <c r="C722" i="3"/>
  <c r="C3278" i="3"/>
  <c r="C1822" i="3"/>
  <c r="C4699" i="3"/>
  <c r="C1370" i="3"/>
  <c r="C1581" i="3"/>
  <c r="C2725" i="3"/>
  <c r="C5252" i="3"/>
  <c r="C5267" i="3"/>
  <c r="C1349" i="3"/>
  <c r="C5464" i="3"/>
  <c r="C958" i="3"/>
  <c r="C983" i="3"/>
  <c r="C2644" i="3"/>
  <c r="C5429" i="3"/>
  <c r="C2065" i="3"/>
  <c r="C1644" i="3"/>
  <c r="C2541" i="3"/>
  <c r="C5084" i="3"/>
  <c r="C1192" i="3"/>
  <c r="C1255" i="3"/>
  <c r="C3559" i="3"/>
  <c r="C930" i="3"/>
  <c r="C1550" i="3"/>
  <c r="C1657" i="3"/>
  <c r="C1969" i="3"/>
  <c r="C2038" i="3"/>
  <c r="C2167" i="3"/>
  <c r="C4735" i="3"/>
  <c r="C4661" i="3"/>
  <c r="C1801" i="3"/>
  <c r="C4519" i="3"/>
  <c r="C1973" i="3"/>
  <c r="C2146" i="3"/>
  <c r="C2082" i="3"/>
  <c r="C2740" i="3"/>
  <c r="C5146" i="3"/>
  <c r="C1032" i="3"/>
  <c r="C1923" i="3"/>
  <c r="C5192" i="3"/>
  <c r="C2544" i="3"/>
  <c r="C2846" i="3"/>
  <c r="C1421" i="3"/>
  <c r="C2530" i="3"/>
  <c r="C3022" i="3"/>
  <c r="C1948" i="3"/>
  <c r="C4436" i="3"/>
  <c r="C4601" i="3"/>
  <c r="C4160" i="3"/>
  <c r="C1584" i="3"/>
  <c r="C2925" i="3"/>
  <c r="C3347" i="3"/>
  <c r="C3056" i="3"/>
  <c r="C1668" i="3"/>
  <c r="C3147" i="3"/>
  <c r="C1806" i="3"/>
  <c r="C5359" i="3"/>
  <c r="C794" i="3"/>
  <c r="C1952" i="3"/>
  <c r="C2852" i="3"/>
  <c r="C3975" i="3"/>
  <c r="C1189" i="3"/>
  <c r="C4586" i="3"/>
  <c r="C2116" i="3"/>
  <c r="C1726" i="3"/>
  <c r="C2176" i="3"/>
  <c r="C683" i="3"/>
  <c r="C3005" i="3"/>
  <c r="C2109" i="3"/>
  <c r="C4806" i="3"/>
  <c r="C3394" i="3"/>
  <c r="C2524" i="3"/>
  <c r="C3477" i="3"/>
  <c r="C1906" i="3"/>
  <c r="C1989" i="3"/>
  <c r="C4497" i="3"/>
  <c r="C1769" i="3"/>
  <c r="C4517" i="3"/>
  <c r="C1252" i="3"/>
  <c r="C2788" i="3"/>
  <c r="C1145" i="3"/>
  <c r="C3951" i="3"/>
  <c r="C4011" i="3"/>
  <c r="C5040" i="3"/>
  <c r="C5286" i="3"/>
  <c r="C2899" i="3"/>
  <c r="C2609" i="3"/>
  <c r="C977" i="3"/>
  <c r="C854" i="3"/>
  <c r="C617" i="3"/>
  <c r="C3206" i="3"/>
  <c r="C3545" i="3"/>
  <c r="C3623" i="3"/>
  <c r="C904" i="3"/>
  <c r="C4260" i="3"/>
  <c r="C4279" i="3"/>
  <c r="C3344" i="3"/>
  <c r="C5374" i="3"/>
  <c r="C716" i="3"/>
  <c r="C3858" i="3"/>
  <c r="C1170" i="3"/>
  <c r="C3427" i="3"/>
  <c r="C3963" i="3"/>
  <c r="C5018" i="3"/>
  <c r="C3480" i="3"/>
  <c r="C4541" i="3"/>
  <c r="C4644" i="3"/>
  <c r="C3557" i="3"/>
  <c r="C5368" i="3"/>
  <c r="C4265" i="3"/>
  <c r="C3972" i="3"/>
  <c r="C1663" i="3"/>
  <c r="C3902" i="3"/>
  <c r="C3918" i="3"/>
  <c r="C3226" i="3"/>
  <c r="C2128" i="3"/>
  <c r="C4544" i="3"/>
  <c r="C1193" i="3"/>
  <c r="C3897" i="3"/>
  <c r="C1441" i="3"/>
  <c r="C4686" i="3"/>
  <c r="C2360" i="3"/>
  <c r="C2924" i="3"/>
  <c r="C2407" i="3"/>
  <c r="C1617" i="3"/>
  <c r="C3827" i="3"/>
  <c r="C3528" i="3"/>
  <c r="C4028" i="3"/>
  <c r="C3162" i="3"/>
  <c r="C1206" i="3"/>
  <c r="C2096" i="3"/>
  <c r="C4872" i="3"/>
  <c r="C2378" i="3"/>
  <c r="C1763" i="3"/>
  <c r="C2645" i="3"/>
  <c r="C5200" i="3"/>
  <c r="C2991" i="3"/>
  <c r="C2447" i="3"/>
  <c r="C1404" i="3"/>
  <c r="C2353" i="3"/>
  <c r="C4899" i="3"/>
  <c r="C3457" i="3"/>
  <c r="C5168" i="3"/>
  <c r="C3312" i="3"/>
  <c r="C4377" i="3"/>
  <c r="C3346" i="3"/>
  <c r="C870" i="3"/>
  <c r="C5472" i="3"/>
  <c r="C1273" i="3"/>
  <c r="C1894" i="3"/>
  <c r="C4626" i="3"/>
  <c r="C3809" i="3"/>
  <c r="C4357" i="3"/>
  <c r="C1576" i="3"/>
  <c r="C2051" i="3"/>
  <c r="C5349" i="3"/>
  <c r="C4091" i="3"/>
  <c r="C1111" i="3"/>
  <c r="C4139" i="3"/>
  <c r="C4069" i="3"/>
  <c r="C1658" i="3"/>
  <c r="C1774" i="3"/>
  <c r="C2135" i="3"/>
  <c r="C4255" i="3"/>
  <c r="C3265" i="3"/>
  <c r="C4247" i="3"/>
  <c r="C5307" i="3"/>
  <c r="C2746" i="3"/>
  <c r="C2374" i="3"/>
  <c r="C5215" i="3"/>
  <c r="C1078" i="3"/>
  <c r="C858" i="3"/>
  <c r="C3193" i="3"/>
  <c r="C5459" i="3"/>
  <c r="C3544" i="3"/>
  <c r="C4935" i="3"/>
  <c r="C2492" i="3"/>
  <c r="C5417" i="3"/>
  <c r="C1597" i="3"/>
  <c r="C1057" i="3"/>
  <c r="C577" i="3"/>
  <c r="C4592" i="3"/>
  <c r="C1141" i="3"/>
  <c r="C1776" i="3"/>
  <c r="C4558" i="3"/>
  <c r="C620" i="3"/>
  <c r="C2230" i="3"/>
  <c r="C4931" i="3"/>
  <c r="C5036" i="3"/>
  <c r="C1805" i="3"/>
  <c r="C643" i="3"/>
  <c r="C879" i="3"/>
  <c r="C3152" i="3"/>
  <c r="C3023" i="3"/>
  <c r="C2799" i="3"/>
  <c r="C4694" i="3"/>
  <c r="C4276" i="3"/>
  <c r="C3755" i="3"/>
  <c r="C2316" i="3"/>
  <c r="C4636" i="3"/>
  <c r="C4108" i="3"/>
  <c r="C1621" i="3"/>
  <c r="C4676" i="3"/>
  <c r="C3007" i="3"/>
  <c r="C2427" i="3"/>
  <c r="C3122" i="3"/>
  <c r="C4324" i="3"/>
  <c r="C3826" i="3"/>
  <c r="C1910" i="3"/>
  <c r="C4685" i="3"/>
  <c r="C3979" i="3"/>
  <c r="C2801" i="3"/>
  <c r="C5190" i="3"/>
  <c r="C5005" i="3"/>
  <c r="C5002" i="3"/>
  <c r="C1746" i="3"/>
  <c r="C4726" i="3"/>
  <c r="C1425" i="3"/>
  <c r="C4008" i="3"/>
  <c r="C4842" i="3"/>
  <c r="C2940" i="3"/>
  <c r="C4841" i="3"/>
  <c r="C5327" i="3"/>
  <c r="C2708" i="3"/>
  <c r="C1828" i="3"/>
  <c r="C2531" i="3"/>
  <c r="C4376" i="3"/>
  <c r="C4675" i="3"/>
  <c r="C3076" i="3"/>
  <c r="C843" i="3"/>
  <c r="C1635" i="3"/>
  <c r="C2475" i="3"/>
  <c r="C3974" i="3"/>
  <c r="C4949" i="3"/>
  <c r="C3994" i="3"/>
  <c r="C2615" i="3"/>
  <c r="C1302" i="3"/>
  <c r="C3821" i="3"/>
  <c r="C5042" i="3"/>
  <c r="C593" i="3"/>
  <c r="C784" i="3"/>
  <c r="C3539" i="3"/>
  <c r="C5258" i="3"/>
  <c r="C2203" i="3"/>
  <c r="C837" i="3"/>
  <c r="C2003" i="3"/>
  <c r="C1235" i="3"/>
  <c r="C4307" i="3"/>
  <c r="C730" i="3"/>
  <c r="C1873" i="3"/>
  <c r="C3110" i="3"/>
  <c r="C3304" i="3"/>
  <c r="C3352" i="3"/>
  <c r="C5223" i="3"/>
  <c r="C3429" i="3"/>
  <c r="C1542" i="3"/>
  <c r="C3014" i="3"/>
  <c r="C3904" i="3"/>
  <c r="C2639" i="3"/>
  <c r="C1678" i="3"/>
  <c r="C4664" i="3"/>
  <c r="C809" i="3"/>
  <c r="C4888" i="3"/>
  <c r="C3506" i="3"/>
  <c r="C5057" i="3"/>
  <c r="C5377" i="3"/>
  <c r="C4023" i="3"/>
  <c r="C934" i="3"/>
  <c r="C2404" i="3"/>
  <c r="C813" i="3"/>
  <c r="C571" i="3"/>
  <c r="C944" i="3"/>
  <c r="C2886" i="3"/>
  <c r="C1489" i="3"/>
  <c r="C4612" i="3"/>
  <c r="C3231" i="3"/>
  <c r="C3028" i="3"/>
  <c r="C3878" i="3"/>
  <c r="C2572" i="3"/>
  <c r="C2019" i="3"/>
  <c r="C4821" i="3"/>
  <c r="C1842" i="3"/>
  <c r="C2047" i="3"/>
  <c r="C2238" i="3"/>
  <c r="C3470" i="3"/>
  <c r="C849" i="3"/>
  <c r="C4323" i="3"/>
  <c r="C4061" i="3"/>
  <c r="C1154" i="3"/>
  <c r="C917" i="3"/>
  <c r="C2535" i="3"/>
  <c r="C5054" i="3"/>
  <c r="C3831" i="3"/>
  <c r="C1320" i="3"/>
  <c r="C2339" i="3"/>
  <c r="C4145" i="3"/>
  <c r="C5353" i="3"/>
  <c r="C4866" i="3"/>
  <c r="C741" i="3"/>
  <c r="C3725" i="3"/>
  <c r="C3507" i="3"/>
  <c r="C2959" i="3"/>
  <c r="C2443" i="3"/>
  <c r="C4342" i="3"/>
  <c r="C2117" i="3"/>
  <c r="C4440" i="3"/>
  <c r="C4026" i="3"/>
  <c r="C1897" i="3"/>
  <c r="C4859" i="3"/>
  <c r="C2665" i="3"/>
  <c r="C2874" i="3"/>
  <c r="C5266" i="3"/>
  <c r="C3653" i="3"/>
  <c r="C1048" i="3"/>
  <c r="C3548" i="3"/>
  <c r="C4425" i="3"/>
  <c r="C1005" i="3"/>
  <c r="C2288" i="3"/>
  <c r="C649" i="3"/>
  <c r="C5379" i="3"/>
  <c r="C2549" i="3"/>
  <c r="C2673" i="3"/>
  <c r="C3767" i="3"/>
  <c r="C1389" i="3"/>
  <c r="C2681" i="3"/>
  <c r="C768" i="3"/>
  <c r="C1643" i="3"/>
  <c r="C786" i="3"/>
  <c r="C4086" i="3"/>
  <c r="C3962" i="3"/>
  <c r="C1423" i="3"/>
  <c r="C3384" i="3"/>
  <c r="C2327" i="3"/>
  <c r="C1162" i="3"/>
  <c r="C1731" i="3"/>
  <c r="C5169" i="3"/>
  <c r="C5115" i="3"/>
  <c r="C3451" i="3"/>
  <c r="C4973" i="3"/>
  <c r="C4066" i="3"/>
  <c r="C3463" i="3"/>
  <c r="C2152" i="3"/>
  <c r="C3981" i="3"/>
  <c r="C2877" i="3"/>
  <c r="C964" i="3"/>
  <c r="C3125" i="3"/>
  <c r="C2700" i="3"/>
  <c r="C4754" i="3"/>
  <c r="C840" i="3"/>
  <c r="C4455" i="3"/>
  <c r="C2336" i="3"/>
  <c r="C638" i="3"/>
  <c r="C4240" i="3"/>
  <c r="C4163" i="3"/>
  <c r="C4170" i="3"/>
  <c r="C2389" i="3"/>
  <c r="C2553" i="3"/>
  <c r="C1040" i="3"/>
  <c r="C3230" i="3"/>
  <c r="C3707" i="3"/>
  <c r="C998" i="3"/>
  <c r="C4017" i="3"/>
  <c r="C4330" i="3"/>
  <c r="C3105" i="3"/>
  <c r="C4834" i="3"/>
  <c r="C4303" i="3"/>
  <c r="C1614" i="3"/>
  <c r="C3378" i="3"/>
  <c r="C3502" i="3"/>
  <c r="C4689" i="3"/>
  <c r="C1185" i="3"/>
  <c r="C4788" i="3"/>
  <c r="C3712" i="3"/>
  <c r="C1099" i="3"/>
  <c r="C1986" i="3"/>
  <c r="C1258" i="3"/>
  <c r="C2078" i="3"/>
  <c r="C733" i="3"/>
  <c r="C5127" i="3"/>
  <c r="C4906" i="3"/>
  <c r="C2466" i="3"/>
  <c r="C5246" i="3"/>
  <c r="C3338" i="3"/>
  <c r="C5204" i="3"/>
  <c r="C2384" i="3"/>
  <c r="C2212" i="3"/>
  <c r="C3430" i="3"/>
  <c r="C5123" i="3"/>
  <c r="C5172" i="3"/>
  <c r="C3580" i="3"/>
  <c r="C4039" i="3"/>
  <c r="C3174" i="3"/>
  <c r="C2028" i="3"/>
  <c r="C604" i="3"/>
  <c r="C1007" i="3"/>
  <c r="C3672" i="3"/>
  <c r="C2463" i="3"/>
  <c r="C4649" i="3"/>
  <c r="C1588" i="3"/>
  <c r="C1707" i="3"/>
  <c r="C706" i="3"/>
  <c r="C3519" i="3"/>
  <c r="C4491" i="3"/>
  <c r="C2174" i="3"/>
  <c r="C4012" i="3"/>
  <c r="C654" i="3"/>
  <c r="C3597" i="3"/>
  <c r="C3479" i="3"/>
  <c r="C808" i="3"/>
  <c r="C3297" i="3"/>
  <c r="C4970" i="3"/>
  <c r="C4506" i="3"/>
  <c r="C1523" i="3"/>
  <c r="C1882" i="3"/>
  <c r="C1241" i="3"/>
  <c r="C4503" i="3"/>
  <c r="C3316" i="3"/>
  <c r="C2765" i="3"/>
  <c r="C3798" i="3"/>
  <c r="C1149" i="3"/>
  <c r="C2332" i="3"/>
  <c r="C4368" i="3"/>
  <c r="C3121" i="3"/>
  <c r="C3851" i="3"/>
  <c r="C1609" i="3"/>
  <c r="C1618" i="3"/>
  <c r="C3277" i="3"/>
  <c r="C3481" i="3"/>
  <c r="C1238" i="3"/>
  <c r="C4756" i="3"/>
  <c r="C3070" i="3"/>
  <c r="C1554" i="3"/>
  <c r="C1919" i="3"/>
  <c r="C3052" i="3"/>
  <c r="C4775" i="3"/>
  <c r="C1895" i="3"/>
  <c r="C952" i="3"/>
  <c r="C3936" i="3"/>
  <c r="C3108" i="3"/>
  <c r="C2410" i="3"/>
  <c r="C2954" i="3"/>
  <c r="C4000" i="3"/>
  <c r="C4282" i="3"/>
  <c r="C1225" i="3"/>
  <c r="C2119" i="3"/>
  <c r="C954" i="3"/>
  <c r="C1463" i="3"/>
  <c r="C4773" i="3"/>
  <c r="C2031" i="3"/>
  <c r="C1250" i="3"/>
  <c r="C4363" i="3"/>
  <c r="C4706" i="3"/>
  <c r="C5434" i="3"/>
  <c r="C3723" i="3"/>
  <c r="C3150" i="3"/>
  <c r="C1036" i="3"/>
  <c r="C1775" i="3"/>
  <c r="C4650" i="3"/>
  <c r="C1383" i="3"/>
  <c r="C3836" i="3"/>
  <c r="C4421" i="3"/>
  <c r="C4154" i="3"/>
  <c r="C3291" i="3"/>
  <c r="C4239" i="3"/>
  <c r="C4766" i="3"/>
  <c r="C3948" i="3"/>
  <c r="C1674" i="3"/>
  <c r="C578" i="3"/>
  <c r="C4380" i="3"/>
  <c r="C3926" i="3"/>
  <c r="C1448" i="3"/>
  <c r="C1405" i="3"/>
  <c r="C5476" i="3"/>
  <c r="C2532" i="3"/>
  <c r="C4979" i="3"/>
  <c r="C5012" i="3"/>
  <c r="C4007" i="3"/>
  <c r="C2491" i="3"/>
  <c r="C3665" i="3"/>
  <c r="C2079" i="3"/>
  <c r="C5408" i="3"/>
  <c r="C4697" i="3"/>
  <c r="C1603" i="3"/>
  <c r="C700" i="3"/>
  <c r="C701" i="3"/>
  <c r="C3949" i="3"/>
  <c r="C994" i="3"/>
  <c r="C5207" i="3"/>
  <c r="C4262" i="3"/>
  <c r="C5404" i="3"/>
  <c r="C2077" i="3"/>
  <c r="C4794" i="3"/>
  <c r="C4182" i="3"/>
  <c r="C792" i="3"/>
  <c r="C3158" i="3"/>
  <c r="C4603" i="3"/>
  <c r="C3989" i="3"/>
  <c r="C3448" i="3"/>
  <c r="C1295" i="3"/>
  <c r="C3034" i="3"/>
  <c r="C2534" i="3"/>
  <c r="C3179" i="3"/>
  <c r="C4527" i="3"/>
  <c r="C3254" i="3"/>
  <c r="C2214" i="3"/>
  <c r="C4952" i="3"/>
  <c r="C4716" i="3"/>
  <c r="C2138" i="3"/>
  <c r="C1142" i="3"/>
  <c r="C4811" i="3"/>
  <c r="C4226" i="3"/>
  <c r="C2985" i="3"/>
  <c r="C4820" i="3"/>
  <c r="C3246" i="3"/>
  <c r="C1802" i="3"/>
  <c r="C910" i="3"/>
  <c r="C1466" i="3"/>
  <c r="C935" i="3"/>
  <c r="C1298" i="3"/>
  <c r="C4743" i="3"/>
  <c r="C3068" i="3"/>
  <c r="C725" i="3"/>
  <c r="C3694" i="3"/>
  <c r="C4202" i="3"/>
  <c r="C4047" i="3"/>
  <c r="C2755" i="3"/>
  <c r="C674" i="3"/>
  <c r="C1164" i="3"/>
  <c r="C4849" i="3"/>
  <c r="C923" i="3"/>
  <c r="C2962" i="3"/>
  <c r="C5006" i="3"/>
  <c r="C3637" i="3"/>
  <c r="C4600" i="3"/>
  <c r="C5355" i="3"/>
  <c r="C2033" i="3"/>
  <c r="C1477" i="3"/>
  <c r="C4156" i="3"/>
  <c r="C3164" i="3"/>
  <c r="C1359" i="3"/>
  <c r="C2904" i="3"/>
  <c r="C4563" i="3"/>
  <c r="C4088" i="3"/>
  <c r="C1567" i="3"/>
  <c r="C4884" i="3"/>
  <c r="C4577" i="3"/>
  <c r="C5151" i="3"/>
  <c r="C2595" i="3"/>
  <c r="C2966" i="3"/>
  <c r="C3405" i="3"/>
  <c r="C4844" i="3"/>
  <c r="C3592" i="3"/>
  <c r="C2273" i="3"/>
  <c r="C1942" i="3"/>
  <c r="C1656" i="3"/>
  <c r="C1956" i="3"/>
  <c r="C4457" i="3"/>
  <c r="C4885" i="3"/>
  <c r="C2812" i="3"/>
  <c r="C4246" i="3"/>
  <c r="C1788" i="3"/>
  <c r="C4862" i="3"/>
  <c r="C2093" i="3"/>
  <c r="C5422" i="3"/>
  <c r="C2744" i="3"/>
  <c r="C2736" i="3"/>
  <c r="C2659" i="3"/>
  <c r="C3199" i="3"/>
  <c r="C5388" i="3"/>
  <c r="C1975" i="3"/>
  <c r="C3037" i="3"/>
  <c r="C2768" i="3"/>
  <c r="C2807" i="3"/>
  <c r="C3575" i="3"/>
  <c r="C1499" i="3"/>
  <c r="C2068" i="3"/>
  <c r="C1025" i="3"/>
  <c r="C2946" i="3"/>
  <c r="C5227" i="3"/>
  <c r="C1698" i="3"/>
  <c r="C5071" i="3"/>
  <c r="C4932" i="3"/>
  <c r="C3113" i="3"/>
  <c r="C4539" i="3"/>
  <c r="C1526" i="3"/>
  <c r="C2939" i="3"/>
  <c r="C5028" i="3"/>
  <c r="C2667" i="3"/>
  <c r="C4084" i="3"/>
  <c r="C672" i="3"/>
  <c r="C2600" i="3"/>
  <c r="C878" i="3"/>
  <c r="C5348" i="3"/>
  <c r="C4917" i="3"/>
  <c r="C4722" i="3"/>
  <c r="C5032" i="3"/>
  <c r="C962" i="3"/>
  <c r="C1422" i="3"/>
  <c r="C5474" i="3"/>
  <c r="C3630" i="3"/>
  <c r="C4606" i="3"/>
  <c r="C1454" i="3"/>
  <c r="C4777" i="3"/>
  <c r="C1982" i="3"/>
  <c r="C1552" i="3"/>
  <c r="C1960" i="3"/>
  <c r="C764" i="3"/>
  <c r="C3423" i="3"/>
  <c r="C2729" i="3"/>
  <c r="C2540" i="3"/>
  <c r="C1487" i="3"/>
  <c r="C1869" i="3"/>
  <c r="C1231" i="3"/>
  <c r="C5072" i="3"/>
  <c r="C1475" i="3"/>
  <c r="C4992" i="3"/>
  <c r="C5297" i="3"/>
  <c r="C2951" i="3"/>
  <c r="C1484" i="3"/>
  <c r="C4474" i="3"/>
  <c r="C4591" i="3"/>
  <c r="C1855" i="3"/>
  <c r="C4256" i="3"/>
  <c r="C926" i="3"/>
  <c r="C4430" i="3"/>
  <c r="C5107" i="3"/>
  <c r="C3259" i="3"/>
  <c r="C1978" i="3"/>
  <c r="C3465" i="3"/>
  <c r="C902" i="3"/>
  <c r="C5203" i="3"/>
  <c r="C1196" i="3"/>
  <c r="C3615" i="3"/>
  <c r="C5237" i="3"/>
  <c r="C2347" i="3"/>
  <c r="C5066" i="3"/>
  <c r="C668" i="3"/>
  <c r="C4106" i="3"/>
  <c r="C663" i="3"/>
  <c r="C729" i="3"/>
  <c r="C4071" i="3"/>
  <c r="C4795" i="3"/>
  <c r="C4353" i="3"/>
  <c r="C1416" i="3"/>
  <c r="C4259" i="3"/>
  <c r="C3837" i="3"/>
  <c r="C4749" i="3"/>
  <c r="C2032" i="3"/>
  <c r="C3581" i="3"/>
  <c r="C3947" i="3"/>
  <c r="C992" i="3"/>
  <c r="C1052" i="3"/>
  <c r="C5486" i="3"/>
  <c r="C4236" i="3"/>
  <c r="C3395" i="3"/>
  <c r="C1819" i="3"/>
  <c r="C4759" i="3"/>
  <c r="C1921" i="3"/>
  <c r="C2226" i="3"/>
  <c r="C1148" i="3"/>
  <c r="C3085" i="3"/>
  <c r="C5088" i="3"/>
  <c r="C5318" i="3"/>
  <c r="C4996" i="3"/>
  <c r="C2219" i="3"/>
  <c r="C1831" i="3"/>
  <c r="C826" i="3"/>
  <c r="C2869" i="3"/>
  <c r="C3314" i="3"/>
  <c r="C2187" i="3"/>
  <c r="C1626" i="3"/>
  <c r="C2287" i="3"/>
  <c r="C736" i="3"/>
  <c r="C4174" i="3"/>
  <c r="C1619" i="3"/>
  <c r="C3930" i="3"/>
  <c r="C3706" i="3"/>
  <c r="C3682" i="3"/>
  <c r="C691" i="3"/>
  <c r="C3483" i="3"/>
  <c r="C2849" i="3"/>
  <c r="C3750" i="3"/>
  <c r="C4789" i="3"/>
  <c r="C693" i="3"/>
  <c r="C5383" i="3"/>
  <c r="C2040" i="3"/>
  <c r="C1411" i="3"/>
  <c r="C1292" i="3"/>
  <c r="C3244" i="3"/>
  <c r="C2467" i="3"/>
  <c r="C3572" i="3"/>
  <c r="C659" i="3"/>
  <c r="C3726" i="3"/>
  <c r="C3850" i="3"/>
  <c r="C1458" i="3"/>
  <c r="C4989" i="3"/>
  <c r="C3402" i="3"/>
  <c r="C1462" i="3"/>
  <c r="C2057" i="3"/>
  <c r="C2166" i="3"/>
  <c r="C1045" i="3"/>
  <c r="C4454" i="3"/>
  <c r="C4617" i="3"/>
  <c r="C4808" i="3"/>
  <c r="C1737" i="3"/>
  <c r="C971" i="3"/>
  <c r="C4930" i="3"/>
  <c r="C5008" i="3"/>
  <c r="C5249" i="3"/>
  <c r="C4700" i="3"/>
  <c r="C4381" i="3"/>
  <c r="C3697" i="3"/>
  <c r="C2828" i="3"/>
  <c r="C2180" i="3"/>
  <c r="C3474" i="3"/>
  <c r="C5091" i="3"/>
  <c r="C3503" i="3"/>
  <c r="C1761" i="3"/>
  <c r="C1031" i="3"/>
  <c r="C3633" i="3"/>
  <c r="C3071" i="3"/>
  <c r="C4144" i="3"/>
  <c r="C1337" i="3"/>
  <c r="C1706" i="3"/>
  <c r="C1402" i="3"/>
  <c r="C3862" i="3"/>
  <c r="C1053" i="3"/>
  <c r="C2326" i="3"/>
  <c r="C1623" i="3"/>
  <c r="C4900" i="3"/>
  <c r="C4540" i="3"/>
  <c r="C3730" i="3"/>
  <c r="C4514" i="3"/>
  <c r="C2192" i="3"/>
  <c r="C5275" i="3"/>
  <c r="C1945" i="3"/>
  <c r="C3533" i="3"/>
  <c r="C1854" i="3"/>
  <c r="C1826" i="3"/>
  <c r="C4057" i="3"/>
  <c r="C3141" i="3"/>
  <c r="C1229" i="3"/>
  <c r="C3609" i="3"/>
  <c r="C2734" i="3"/>
  <c r="C754" i="3"/>
  <c r="C5344" i="3"/>
  <c r="C1852" i="3"/>
  <c r="C2397" i="3"/>
  <c r="C4957" i="3"/>
  <c r="C5050" i="3"/>
  <c r="C3339" i="3"/>
  <c r="C4110" i="3"/>
  <c r="C3313" i="3"/>
  <c r="C5270" i="3"/>
  <c r="C3363" i="3"/>
  <c r="C3326" i="3"/>
  <c r="C3654" i="3"/>
  <c r="C723" i="3"/>
  <c r="C4199" i="3"/>
  <c r="C1824" i="3"/>
  <c r="C5314" i="3"/>
  <c r="C4399" i="3"/>
  <c r="C4402" i="3"/>
  <c r="C5150" i="3"/>
  <c r="C1008" i="3"/>
  <c r="C2343" i="3"/>
  <c r="C2355" i="3"/>
  <c r="C4692" i="3"/>
  <c r="C3515" i="3"/>
  <c r="C1251" i="3"/>
  <c r="C1730" i="3"/>
  <c r="C4807" i="3"/>
  <c r="C4235" i="3"/>
  <c r="C1935" i="3"/>
  <c r="C4640" i="3"/>
  <c r="C3684" i="3"/>
  <c r="C3698" i="3"/>
  <c r="C3583" i="3"/>
  <c r="C4314" i="3"/>
  <c r="C1091" i="3"/>
  <c r="C1647" i="3"/>
  <c r="C3921" i="3"/>
  <c r="C2450" i="3"/>
  <c r="C5235" i="3"/>
  <c r="C5176" i="3"/>
  <c r="C3390" i="3"/>
  <c r="C1449" i="3"/>
  <c r="C4537" i="3"/>
  <c r="C3107" i="3"/>
  <c r="C1524" i="3"/>
  <c r="C2502" i="3"/>
  <c r="C718" i="3"/>
  <c r="C2953" i="3"/>
  <c r="C2758" i="3"/>
  <c r="C4114" i="3"/>
  <c r="C4051" i="3"/>
  <c r="C3982" i="3"/>
  <c r="C941" i="3"/>
  <c r="C863" i="3"/>
  <c r="C1853" i="3"/>
  <c r="C1666" i="3"/>
  <c r="C876" i="3"/>
  <c r="C3492" i="3"/>
  <c r="C2933" i="3"/>
  <c r="C4914" i="3"/>
  <c r="C2880" i="3"/>
  <c r="C3985" i="3"/>
  <c r="C3127" i="3"/>
  <c r="C3647" i="3"/>
  <c r="C1770" i="3"/>
  <c r="C1358" i="3"/>
  <c r="C1291" i="3"/>
  <c r="C4277" i="3"/>
  <c r="C2445" i="3"/>
  <c r="C1994" i="3"/>
  <c r="C2724" i="3"/>
  <c r="C3365" i="3"/>
  <c r="C4001" i="3"/>
  <c r="C3736" i="3"/>
  <c r="C3679" i="3"/>
  <c r="C5020" i="3"/>
  <c r="C1670" i="3"/>
  <c r="C3272" i="3"/>
  <c r="C861" i="3"/>
  <c r="C2061" i="3"/>
  <c r="C2080" i="3"/>
  <c r="C2760" i="3"/>
  <c r="C1684" i="3"/>
  <c r="C2730" i="3"/>
  <c r="C1505" i="3"/>
  <c r="C3342" i="3"/>
  <c r="C2890" i="3"/>
  <c r="C2069" i="3"/>
  <c r="C2199" i="3"/>
  <c r="C3475" i="3"/>
  <c r="C4134" i="3"/>
  <c r="C5254" i="3"/>
  <c r="C2506" i="3"/>
  <c r="C2503" i="3"/>
  <c r="C3413" i="3"/>
  <c r="C4019" i="3"/>
  <c r="C3681" i="3"/>
  <c r="C1445" i="3"/>
  <c r="C1677" i="3"/>
  <c r="C3961" i="3"/>
  <c r="C738" i="3"/>
  <c r="C5063" i="3"/>
  <c r="C4923" i="3"/>
  <c r="C3440" i="3"/>
  <c r="C1485" i="3"/>
  <c r="C1748" i="3"/>
  <c r="C3673" i="3"/>
  <c r="C848" i="3"/>
  <c r="C2044" i="3"/>
  <c r="C2184" i="3"/>
  <c r="C2026" i="3"/>
  <c r="C2562" i="3"/>
  <c r="C3700" i="3"/>
  <c r="C3670" i="3"/>
  <c r="C4175" i="3"/>
  <c r="C4609" i="3"/>
  <c r="C2018" i="3"/>
  <c r="C631" i="3"/>
  <c r="C5253" i="3"/>
  <c r="C5024" i="3"/>
  <c r="C1037" i="3"/>
  <c r="C3804" i="3"/>
  <c r="C4690" i="3"/>
  <c r="C3695" i="3"/>
  <c r="C616" i="3"/>
  <c r="C5245" i="3"/>
  <c r="C2010" i="3"/>
  <c r="C2895" i="3"/>
  <c r="C2822" i="3"/>
  <c r="C3409" i="3"/>
  <c r="C4990" i="3"/>
  <c r="C5269" i="3"/>
  <c r="C1134" i="3"/>
  <c r="C3696" i="3"/>
  <c r="C3364" i="3"/>
  <c r="C4958" i="3"/>
  <c r="C4845" i="3"/>
  <c r="C2462" i="3"/>
  <c r="C2270" i="3"/>
  <c r="C5279" i="3"/>
  <c r="C3995" i="3"/>
  <c r="C3526" i="3"/>
  <c r="C4143" i="3"/>
  <c r="C3933" i="3"/>
  <c r="C1140" i="3"/>
  <c r="C3619" i="3"/>
  <c r="C3290" i="3"/>
  <c r="C940" i="3"/>
  <c r="C3002" i="3"/>
  <c r="C4485" i="3"/>
  <c r="C2867" i="3"/>
  <c r="C4319" i="3"/>
  <c r="C4549" i="3"/>
  <c r="C5175" i="3"/>
  <c r="C1253" i="3"/>
  <c r="C1711" i="3"/>
  <c r="C3387" i="3"/>
  <c r="C1937" i="3"/>
  <c r="C5068" i="3"/>
  <c r="C1655" i="3"/>
  <c r="C3964" i="3"/>
  <c r="C1553" i="3"/>
  <c r="C2802" i="3"/>
  <c r="C3719" i="3"/>
  <c r="C2986" i="3"/>
  <c r="C1261" i="3"/>
  <c r="C4988" i="3"/>
  <c r="C4097" i="3"/>
  <c r="C1501" i="3"/>
  <c r="C4388" i="3"/>
  <c r="C3942" i="3"/>
  <c r="C4293" i="3"/>
  <c r="C2309" i="3"/>
  <c r="C777" i="3"/>
  <c r="C1857" i="3"/>
  <c r="C1344" i="3"/>
  <c r="C1929" i="3"/>
  <c r="C3571" i="3"/>
  <c r="C4295" i="3"/>
  <c r="C1538" i="3"/>
  <c r="C2679" i="3"/>
  <c r="C2766" i="3"/>
  <c r="C5210" i="3"/>
  <c r="C2403" i="3"/>
  <c r="C771" i="3"/>
  <c r="C2749" i="3"/>
  <c r="C1131" i="3"/>
  <c r="C1988" i="3"/>
  <c r="C5484" i="3"/>
  <c r="C2859" i="3"/>
  <c r="C2013" i="3"/>
  <c r="C4274" i="3"/>
  <c r="C1817" i="3"/>
  <c r="C2870" i="3"/>
  <c r="C5414" i="3"/>
  <c r="C3911" i="3"/>
  <c r="C4660" i="3"/>
  <c r="C5347" i="3"/>
  <c r="C4080" i="3"/>
  <c r="C4608" i="3"/>
  <c r="C2349" i="3"/>
  <c r="C2223" i="3"/>
  <c r="C4280" i="3"/>
  <c r="C4331" i="3"/>
  <c r="C1522" i="3"/>
  <c r="C1000" i="3"/>
  <c r="C4155" i="3"/>
  <c r="C1067" i="3"/>
  <c r="C4578" i="3"/>
  <c r="C937" i="3"/>
  <c r="C2675" i="3"/>
  <c r="C2416" i="3"/>
  <c r="C1450" i="3"/>
  <c r="C2607" i="3"/>
  <c r="C1809" i="3"/>
  <c r="C2359" i="3"/>
  <c r="C4985" i="3"/>
  <c r="C3361" i="3"/>
  <c r="C2409" i="3"/>
  <c r="C1247" i="3"/>
  <c r="C2314" i="3"/>
  <c r="C1955" i="3"/>
  <c r="C1757" i="3"/>
  <c r="C1537" i="3"/>
  <c r="C947" i="3"/>
  <c r="C5430" i="3"/>
  <c r="C1872" i="3"/>
  <c r="C639" i="3"/>
  <c r="C1836" i="3"/>
  <c r="C3369" i="3"/>
  <c r="C4728" i="3"/>
  <c r="C3895" i="3"/>
  <c r="C4044" i="3"/>
  <c r="C4405" i="3"/>
  <c r="C3662" i="3"/>
  <c r="C2610" i="3"/>
  <c r="C3819" i="3"/>
  <c r="C1790" i="3"/>
  <c r="C3764" i="3"/>
  <c r="C4861" i="3"/>
  <c r="C3714" i="3"/>
  <c r="C1234" i="3"/>
  <c r="C5381" i="3"/>
  <c r="C4179" i="3"/>
  <c r="C709" i="3"/>
  <c r="C2227" i="3"/>
  <c r="C615" i="3"/>
  <c r="C2868" i="3"/>
  <c r="C1662" i="3"/>
  <c r="C1747" i="3"/>
  <c r="C5037" i="3"/>
  <c r="C2956" i="3"/>
  <c r="C2642" i="3"/>
  <c r="C2431" i="3"/>
  <c r="C1834" i="3"/>
  <c r="C3562" i="3"/>
  <c r="C3830" i="3"/>
  <c r="C2284" i="3"/>
  <c r="C1946" i="3"/>
  <c r="C1436" i="3"/>
  <c r="C3820" i="3"/>
  <c r="C3029" i="3"/>
  <c r="C5482" i="3"/>
  <c r="C2716" i="3"/>
  <c r="C2453" i="3"/>
  <c r="C1478" i="3"/>
  <c r="C5047" i="3"/>
  <c r="C955" i="3"/>
  <c r="C600" i="3"/>
  <c r="C4216" i="3"/>
  <c r="C1703" i="3"/>
  <c r="C1125" i="3"/>
  <c r="C2992" i="3"/>
  <c r="C2043" i="3"/>
  <c r="C1594" i="3"/>
  <c r="C2317" i="3"/>
  <c r="C4850" i="3"/>
  <c r="C862" i="3"/>
  <c r="C2995" i="3"/>
  <c r="C3939" i="3"/>
  <c r="C818" i="3"/>
  <c r="C2433" i="3"/>
  <c r="C5416" i="3"/>
  <c r="C3746" i="3"/>
  <c r="C4880" i="3"/>
  <c r="C1239" i="3"/>
  <c r="C2046" i="3"/>
  <c r="C3151" i="3"/>
  <c r="C1035" i="3"/>
  <c r="C1120" i="3"/>
  <c r="C1333" i="3"/>
  <c r="C4204" i="3"/>
  <c r="C2834" i="3"/>
  <c r="C2095" i="3"/>
  <c r="C2850" i="3"/>
  <c r="C3373" i="3"/>
  <c r="C3275" i="3"/>
  <c r="C4847" i="3"/>
  <c r="C2312" i="3"/>
  <c r="C3986" i="3"/>
  <c r="C5126" i="3"/>
  <c r="C1433" i="3"/>
  <c r="C1279" i="3"/>
  <c r="C4879" i="3"/>
  <c r="C3144" i="3"/>
  <c r="C1639" i="3"/>
  <c r="C2233" i="3"/>
  <c r="C5177" i="3"/>
  <c r="C1816" i="3"/>
  <c r="C2844" i="3"/>
  <c r="C897" i="3"/>
  <c r="C2448" i="3"/>
  <c r="C2538" i="3"/>
  <c r="C2464" i="3"/>
  <c r="C3715" i="3"/>
  <c r="C5293" i="3"/>
  <c r="C3607" i="3"/>
  <c r="C1649" i="3"/>
  <c r="C1409" i="3"/>
  <c r="C5477" i="3"/>
  <c r="C1473" i="3"/>
  <c r="C3177" i="3"/>
  <c r="C2258" i="3"/>
  <c r="C3745" i="3"/>
  <c r="C3879" i="3"/>
  <c r="C5092" i="3"/>
  <c r="C3532" i="3"/>
  <c r="C3932" i="3"/>
  <c r="C1902" i="3"/>
  <c r="C1245" i="3"/>
  <c r="C5114" i="3"/>
  <c r="C5134" i="3"/>
  <c r="C2505" i="3"/>
  <c r="C3336" i="3"/>
  <c r="C2139" i="3"/>
  <c r="C5282" i="3"/>
  <c r="C1294" i="3"/>
  <c r="C1217" i="3"/>
  <c r="C2161" i="3"/>
  <c r="C1264" i="3"/>
  <c r="C3786" i="3"/>
  <c r="C2396" i="3"/>
  <c r="C5395" i="3"/>
  <c r="C1491" i="3"/>
  <c r="C1688" i="3"/>
  <c r="C4891" i="3"/>
  <c r="C3935" i="3"/>
  <c r="C688" i="3"/>
  <c r="C1490" i="3"/>
  <c r="C2474" i="3"/>
  <c r="C5487" i="3"/>
  <c r="C1368" i="3"/>
  <c r="C932" i="3"/>
  <c r="C1972" i="3"/>
  <c r="C2792" i="3"/>
  <c r="C2930" i="3"/>
  <c r="C2329" i="3"/>
  <c r="C3888" i="3"/>
  <c r="C1064" i="3"/>
  <c r="C2262" i="3"/>
  <c r="C4128" i="3"/>
  <c r="C3453" i="3"/>
  <c r="C3765" i="3"/>
  <c r="C5405" i="3"/>
  <c r="C5389" i="3"/>
  <c r="C3845" i="3"/>
  <c r="C4305" i="3"/>
  <c r="C1939" i="3"/>
  <c r="C3166" i="3"/>
  <c r="C1380" i="3"/>
  <c r="C3431" i="3"/>
  <c r="C3811" i="3"/>
  <c r="C4462" i="3"/>
  <c r="C2177" i="3"/>
  <c r="C2693" i="3"/>
  <c r="C2229" i="3"/>
  <c r="C2408" i="3"/>
  <c r="C1905" i="3"/>
  <c r="C4960" i="3"/>
  <c r="C1152" i="3"/>
  <c r="C2310" i="3"/>
  <c r="C2164" i="3"/>
  <c r="C1166" i="3"/>
  <c r="C2425" i="3"/>
  <c r="C5497" i="3"/>
  <c r="C5498" i="3"/>
  <c r="C5500" i="3"/>
  <c r="C5499" i="3"/>
  <c r="C5501" i="3"/>
  <c r="C5503" i="3"/>
  <c r="C5502" i="3"/>
  <c r="C5504" i="3"/>
  <c r="C5505" i="3"/>
  <c r="C5507" i="3"/>
  <c r="C5506" i="3"/>
  <c r="C5513" i="3"/>
  <c r="C5510" i="3"/>
  <c r="C5509" i="3"/>
  <c r="C5514" i="3"/>
  <c r="D2" i="3"/>
</calcChain>
</file>

<file path=xl/sharedStrings.xml><?xml version="1.0" encoding="utf-8"?>
<sst xmlns="http://schemas.openxmlformats.org/spreadsheetml/2006/main" count="5741" uniqueCount="5541">
  <si>
    <r>
      <rPr>
        <b/>
        <sz val="11"/>
        <color theme="1"/>
        <rFont val="Calibri"/>
        <family val="2"/>
        <scheme val="minor"/>
      </rPr>
      <t xml:space="preserve">Fill in </t>
    </r>
    <r>
      <rPr>
        <b/>
        <sz val="11"/>
        <color theme="1"/>
        <rFont val="Wingdings"/>
        <charset val="2"/>
      </rPr>
      <t>ò</t>
    </r>
  </si>
  <si>
    <t>Occurrence</t>
  </si>
  <si>
    <t>Taxon</t>
  </si>
  <si>
    <t>Plant_height</t>
  </si>
  <si>
    <t>identificationID</t>
  </si>
  <si>
    <t>specificEpithet</t>
  </si>
  <si>
    <t>Stem_length</t>
  </si>
  <si>
    <t>verbatimLatitude</t>
  </si>
  <si>
    <t>infraspecificEpithet</t>
  </si>
  <si>
    <t>originalNameUsage</t>
  </si>
  <si>
    <t>Leaf_sheat_length</t>
  </si>
  <si>
    <t>verbatimLongitude</t>
  </si>
  <si>
    <t>morphotype</t>
  </si>
  <si>
    <t>Petiole_length</t>
  </si>
  <si>
    <t>verbatimTaxonRank</t>
  </si>
  <si>
    <t>verbatimElevation</t>
  </si>
  <si>
    <t>Peduncle_length</t>
  </si>
  <si>
    <t>institutionCode</t>
  </si>
  <si>
    <t>Peduncle_width</t>
  </si>
  <si>
    <t>Prophyll_length</t>
  </si>
  <si>
    <t>recordNumber</t>
  </si>
  <si>
    <t>country</t>
  </si>
  <si>
    <t>Distance_scar_bracteole</t>
  </si>
  <si>
    <t>Apical_leaflet_length</t>
  </si>
  <si>
    <t>Apical_leaflet_width</t>
  </si>
  <si>
    <t>Leaflet_number</t>
  </si>
  <si>
    <t>Rachis_length</t>
  </si>
  <si>
    <t>Rachilla_length</t>
  </si>
  <si>
    <t>Staminate_rachilla_length</t>
  </si>
  <si>
    <t>Fruit_length</t>
  </si>
  <si>
    <t>Leaf_number</t>
  </si>
  <si>
    <t>Bracts_number</t>
  </si>
  <si>
    <t xml:space="preserve"> </t>
  </si>
  <si>
    <t>http://purl.obolibrary.org/obo/TO_0000207</t>
  </si>
  <si>
    <t>http://purl.obolibrary.org/obo/TO_0000576</t>
  </si>
  <si>
    <t>http://purl.obolibrary.org/obo/TO_0002689</t>
  </si>
  <si>
    <t>http://purl.obolibrary.org/obo/TO_0000766</t>
  </si>
  <si>
    <t>http://purl.obolibrary.org/obo/TO_0002691</t>
  </si>
  <si>
    <t>http://purl.obolibrary.org/obo/TO_0000649</t>
  </si>
  <si>
    <t>http://purl.obolibrary.org/obo/TO_0002636</t>
  </si>
  <si>
    <t>http://purl.obolibrary.org/obo/TO_0001072</t>
  </si>
  <si>
    <t>http://purl.obolibrary.org/obo/TO_0000972</t>
  </si>
  <si>
    <t>http://purl.obolibrary.org/obo/TO_0002626</t>
  </si>
  <si>
    <t>http://purl.obolibrary.org/obo/TO_0000225</t>
  </si>
  <si>
    <t>http://purl.obolibrary.org/obo/TO_0000241</t>
  </si>
  <si>
    <t>http://purl.obolibrary.org/obo/TO_0006028</t>
  </si>
  <si>
    <t>http://rs.tdwg.org/dwc/terms/identificationID</t>
  </si>
  <si>
    <t>http://rs.tdwg.org/dwc/terms/verbatimLatitude</t>
  </si>
  <si>
    <t>http://rs.tdwg.org/dwc/terms/verbatimLongitude</t>
  </si>
  <si>
    <t>http://rs.tdwg.org/dwc/terms/verbatimElevation</t>
  </si>
  <si>
    <t>http://rs.tdwg.org/dwc/terms/institutionCode</t>
  </si>
  <si>
    <t>http://rs.tdwg.org/dwc/terms/recordNumber</t>
  </si>
  <si>
    <t>http://rs.tdwg.org/dwc/terms/country</t>
  </si>
  <si>
    <t>http://rs.tdwg.org/dwc/terms/specificEpithet</t>
  </si>
  <si>
    <t>http://rs.tdwg.org/dwc/terms/infraspecificEpithet</t>
  </si>
  <si>
    <t>http://rs.tdwg.org/dwc/terms/originalNameUsage</t>
  </si>
  <si>
    <t>http://terminologies.gfbio.org/terms/ETS/morphotype</t>
  </si>
  <si>
    <t>http://rs.tdwg.org/dwc/terms/verbatimTaxonRank</t>
  </si>
  <si>
    <t>…</t>
  </si>
  <si>
    <t>Quantative traits</t>
  </si>
  <si>
    <r>
      <t xml:space="preserve">Fill in </t>
    </r>
    <r>
      <rPr>
        <b/>
        <sz val="11"/>
        <color theme="1"/>
        <rFont val="Wingdings"/>
        <charset val="2"/>
      </rPr>
      <t>ò</t>
    </r>
    <r>
      <rPr>
        <b/>
        <sz val="11"/>
        <color theme="1"/>
        <rFont val="Calibri"/>
        <family val="2"/>
        <scheme val="minor"/>
      </rPr>
      <t xml:space="preserve"> (name)</t>
    </r>
  </si>
  <si>
    <r>
      <t xml:space="preserve">Fill in </t>
    </r>
    <r>
      <rPr>
        <b/>
        <sz val="11"/>
        <color theme="1"/>
        <rFont val="Wingdings"/>
        <charset val="2"/>
      </rPr>
      <t>ò</t>
    </r>
    <r>
      <rPr>
        <b/>
        <sz val="11"/>
        <color theme="1"/>
        <rFont val="Calibri"/>
        <family val="2"/>
        <scheme val="minor"/>
      </rPr>
      <t xml:space="preserve"> (unit)</t>
    </r>
  </si>
  <si>
    <t>Dataset name:</t>
  </si>
  <si>
    <t>Date (dd/mm/yyyy):</t>
  </si>
  <si>
    <t>Measurement or Fact</t>
  </si>
  <si>
    <t>basisOfRecord:</t>
  </si>
  <si>
    <t>Traits</t>
  </si>
  <si>
    <t>measurementDeterminedBy</t>
  </si>
  <si>
    <t>http://rs.tdwg.org/dwc/terms/measurementDeterminedBy</t>
  </si>
  <si>
    <t>NAD27</t>
  </si>
  <si>
    <t>Coordinate Projection System</t>
  </si>
  <si>
    <t>HD1909</t>
  </si>
  <si>
    <t>TWD67</t>
  </si>
  <si>
    <t>TWD97</t>
  </si>
  <si>
    <t>IGRS</t>
  </si>
  <si>
    <t>MGI 1901</t>
  </si>
  <si>
    <t>Unknown datum based upon the Airy 1830 ellipsoid</t>
  </si>
  <si>
    <t>Unknown datum based upon the Airy Modified 1849 ellipsoid</t>
  </si>
  <si>
    <t>Unknown datum based upon the Australian National Spheroid</t>
  </si>
  <si>
    <t>Unknown datum based upon the Bessel 1841 ellipsoid</t>
  </si>
  <si>
    <t>Unknown datum based upon the Bessel Modified ellipsoid</t>
  </si>
  <si>
    <t>Unknown datum based upon the Bessel Namibia ellipsoid</t>
  </si>
  <si>
    <t>Unknown datum based upon the Clarke 1858 ellipsoid</t>
  </si>
  <si>
    <t>Unknown datum based upon the Clarke 1866 ellipsoid</t>
  </si>
  <si>
    <t>Unknown datum based upon the Clarke 1866 Michigan ellipsoid</t>
  </si>
  <si>
    <t>Unknown datum based upon the Clarke 1880 (Benoit) ellipsoid</t>
  </si>
  <si>
    <t>Unknown datum based upon the Clarke 1880 (IGN) ellipsoid</t>
  </si>
  <si>
    <t>Unknown datum based upon the Clarke 1880 (RGS) ellipsoid</t>
  </si>
  <si>
    <t>Unknown datum based upon the Clarke 1880 (Arc) ellipsoid</t>
  </si>
  <si>
    <t>Unknown datum based upon the Clarke 1880 (SGA 1922) ellipsoid</t>
  </si>
  <si>
    <t>Unknown datum based upon the Everest 1830 (1937 Adjustment) ellipsoid</t>
  </si>
  <si>
    <t>Unknown datum based upon the Everest 1830 (1967 Definition) ellipsoid</t>
  </si>
  <si>
    <t>Unknown datum based upon the Everest 1830 Modified ellipsoid</t>
  </si>
  <si>
    <t>Unknown datum based upon the GRS 1980 ellipsoid</t>
  </si>
  <si>
    <t>Unknown datum based upon the Helmert 1906 ellipsoid</t>
  </si>
  <si>
    <t>Unknown datum based upon the Indonesian National Spheroid</t>
  </si>
  <si>
    <t>Unknown datum based upon the International 1924 ellipsoid</t>
  </si>
  <si>
    <t>MOLDREF99</t>
  </si>
  <si>
    <t>Unknown datum based upon the Krassowsky 1940 ellipsoid</t>
  </si>
  <si>
    <t>Unknown datum based upon the NWL 9D ellipsoid</t>
  </si>
  <si>
    <t>Unknown datum based upon the Plessis 1817 ellipsoid</t>
  </si>
  <si>
    <t>Unknown datum based upon the Struve 1860 ellipsoid</t>
  </si>
  <si>
    <t>Unknown datum based upon the War Office ellipsoid</t>
  </si>
  <si>
    <t>Unknown datum based upon the WGS 84 ellipsoid</t>
  </si>
  <si>
    <t>Unknown datum based upon the GEM 10C ellipsoid</t>
  </si>
  <si>
    <t>Unknown datum based upon the OSU86F ellipsoid</t>
  </si>
  <si>
    <t>Unknown datum based upon the OSU91A ellipsoid</t>
  </si>
  <si>
    <t>Unknown datum based upon the Clarke 1880 ellipsoid</t>
  </si>
  <si>
    <t>Unknown datum based upon the Authalic Sphere</t>
  </si>
  <si>
    <t>Unknown datum based upon the GRS 1967 ellipsoid</t>
  </si>
  <si>
    <t>Unknown datum based upon the Average Terrestrial System 1977 ellipsoid</t>
  </si>
  <si>
    <t>Unknown datum based upon the Everest (1830 Definition) ellipsoid</t>
  </si>
  <si>
    <t>Unknown datum based upon the WGS 72 ellipsoid</t>
  </si>
  <si>
    <t>Unknown datum based upon the Everest 1830 (1962 Definition) ellipsoid</t>
  </si>
  <si>
    <t>Unknown datum based upon the Everest 1830 (1975 Definition) ellipsoid</t>
  </si>
  <si>
    <t>RGRDC 2005</t>
  </si>
  <si>
    <t>Unspecified datum based upon the GRS 1980 Authalic Sphere</t>
  </si>
  <si>
    <t>Unspecified datum based upon the Clarke 1866 Authalic Sphere</t>
  </si>
  <si>
    <t>Unspecified datum based upon the International 1924 Authalic Sphere</t>
  </si>
  <si>
    <t>Unspecified datum based upon the Hughes 1980 ellipsoid</t>
  </si>
  <si>
    <t>Popular Visualisation CRS</t>
  </si>
  <si>
    <t>SREF98</t>
  </si>
  <si>
    <t>REGCAN95</t>
  </si>
  <si>
    <t>Greek</t>
  </si>
  <si>
    <t>GGRS87</t>
  </si>
  <si>
    <t>ATS77</t>
  </si>
  <si>
    <t>KKJ</t>
  </si>
  <si>
    <t>RT90</t>
  </si>
  <si>
    <t>Samboja</t>
  </si>
  <si>
    <t>LKS94 (ETRS89)</t>
  </si>
  <si>
    <t>Tete</t>
  </si>
  <si>
    <t>Madzansua</t>
  </si>
  <si>
    <t>Observatario</t>
  </si>
  <si>
    <t>Moznet</t>
  </si>
  <si>
    <t>Indian 1960</t>
  </si>
  <si>
    <t>FD58</t>
  </si>
  <si>
    <t>EST92</t>
  </si>
  <si>
    <t>PSD93</t>
  </si>
  <si>
    <t>Old Hawaiian</t>
  </si>
  <si>
    <t>St. Lawrence Island</t>
  </si>
  <si>
    <t>St. Paul Island</t>
  </si>
  <si>
    <t>St. George Island</t>
  </si>
  <si>
    <t>Puerto Rico</t>
  </si>
  <si>
    <t>NAD83(CSRS98)</t>
  </si>
  <si>
    <t>Israel 1993</t>
  </si>
  <si>
    <t>Locodjo 1965</t>
  </si>
  <si>
    <t>Abidjan 1987</t>
  </si>
  <si>
    <t>Kalianpur 1937</t>
  </si>
  <si>
    <t>Kalianpur 1962</t>
  </si>
  <si>
    <t>Kalianpur 1975</t>
  </si>
  <si>
    <t>Hanoi 1972</t>
  </si>
  <si>
    <t>Hartebeesthoek94</t>
  </si>
  <si>
    <t>CH1903</t>
  </si>
  <si>
    <t>CH1903+</t>
  </si>
  <si>
    <t>CHTRF95</t>
  </si>
  <si>
    <t>NAD83(HARN)</t>
  </si>
  <si>
    <t>Rassadiran</t>
  </si>
  <si>
    <t>ED50(ED77)</t>
  </si>
  <si>
    <t>Dabola 1981</t>
  </si>
  <si>
    <t>S-JTSK</t>
  </si>
  <si>
    <t>Mount Dillon</t>
  </si>
  <si>
    <t>Naparima 1955</t>
  </si>
  <si>
    <t>ELD79</t>
  </si>
  <si>
    <t>Chos Malal 1914</t>
  </si>
  <si>
    <t>Pampa del Castillo</t>
  </si>
  <si>
    <t>Korean 1985</t>
  </si>
  <si>
    <t>Yemen NGN96</t>
  </si>
  <si>
    <t>South Yemen</t>
  </si>
  <si>
    <t>Bissau</t>
  </si>
  <si>
    <t>Korean 1995</t>
  </si>
  <si>
    <t>NZGD2000</t>
  </si>
  <si>
    <t>Accra</t>
  </si>
  <si>
    <t>American Samoa 1962</t>
  </si>
  <si>
    <t>SIRGAS 1995</t>
  </si>
  <si>
    <t>RGF93</t>
  </si>
  <si>
    <t>POSGAR</t>
  </si>
  <si>
    <t>IRENET95</t>
  </si>
  <si>
    <t>Sierra Leone 1924</t>
  </si>
  <si>
    <t>Sierra Leone 1968</t>
  </si>
  <si>
    <t>Australian Antarctic</t>
  </si>
  <si>
    <t>Pulkovo 1942(83)</t>
  </si>
  <si>
    <t>Pulkovo 1942(58)</t>
  </si>
  <si>
    <t>EST97</t>
  </si>
  <si>
    <t>Luxembourg 1930</t>
  </si>
  <si>
    <t>Azores Occidental 1939</t>
  </si>
  <si>
    <t>Azores Central 1948</t>
  </si>
  <si>
    <t>Azores Oriental 1940</t>
  </si>
  <si>
    <t>Madeira 1936</t>
  </si>
  <si>
    <t>OSNI 1952</t>
  </si>
  <si>
    <t>REGVEN</t>
  </si>
  <si>
    <t>POSGAR 98</t>
  </si>
  <si>
    <t>Albanian 1987</t>
  </si>
  <si>
    <t>Douala 1948</t>
  </si>
  <si>
    <t>Manoca 1962</t>
  </si>
  <si>
    <t>Qornoq 1927</t>
  </si>
  <si>
    <t>Scoresbysund 1952</t>
  </si>
  <si>
    <t>Ammassalik 1958</t>
  </si>
  <si>
    <t>Garoua</t>
  </si>
  <si>
    <t>Kousseri</t>
  </si>
  <si>
    <t>Egypt 1930</t>
  </si>
  <si>
    <t>Pulkovo 1995</t>
  </si>
  <si>
    <t>Adindan</t>
  </si>
  <si>
    <t>AGD66</t>
  </si>
  <si>
    <t>AGD84</t>
  </si>
  <si>
    <t>Ain el Abd</t>
  </si>
  <si>
    <t>Afgooye</t>
  </si>
  <si>
    <t>Agadez</t>
  </si>
  <si>
    <t>Lisbon</t>
  </si>
  <si>
    <t>Aratu</t>
  </si>
  <si>
    <t>Arc 1950</t>
  </si>
  <si>
    <t>Arc 1960</t>
  </si>
  <si>
    <t>Batavia</t>
  </si>
  <si>
    <t>Barbados 1938</t>
  </si>
  <si>
    <t>Beduaram</t>
  </si>
  <si>
    <t>Beijing 1954</t>
  </si>
  <si>
    <t>Belge 1950</t>
  </si>
  <si>
    <t>Bermuda 1957</t>
  </si>
  <si>
    <t>Bogota 1975</t>
  </si>
  <si>
    <t>Bukit Rimpah</t>
  </si>
  <si>
    <t>Camacupa</t>
  </si>
  <si>
    <t>Campo Inchauspe</t>
  </si>
  <si>
    <t>Cape</t>
  </si>
  <si>
    <t>Carthage</t>
  </si>
  <si>
    <t>Chua</t>
  </si>
  <si>
    <t>Corrego Alegre 1970-72</t>
  </si>
  <si>
    <t>Cote d'Ivoire</t>
  </si>
  <si>
    <t>Deir ez Zor</t>
  </si>
  <si>
    <t>Douala</t>
  </si>
  <si>
    <t>Egypt 1907</t>
  </si>
  <si>
    <t>ED50</t>
  </si>
  <si>
    <t>ED87</t>
  </si>
  <si>
    <t>Fahud</t>
  </si>
  <si>
    <t>Gandajika 1970</t>
  </si>
  <si>
    <t>Guyane Francaise</t>
  </si>
  <si>
    <t>Hu Tzu Shan 1950</t>
  </si>
  <si>
    <t>HD72</t>
  </si>
  <si>
    <t>ID74</t>
  </si>
  <si>
    <t>Indian 1954</t>
  </si>
  <si>
    <t>Indian 1975</t>
  </si>
  <si>
    <t>Jamaica 1875</t>
  </si>
  <si>
    <t>JAD69</t>
  </si>
  <si>
    <t>Kalianpur 1880</t>
  </si>
  <si>
    <t>Kandawala</t>
  </si>
  <si>
    <t>Kertau 1968</t>
  </si>
  <si>
    <t>KOC</t>
  </si>
  <si>
    <t>La Canoa</t>
  </si>
  <si>
    <t>PSAD56</t>
  </si>
  <si>
    <t>Lake</t>
  </si>
  <si>
    <t>Leigon</t>
  </si>
  <si>
    <t>Liberia 1964</t>
  </si>
  <si>
    <t>Lome</t>
  </si>
  <si>
    <t>Luzon 1911</t>
  </si>
  <si>
    <t>Hito XVIII 1963</t>
  </si>
  <si>
    <t>Herat North</t>
  </si>
  <si>
    <t>Mahe 1971</t>
  </si>
  <si>
    <t>Makassar</t>
  </si>
  <si>
    <t>ETRS89</t>
  </si>
  <si>
    <t>Malongo 1987</t>
  </si>
  <si>
    <t>Manoca</t>
  </si>
  <si>
    <t>Merchich</t>
  </si>
  <si>
    <t>Massawa</t>
  </si>
  <si>
    <t>Minna</t>
  </si>
  <si>
    <t>Mhast</t>
  </si>
  <si>
    <t>Monte Mario</t>
  </si>
  <si>
    <t>M'poraloko</t>
  </si>
  <si>
    <t>NAD27 Michigan</t>
  </si>
  <si>
    <t>NAD83</t>
  </si>
  <si>
    <t>Nahrwan 1967</t>
  </si>
  <si>
    <t>Naparima 1972</t>
  </si>
  <si>
    <t>NZGD49</t>
  </si>
  <si>
    <t>NGO 1948</t>
  </si>
  <si>
    <t>Datum 73</t>
  </si>
  <si>
    <t>NTF</t>
  </si>
  <si>
    <t>NSWC 9Z-2</t>
  </si>
  <si>
    <t>OSGB 1936</t>
  </si>
  <si>
    <t>OSGB70</t>
  </si>
  <si>
    <t>OS(SN)80</t>
  </si>
  <si>
    <t>Padang</t>
  </si>
  <si>
    <t>Palestine 1923</t>
  </si>
  <si>
    <t>Pointe Noire</t>
  </si>
  <si>
    <t>GDA94</t>
  </si>
  <si>
    <t>Pulkovo 1942</t>
  </si>
  <si>
    <t>Qatar 1974</t>
  </si>
  <si>
    <t>Qatar 1948</t>
  </si>
  <si>
    <t>Qornoq</t>
  </si>
  <si>
    <t>Loma Quintana</t>
  </si>
  <si>
    <t>Amersfoort</t>
  </si>
  <si>
    <t>SAD69</t>
  </si>
  <si>
    <t>Sapper Hill 1943</t>
  </si>
  <si>
    <t>Schwarzeck</t>
  </si>
  <si>
    <t>Segora</t>
  </si>
  <si>
    <t>Serindung</t>
  </si>
  <si>
    <t>Sudan</t>
  </si>
  <si>
    <t>Tananarive</t>
  </si>
  <si>
    <t>Timbalai 1948</t>
  </si>
  <si>
    <t>TM65</t>
  </si>
  <si>
    <t>TM75</t>
  </si>
  <si>
    <t>Tokyo</t>
  </si>
  <si>
    <t>Trinidad 1903</t>
  </si>
  <si>
    <t>TC(1948)</t>
  </si>
  <si>
    <t>Voirol 1875</t>
  </si>
  <si>
    <t>Bern 1938</t>
  </si>
  <si>
    <t>Nord Sahara 1959</t>
  </si>
  <si>
    <t>RT38</t>
  </si>
  <si>
    <t>Yacare</t>
  </si>
  <si>
    <t>Yoff</t>
  </si>
  <si>
    <t>Zanderij</t>
  </si>
  <si>
    <t>MGI</t>
  </si>
  <si>
    <t>Belge 1972</t>
  </si>
  <si>
    <t>DHDN</t>
  </si>
  <si>
    <t>Conakry 1905</t>
  </si>
  <si>
    <t>Dealul Piscului 1930</t>
  </si>
  <si>
    <t>Dealul Piscului 1970</t>
  </si>
  <si>
    <t>NGN</t>
  </si>
  <si>
    <t>KUDAMS</t>
  </si>
  <si>
    <t>WGS 72</t>
  </si>
  <si>
    <t>WGS 72BE</t>
  </si>
  <si>
    <t>WGS 84</t>
  </si>
  <si>
    <t>RGSPM06</t>
  </si>
  <si>
    <t>RGM04</t>
  </si>
  <si>
    <t>Cadastre 1997</t>
  </si>
  <si>
    <t>Mexico ITRF92</t>
  </si>
  <si>
    <t>China Geodetic Coordinate System 2000</t>
  </si>
  <si>
    <t>New Beijing</t>
  </si>
  <si>
    <t>RRAF 1991</t>
  </si>
  <si>
    <t>Anguilla 1957</t>
  </si>
  <si>
    <t>Antigua 1943</t>
  </si>
  <si>
    <t>Dominica 1945</t>
  </si>
  <si>
    <t>Grenada 1953</t>
  </si>
  <si>
    <t>Montserrat 1958</t>
  </si>
  <si>
    <t>St. Kitts 1955</t>
  </si>
  <si>
    <t>St. Lucia 1955</t>
  </si>
  <si>
    <t>St. Vincent 1945</t>
  </si>
  <si>
    <t>NAD27(76)</t>
  </si>
  <si>
    <t>NAD27(CGQ77)</t>
  </si>
  <si>
    <t>Xian 1980</t>
  </si>
  <si>
    <t>Hong Kong 1980</t>
  </si>
  <si>
    <t>JGD2000</t>
  </si>
  <si>
    <t>Segara</t>
  </si>
  <si>
    <t>QND95</t>
  </si>
  <si>
    <t>Porto Santo</t>
  </si>
  <si>
    <t>Selvagem Grande</t>
  </si>
  <si>
    <t>NAD83(CSRS)</t>
  </si>
  <si>
    <t>SWEREF99</t>
  </si>
  <si>
    <t>Point 58</t>
  </si>
  <si>
    <t>Fort Marigot</t>
  </si>
  <si>
    <t>Guadeloupe 1948</t>
  </si>
  <si>
    <t>CSG67</t>
  </si>
  <si>
    <t>RGFG95</t>
  </si>
  <si>
    <t>Martinique 1938</t>
  </si>
  <si>
    <t>Reunion 1947</t>
  </si>
  <si>
    <t>RGR92</t>
  </si>
  <si>
    <t>Tahiti 52</t>
  </si>
  <si>
    <t>Tahaa 54</t>
  </si>
  <si>
    <t>IGN72 Nuku Hiva</t>
  </si>
  <si>
    <t>K0 1949</t>
  </si>
  <si>
    <t>Combani 1950</t>
  </si>
  <si>
    <t>IGN56 Lifou</t>
  </si>
  <si>
    <t>IGN72 Grand Terre</t>
  </si>
  <si>
    <t>ST87 Ouvea</t>
  </si>
  <si>
    <t>Petrels 1972</t>
  </si>
  <si>
    <t>Perroud 1950</t>
  </si>
  <si>
    <t>Saint Pierre et Miquelon 1950</t>
  </si>
  <si>
    <t>MOP78</t>
  </si>
  <si>
    <t>IGN53 Mare</t>
  </si>
  <si>
    <t>ST84 Ile des Pins</t>
  </si>
  <si>
    <t>ST71 Belep</t>
  </si>
  <si>
    <t>NEA74 Noumea</t>
  </si>
  <si>
    <t>RGNC 1991</t>
  </si>
  <si>
    <t>Grand Comoros</t>
  </si>
  <si>
    <t>Reykjavik 1900</t>
  </si>
  <si>
    <t>Hjorsey 1955</t>
  </si>
  <si>
    <t>ISN93</t>
  </si>
  <si>
    <t>Helle 1954</t>
  </si>
  <si>
    <t>LKS92</t>
  </si>
  <si>
    <t>IGN72 Grande Terre</t>
  </si>
  <si>
    <t>Porto Santo 1995</t>
  </si>
  <si>
    <t>Azores Oriental 1995</t>
  </si>
  <si>
    <t>Azores Central 1995</t>
  </si>
  <si>
    <t>Lisbon 1890</t>
  </si>
  <si>
    <t>IKBD-92</t>
  </si>
  <si>
    <t>ED79</t>
  </si>
  <si>
    <t>LKS94</t>
  </si>
  <si>
    <t>IGM95</t>
  </si>
  <si>
    <t>Voirol 1879</t>
  </si>
  <si>
    <t>Chatham Islands 1971</t>
  </si>
  <si>
    <t>Chatham Islands 1979</t>
  </si>
  <si>
    <t>SIRGAS 2000</t>
  </si>
  <si>
    <t>Guam 1963</t>
  </si>
  <si>
    <t>Vientiane 1982</t>
  </si>
  <si>
    <t>Lao 1993</t>
  </si>
  <si>
    <t>Lao 1997</t>
  </si>
  <si>
    <t>Jouik 1961</t>
  </si>
  <si>
    <t>Nouakchott 1965</t>
  </si>
  <si>
    <t>Mauritania 1999</t>
  </si>
  <si>
    <t>Gulshan 303</t>
  </si>
  <si>
    <t>PRS92</t>
  </si>
  <si>
    <t>Gan 1970</t>
  </si>
  <si>
    <t>Gandajika</t>
  </si>
  <si>
    <t>MAGNA-SIRGAS</t>
  </si>
  <si>
    <t>RGPF</t>
  </si>
  <si>
    <t>Fatu Iva 72</t>
  </si>
  <si>
    <t>IGN63 Hiva Oa</t>
  </si>
  <si>
    <t>Tahiti 79</t>
  </si>
  <si>
    <t>Moorea 87</t>
  </si>
  <si>
    <t>Maupiti 83</t>
  </si>
  <si>
    <t>Nakhl-e Ghanem</t>
  </si>
  <si>
    <t>POSGAR 94</t>
  </si>
  <si>
    <t>Katanga 1955</t>
  </si>
  <si>
    <t>Kasai 1953</t>
  </si>
  <si>
    <t>IGC 1962 6th Parallel South</t>
  </si>
  <si>
    <t>IGN 1962 Kerguelen</t>
  </si>
  <si>
    <t>Le Pouce 1934</t>
  </si>
  <si>
    <t>IGN Astro 1960</t>
  </si>
  <si>
    <t>IGCB 1955</t>
  </si>
  <si>
    <t>Mhast 1951</t>
  </si>
  <si>
    <t>Mhast (onshore)</t>
  </si>
  <si>
    <t>Mhast (offshore)</t>
  </si>
  <si>
    <t>Egypt Gulf of Suez S-650 TL</t>
  </si>
  <si>
    <t>Tern Island 1961</t>
  </si>
  <si>
    <t>Cocos Islands 1965</t>
  </si>
  <si>
    <t>Iwo Jima 1945</t>
  </si>
  <si>
    <t>St. Helena 1971</t>
  </si>
  <si>
    <t>Marcus Island 1952</t>
  </si>
  <si>
    <t>Ascension Island 1958</t>
  </si>
  <si>
    <t>Ayabelle Lighthouse</t>
  </si>
  <si>
    <t>Bellevue</t>
  </si>
  <si>
    <t>Camp Area Astro</t>
  </si>
  <si>
    <t>Phoenix Islands 1966</t>
  </si>
  <si>
    <t>Cape Canaveral</t>
  </si>
  <si>
    <t>Solomon 1968</t>
  </si>
  <si>
    <t>Easter Island 1967</t>
  </si>
  <si>
    <t>Fiji 1986</t>
  </si>
  <si>
    <t>Fiji 1956</t>
  </si>
  <si>
    <t>South Georgia 1968</t>
  </si>
  <si>
    <t>GCGD59</t>
  </si>
  <si>
    <t>Diego Garcia 1969</t>
  </si>
  <si>
    <t>Johnston Island 1961</t>
  </si>
  <si>
    <t>SIGD61</t>
  </si>
  <si>
    <t>Midway 1961</t>
  </si>
  <si>
    <t>Pico de las Nieves 1984</t>
  </si>
  <si>
    <t>Pitcairn 1967</t>
  </si>
  <si>
    <t>Santo 1965</t>
  </si>
  <si>
    <t>Viti Levu 1916</t>
  </si>
  <si>
    <t>Marshall Islands 1960</t>
  </si>
  <si>
    <t>Wake Island 1952</t>
  </si>
  <si>
    <t>Tristan 1968</t>
  </si>
  <si>
    <t>Kusaie 1951</t>
  </si>
  <si>
    <t>Deception Island</t>
  </si>
  <si>
    <t>Korea 2000</t>
  </si>
  <si>
    <t>Hong Kong 1963</t>
  </si>
  <si>
    <t>Hong Kong 1963(67)</t>
  </si>
  <si>
    <t>PZ-90</t>
  </si>
  <si>
    <t>FD54</t>
  </si>
  <si>
    <t>GDM2000</t>
  </si>
  <si>
    <t>Karbala 1979</t>
  </si>
  <si>
    <t>Nahrwan 1934</t>
  </si>
  <si>
    <t>RD/83</t>
  </si>
  <si>
    <t>PD/83</t>
  </si>
  <si>
    <t>GR96</t>
  </si>
  <si>
    <t>Vanua Levu 1915</t>
  </si>
  <si>
    <t>RGNC91-93</t>
  </si>
  <si>
    <t>Kertau (RSO)</t>
  </si>
  <si>
    <t>Viti Levu 1912</t>
  </si>
  <si>
    <t>fk89</t>
  </si>
  <si>
    <t>LGD2006</t>
  </si>
  <si>
    <t>DGN95</t>
  </si>
  <si>
    <t>VN-2000</t>
  </si>
  <si>
    <t>SVY21</t>
  </si>
  <si>
    <t>JAD2001</t>
  </si>
  <si>
    <t>NAD83(NSRS2007)</t>
  </si>
  <si>
    <t>WGS 66</t>
  </si>
  <si>
    <t>HTRS96</t>
  </si>
  <si>
    <t>BDA2000</t>
  </si>
  <si>
    <t>Pitcairn 2006</t>
  </si>
  <si>
    <t>RSRGD2000</t>
  </si>
  <si>
    <t>Slovenia 1996</t>
  </si>
  <si>
    <t>Bern 1898 (Bern)</t>
  </si>
  <si>
    <t>Bogota 1975 (Bogota)</t>
  </si>
  <si>
    <t>Lisbon (Lisbon)</t>
  </si>
  <si>
    <t>Makassar (Jakarta)</t>
  </si>
  <si>
    <t>MGI (Ferro)</t>
  </si>
  <si>
    <t>Monte Mario (Rome)</t>
  </si>
  <si>
    <t>NTF (Paris)</t>
  </si>
  <si>
    <t>Padang (Jakarta)</t>
  </si>
  <si>
    <t>Belge 1950 (Brussels)</t>
  </si>
  <si>
    <t>Tananarive (Paris)</t>
  </si>
  <si>
    <t>Voirol 1875 (Paris)</t>
  </si>
  <si>
    <t>Batavia (Jakarta)</t>
  </si>
  <si>
    <t>RT38 (Stockholm)</t>
  </si>
  <si>
    <t>Greek (Athens)</t>
  </si>
  <si>
    <t>Carthage (Paris)</t>
  </si>
  <si>
    <t>NGO 1948 (Oslo)</t>
  </si>
  <si>
    <t>S-JTSK (Ferro)</t>
  </si>
  <si>
    <t>Nord Sahara 1959 (Paris)</t>
  </si>
  <si>
    <t>Segara (Jakarta)</t>
  </si>
  <si>
    <t>Voirol 1879 (Paris)</t>
  </si>
  <si>
    <t>Sao Tome</t>
  </si>
  <si>
    <t>Principe</t>
  </si>
  <si>
    <t>ATF (Paris)</t>
  </si>
  <si>
    <t>NDG (Paris)</t>
  </si>
  <si>
    <t>Madrid 1870 (Madrid)</t>
  </si>
  <si>
    <t>Lisbon 1890 (Lisbon)</t>
  </si>
  <si>
    <t>PTRA08</t>
  </si>
  <si>
    <t>Tokyo 1892</t>
  </si>
  <si>
    <t>S-JTSK/05</t>
  </si>
  <si>
    <t>S-JTSK/05 (Ferro)</t>
  </si>
  <si>
    <t>SLD99</t>
  </si>
  <si>
    <t>GDBD2009</t>
  </si>
  <si>
    <t>TUREF</t>
  </si>
  <si>
    <t>DRUKREF 03</t>
  </si>
  <si>
    <t>ISN2004</t>
  </si>
  <si>
    <t>POSGAR 2007</t>
  </si>
  <si>
    <t>MARGEN</t>
  </si>
  <si>
    <t>SIRGAS-Chile</t>
  </si>
  <si>
    <t>CR05</t>
  </si>
  <si>
    <t>MACARIO SOLIS</t>
  </si>
  <si>
    <t>Peru96</t>
  </si>
  <si>
    <t>SIRGAS-ROU98</t>
  </si>
  <si>
    <t>SIRGAS_ES2007.8</t>
  </si>
  <si>
    <t>Ocotepeque 1935</t>
  </si>
  <si>
    <t>Sibun Gorge 1922</t>
  </si>
  <si>
    <t>Panama-Colon 1911</t>
  </si>
  <si>
    <t>RGAF09</t>
  </si>
  <si>
    <t>Corrego Alegre 1961</t>
  </si>
  <si>
    <t>SAD69(96)</t>
  </si>
  <si>
    <t>PNG94</t>
  </si>
  <si>
    <t>UCS-2000</t>
  </si>
  <si>
    <t>FEH2010</t>
  </si>
  <si>
    <t>DB_REF</t>
  </si>
  <si>
    <t>TGD2005</t>
  </si>
  <si>
    <t>CIGD11</t>
  </si>
  <si>
    <t>Nepal 1981</t>
  </si>
  <si>
    <t>CGRS93</t>
  </si>
  <si>
    <t>NAD83(2011)</t>
  </si>
  <si>
    <t>NAD83(PA11)</t>
  </si>
  <si>
    <t>NAD83(MA11)</t>
  </si>
  <si>
    <t>Mexico ITRF2008</t>
  </si>
  <si>
    <t>JGD2011</t>
  </si>
  <si>
    <t>RDN2008</t>
  </si>
  <si>
    <t>NAD83(CORS96)</t>
  </si>
  <si>
    <t>Aden 1925</t>
  </si>
  <si>
    <t>Bekaa Valley 1920</t>
  </si>
  <si>
    <t>Bioko</t>
  </si>
  <si>
    <t>South East Island 1943</t>
  </si>
  <si>
    <t>Gambia</t>
  </si>
  <si>
    <t>IGD05</t>
  </si>
  <si>
    <t>IG05 Intermediate CRS</t>
  </si>
  <si>
    <t>IGD05/12</t>
  </si>
  <si>
    <t>IG05/12 Intermediate CRS</t>
  </si>
  <si>
    <t>RGSPM06 (lon-lat)</t>
  </si>
  <si>
    <t>RGR92 (lon-lat)</t>
  </si>
  <si>
    <t>RGM04 (lon-lat)</t>
  </si>
  <si>
    <t>RGFG95 (lon-lat)</t>
  </si>
  <si>
    <t>RGTAAF07</t>
  </si>
  <si>
    <t>RGF93 (lon-lat)</t>
  </si>
  <si>
    <t>RGAF09 (lon-lat)</t>
  </si>
  <si>
    <t>RGTAAF07 (lon-lat)</t>
  </si>
  <si>
    <t>ONGD14</t>
  </si>
  <si>
    <t>Kyrg-06</t>
  </si>
  <si>
    <t>Anguilla 1957 / British West Indies Grid</t>
  </si>
  <si>
    <t>Antigua 1943 / British West Indies Grid</t>
  </si>
  <si>
    <t>Dominica 1945 / British West Indies Grid</t>
  </si>
  <si>
    <t>Grenada 1953 / British West Indies Grid</t>
  </si>
  <si>
    <t>Montserrat 1958 / British West Indies Grid</t>
  </si>
  <si>
    <t>St. Kitts 1955 / British West Indies Grid</t>
  </si>
  <si>
    <t>St. Lucia 1955 / British West Indies Grid</t>
  </si>
  <si>
    <t>St. Vincent 45 / British West Indies Grid</t>
  </si>
  <si>
    <t>NAD27(CGQ77) / SCoPQ zone 2 (deprecated)</t>
  </si>
  <si>
    <t>NAD27(CGQ77) / SCoPQ zone 3</t>
  </si>
  <si>
    <t>NAD27(CGQ77) / SCoPQ zone 4</t>
  </si>
  <si>
    <t>NAD27(CGQ77) / SCoPQ zone 5</t>
  </si>
  <si>
    <t>NAD27(CGQ77) / SCoPQ zone 6</t>
  </si>
  <si>
    <t>NAD27(CGQ77) / SCoPQ zone 7</t>
  </si>
  <si>
    <t>NAD27(CGQ77) / SCoPQ zone 8</t>
  </si>
  <si>
    <t>NAD27(CGQ77) / SCoPQ zone 9</t>
  </si>
  <si>
    <t>NAD27(CGQ77) / SCoPQ zone 10</t>
  </si>
  <si>
    <t>NAD27(76) / MTM zone 8</t>
  </si>
  <si>
    <t>NAD27(76) / MTM zone 9</t>
  </si>
  <si>
    <t>NAD27(76) / MTM zone 10</t>
  </si>
  <si>
    <t>NAD27(76) / MTM zone 11</t>
  </si>
  <si>
    <t>NAD27(76) / MTM zone 12</t>
  </si>
  <si>
    <t>NAD27(76) / MTM zone 13</t>
  </si>
  <si>
    <t>NAD27(76) / MTM zone 14</t>
  </si>
  <si>
    <t>NAD27(76) / MTM zone 15</t>
  </si>
  <si>
    <t>NAD27(76) / MTM zone 16</t>
  </si>
  <si>
    <t>NAD27(76) / MTM zone 17</t>
  </si>
  <si>
    <t>NAD27(76) / UTM zone 15N</t>
  </si>
  <si>
    <t>NAD27(76) / UTM zone 16N</t>
  </si>
  <si>
    <t>NAD27(76) / UTM zone 17N</t>
  </si>
  <si>
    <t>NAD27(76) / UTM zone 18N</t>
  </si>
  <si>
    <t>NAD27(CGQ77) / UTM zone 17N</t>
  </si>
  <si>
    <t>NAD27(CGQ77) / UTM zone 18N</t>
  </si>
  <si>
    <t>NAD27(CGQ77) / UTM zone 19N</t>
  </si>
  <si>
    <t>NAD27(CGQ77) / UTM zone 20N</t>
  </si>
  <si>
    <t>NAD27(CGQ77) / UTM zone 21N</t>
  </si>
  <si>
    <t>NAD83(CSRS98) / New Brunswick Stereo (deprecated)</t>
  </si>
  <si>
    <t>NAD83(CSRS98) / UTM zone 19N (deprecated)</t>
  </si>
  <si>
    <t>NAD83(CSRS98) / UTM zone 20N (deprecated)</t>
  </si>
  <si>
    <t>Israel 1993 / Israeli TM Grid</t>
  </si>
  <si>
    <t>Locodjo 1965 / UTM zone 30N</t>
  </si>
  <si>
    <t>Abidjan 1987 / UTM zone 30N</t>
  </si>
  <si>
    <t>Locodjo 1965 / UTM zone 29N</t>
  </si>
  <si>
    <t>Abidjan 1987 / UTM zone 29N</t>
  </si>
  <si>
    <t>Hanoi 1972 / Gauss-Kruger zone 18</t>
  </si>
  <si>
    <t>Hanoi 1972 / Gauss-Kruger zone 19</t>
  </si>
  <si>
    <t>Hartebeesthoek94 / Lo15</t>
  </si>
  <si>
    <t>Hartebeesthoek94 / Lo17</t>
  </si>
  <si>
    <t>Hartebeesthoek94 / Lo19</t>
  </si>
  <si>
    <t>Hartebeesthoek94 / Lo21</t>
  </si>
  <si>
    <t>Hartebeesthoek94 / Lo23</t>
  </si>
  <si>
    <t>Hartebeesthoek94 / Lo25</t>
  </si>
  <si>
    <t>Hartebeesthoek94 / Lo27</t>
  </si>
  <si>
    <t>Hartebeesthoek94 / Lo29</t>
  </si>
  <si>
    <t>Hartebeesthoek94 / Lo31</t>
  </si>
  <si>
    <t>Hartebeesthoek94 / Lo33</t>
  </si>
  <si>
    <t>CH1903+ / LV95</t>
  </si>
  <si>
    <t>Rassadiran / Nakhl e Taqi</t>
  </si>
  <si>
    <t>ED50(ED77) / UTM zone 38N</t>
  </si>
  <si>
    <t>ED50(ED77) / UTM zone 39N</t>
  </si>
  <si>
    <t>ED50(ED77) / UTM zone 40N</t>
  </si>
  <si>
    <t>ED50(ED77) / UTM zone 41N</t>
  </si>
  <si>
    <t>Madrid 1870 (Madrid) / Spain</t>
  </si>
  <si>
    <t>Dabola 1981 / UTM zone 28N (deprecated)</t>
  </si>
  <si>
    <t>Dabola 1981 / UTM zone 29N (deprecated)</t>
  </si>
  <si>
    <t>S-JTSK (Ferro) / Krovak</t>
  </si>
  <si>
    <t>Mount Dillon / Tobago Grid</t>
  </si>
  <si>
    <t>Naparima 1955 / UTM zone 20N</t>
  </si>
  <si>
    <t>ELD79 / Libya zone 5</t>
  </si>
  <si>
    <t>ELD79 / Libya zone 6</t>
  </si>
  <si>
    <t>ELD79 / Libya zone 7</t>
  </si>
  <si>
    <t>ELD79 / Libya zone 8</t>
  </si>
  <si>
    <t>ELD79 / Libya zone 9</t>
  </si>
  <si>
    <t>ELD79 / Libya zone 10</t>
  </si>
  <si>
    <t>ELD79 / Libya zone 11</t>
  </si>
  <si>
    <t>ELD79 / Libya zone 12</t>
  </si>
  <si>
    <t>ELD79 / Libya zone 13</t>
  </si>
  <si>
    <t>ELD79 / UTM zone 32N</t>
  </si>
  <si>
    <t>ELD79 / UTM zone 33N</t>
  </si>
  <si>
    <t>ELD79 / UTM zone 34N</t>
  </si>
  <si>
    <t>ELD79 / UTM zone 35N</t>
  </si>
  <si>
    <t>Chos Malal 1914 / Argentina 2</t>
  </si>
  <si>
    <t>Pampa del Castillo / Argentina 2</t>
  </si>
  <si>
    <t>Hito XVIII 1963 / Argentina 2</t>
  </si>
  <si>
    <t>Hito XVIII 1963 / UTM zone 19S</t>
  </si>
  <si>
    <t>NAD27 / Cuba Norte (deprecated)</t>
  </si>
  <si>
    <t>NAD27 / Cuba Sur (deprecated)</t>
  </si>
  <si>
    <t>ELD79 / TM 12 NE</t>
  </si>
  <si>
    <t>Carthage / TM 11 NE</t>
  </si>
  <si>
    <t>Yemen NGN96 / UTM zone 38N</t>
  </si>
  <si>
    <t>Yemen NGN96 / UTM zone 39N</t>
  </si>
  <si>
    <t>South Yemen / Gauss Kruger zone 8 (deprecated)</t>
  </si>
  <si>
    <t>South Yemen / Gauss Kruger zone 9 (deprecated)</t>
  </si>
  <si>
    <t>Hanoi 1972 / GK 106 NE</t>
  </si>
  <si>
    <t>WGS 72BE / TM 106 NE</t>
  </si>
  <si>
    <t>Bissau / UTM zone 28N</t>
  </si>
  <si>
    <t>Korean 1985 / East Belt</t>
  </si>
  <si>
    <t>Korean 1985 / Central Belt</t>
  </si>
  <si>
    <t>Korean 1985 / West Belt</t>
  </si>
  <si>
    <t>Qatar 1948 / Qatar Grid</t>
  </si>
  <si>
    <t>GGRS87 / Greek Grid</t>
  </si>
  <si>
    <t>Lake / Maracaibo Grid M1</t>
  </si>
  <si>
    <t>Lake / Maracaibo Grid</t>
  </si>
  <si>
    <t>Lake / Maracaibo Grid M3</t>
  </si>
  <si>
    <t>Lake / Maracaibo La Rosa Grid</t>
  </si>
  <si>
    <t>NZGD2000 / Mount Eden 2000</t>
  </si>
  <si>
    <t>NZGD2000 / Bay of Plenty 2000</t>
  </si>
  <si>
    <t>NZGD2000 / Poverty Bay 2000</t>
  </si>
  <si>
    <t>NZGD2000 / Hawkes Bay 2000</t>
  </si>
  <si>
    <t>NZGD2000 / Taranaki 2000</t>
  </si>
  <si>
    <t>NZGD2000 / Tuhirangi 2000</t>
  </si>
  <si>
    <t>NZGD2000 / Wanganui 2000</t>
  </si>
  <si>
    <t>NZGD2000 / Wairarapa 2000</t>
  </si>
  <si>
    <t>NZGD2000 / Wellington 2000</t>
  </si>
  <si>
    <t>NZGD2000 / Collingwood 2000</t>
  </si>
  <si>
    <t>NZGD2000 / Nelson 2000</t>
  </si>
  <si>
    <t>NZGD2000 / Karamea 2000</t>
  </si>
  <si>
    <t>NZGD2000 / Buller 2000</t>
  </si>
  <si>
    <t>NZGD2000 / Grey 2000</t>
  </si>
  <si>
    <t>NZGD2000 / Amuri 2000</t>
  </si>
  <si>
    <t>NZGD2000 / Marlborough 2000</t>
  </si>
  <si>
    <t>NZGD2000 / Hokitika 2000</t>
  </si>
  <si>
    <t>NZGD2000 / Okarito 2000</t>
  </si>
  <si>
    <t>NZGD2000 / Jacksons Bay 2000</t>
  </si>
  <si>
    <t>NZGD2000 / Mount Pleasant 2000</t>
  </si>
  <si>
    <t>NZGD2000 / Gawler 2000</t>
  </si>
  <si>
    <t>NZGD2000 / Timaru 2000</t>
  </si>
  <si>
    <t>NZGD2000 / Lindis Peak 2000</t>
  </si>
  <si>
    <t>NZGD2000 / Mount Nicholas 2000</t>
  </si>
  <si>
    <t>NZGD2000 / Mount York 2000</t>
  </si>
  <si>
    <t>NZGD2000 / Observation Point 2000</t>
  </si>
  <si>
    <t>NZGD2000 / North Taieri 2000</t>
  </si>
  <si>
    <t>NZGD2000 / Bluff 2000</t>
  </si>
  <si>
    <t>NZGD2000 / UTM zone 58S</t>
  </si>
  <si>
    <t>NZGD2000 / UTM zone 59S</t>
  </si>
  <si>
    <t>NZGD2000 / UTM zone 60S</t>
  </si>
  <si>
    <t>Accra / Ghana National Grid</t>
  </si>
  <si>
    <t>Accra / TM 1 NW</t>
  </si>
  <si>
    <t>NAD27(CGQ77) / Quebec Lambert</t>
  </si>
  <si>
    <t>NAD83(CSRS98) / SCoPQ zone 2 (deprecated)</t>
  </si>
  <si>
    <t>NAD83(CSRS98) / MTM zone 3 (deprecated)</t>
  </si>
  <si>
    <t>NAD83(CSRS98) / MTM zone 4 (deprecated)</t>
  </si>
  <si>
    <t>NAD83(CSRS98) / MTM zone 5 (deprecated)</t>
  </si>
  <si>
    <t>NAD83(CSRS98) / MTM zone 6 (deprecated)</t>
  </si>
  <si>
    <t>NAD83(CSRS98) / MTM zone 7 (deprecated)</t>
  </si>
  <si>
    <t>NAD83(CSRS98) / MTM zone 8 (deprecated)</t>
  </si>
  <si>
    <t>NAD83(CSRS98) / MTM zone 9 (deprecated)</t>
  </si>
  <si>
    <t>NAD83(CSRS98) / MTM zone 10 (deprecated)</t>
  </si>
  <si>
    <t>NAD83(CSRS98) / UTM zone 21N (deprecated)</t>
  </si>
  <si>
    <t>NAD83(CSRS98) / UTM zone 18N (deprecated)</t>
  </si>
  <si>
    <t>NAD83(CSRS98) / UTM zone 17N (deprecated)</t>
  </si>
  <si>
    <t>NAD83(CSRS98) / UTM zone 13N (deprecated)</t>
  </si>
  <si>
    <t>NAD83(CSRS98) / UTM zone 12N (deprecated)</t>
  </si>
  <si>
    <t>NAD83(CSRS98) / UTM zone 11N (deprecated)</t>
  </si>
  <si>
    <t>RGF93 / Lambert-93</t>
  </si>
  <si>
    <t>American Samoa 1962 / American Samoa Lambert (deprecated)</t>
  </si>
  <si>
    <t>NAD83(HARN) / UTM zone 59S (deprecated)</t>
  </si>
  <si>
    <t>IRENET95 / Irish Transverse Mercator</t>
  </si>
  <si>
    <t>IRENET95 / UTM zone 29N</t>
  </si>
  <si>
    <t>Sierra Leone 1924 / New Colony Grid</t>
  </si>
  <si>
    <t>Sierra Leone 1924 / New War Office Grid</t>
  </si>
  <si>
    <t>Sierra Leone 1968 / UTM zone 28N</t>
  </si>
  <si>
    <t>Sierra Leone 1968 / UTM zone 29N</t>
  </si>
  <si>
    <t>US National Atlas Equal Area</t>
  </si>
  <si>
    <t>Locodjo 1965 / TM 5 NW</t>
  </si>
  <si>
    <t>Abidjan 1987 / TM 5 NW</t>
  </si>
  <si>
    <t>Pulkovo 1942(83) / Gauss Kruger zone 3 (deprecated)</t>
  </si>
  <si>
    <t>Pulkovo 1942(83) / Gauss Kruger zone 4 (deprecated)</t>
  </si>
  <si>
    <t>Pulkovo 1942(83) / Gauss Kruger zone 5 (deprecated)</t>
  </si>
  <si>
    <t>Luxembourg 1930 / Gauss</t>
  </si>
  <si>
    <t>MGI / Slovenia Grid (deprecated)</t>
  </si>
  <si>
    <t>Pulkovo 1942(58) / Poland zone I (deprecated)</t>
  </si>
  <si>
    <t>Pulkovo 1942(58) / Poland zone II</t>
  </si>
  <si>
    <t>Pulkovo 1942(58) / Poland zone III</t>
  </si>
  <si>
    <t>Pulkovo 1942(58) / Poland zone IV</t>
  </si>
  <si>
    <t>Pulkovo 1942(58) / Poland zone V</t>
  </si>
  <si>
    <t>ETRS89 / Poland CS2000 zone 5</t>
  </si>
  <si>
    <t>ETRS89 / Poland CS2000 zone 6</t>
  </si>
  <si>
    <t>ETRS89 / Poland CS2000 zone 7</t>
  </si>
  <si>
    <t>ETRS89 / Poland CS2000 zone 8</t>
  </si>
  <si>
    <t>ETRS89 / Poland CS92</t>
  </si>
  <si>
    <t>Azores Occidental 1939 / UTM zone 25N</t>
  </si>
  <si>
    <t>Azores Central 1948 / UTM zone 26N</t>
  </si>
  <si>
    <t>Azores Oriental 1940 / UTM zone 26N</t>
  </si>
  <si>
    <t>Madeira 1936 / UTM zone 28N (deprecated)</t>
  </si>
  <si>
    <t>ED50 / France EuroLambert (deprecated)</t>
  </si>
  <si>
    <t>NZGD2000 / New Zealand Transverse Mercator 2000</t>
  </si>
  <si>
    <t>NAD83(HARN) / UTM zone 2S</t>
  </si>
  <si>
    <t>ETRS89 / Kp2000 Jutland</t>
  </si>
  <si>
    <t>ETRS89 / Kp2000 Zealand</t>
  </si>
  <si>
    <t>ETRS89 / Kp2000 Bornholm</t>
  </si>
  <si>
    <t>Albanian 1987 / Gauss Kruger zone 4 (deprecated)</t>
  </si>
  <si>
    <t>ATS77 / New Brunswick Stereographic (ATS77)</t>
  </si>
  <si>
    <t>REGVEN / UTM zone 18N</t>
  </si>
  <si>
    <t>REGVEN / UTM zone 19N</t>
  </si>
  <si>
    <t>REGVEN / UTM zone 20N</t>
  </si>
  <si>
    <t>NAD27 / Tennessee</t>
  </si>
  <si>
    <t>NAD83 / Kentucky North</t>
  </si>
  <si>
    <t>ED50 / 3-degree Gauss-Kruger zone 9</t>
  </si>
  <si>
    <t>ED50 / 3-degree Gauss-Kruger zone 10</t>
  </si>
  <si>
    <t>ED50 / 3-degree Gauss-Kruger zone 11</t>
  </si>
  <si>
    <t>ED50 / 3-degree Gauss-Kruger zone 12</t>
  </si>
  <si>
    <t>ED50 / 3-degree Gauss-Kruger zone 13</t>
  </si>
  <si>
    <t>ED50 / 3-degree Gauss-Kruger zone 14</t>
  </si>
  <si>
    <t>ED50 / 3-degree Gauss-Kruger zone 15</t>
  </si>
  <si>
    <t>ETRS89 / TM 30 NE</t>
  </si>
  <si>
    <t>Douala 1948 / AOF west (deprecated)</t>
  </si>
  <si>
    <t>Manoca 1962 / UTM zone 32N</t>
  </si>
  <si>
    <t>Qornoq 1927 / UTM zone 22N</t>
  </si>
  <si>
    <t>Qornoq 1927 / UTM zone 23N</t>
  </si>
  <si>
    <t>Scoresbysund 1952 / Greenland zone 5 eastUnable to translate coordinate system EPSG:2218 into PROJ.4 format.</t>
  </si>
  <si>
    <t>ATS77 / UTM zone 19N</t>
  </si>
  <si>
    <t>ATS77 / UTM zone 20N</t>
  </si>
  <si>
    <t>Scoresbysund 1952 / Greenland zone 6 eastUnable to translate coordinate system EPSG:2221 into PROJ.4 format.</t>
  </si>
  <si>
    <t>NAD83 / Arizona East (ft)</t>
  </si>
  <si>
    <t>NAD83 / Arizona Central (ft)</t>
  </si>
  <si>
    <t>NAD83 / Arizona West (ft)</t>
  </si>
  <si>
    <t>NAD83 / California zone 1 (ftUS)</t>
  </si>
  <si>
    <t>NAD83 / California zone 2 (ftUS)</t>
  </si>
  <si>
    <t>NAD83 / California zone 3 (ftUS)</t>
  </si>
  <si>
    <t>NAD83 / California zone 4 (ftUS)</t>
  </si>
  <si>
    <t>NAD83 / California zone 5 (ftUS)</t>
  </si>
  <si>
    <t>NAD83 / California zone 6 (ftUS)</t>
  </si>
  <si>
    <t>NAD83 / Colorado North (ftUS)</t>
  </si>
  <si>
    <t>NAD83 / Colorado Central (ftUS)</t>
  </si>
  <si>
    <t>NAD83 / Colorado South (ftUS)</t>
  </si>
  <si>
    <t>NAD83 / Connecticut (ftUS)</t>
  </si>
  <si>
    <t>NAD83 / Delaware (ftUS)</t>
  </si>
  <si>
    <t>NAD83 / Florida East (ftUS)</t>
  </si>
  <si>
    <t>NAD83 / Florida West (ftUS)</t>
  </si>
  <si>
    <t>NAD83 / Florida North (ftUS)</t>
  </si>
  <si>
    <t>NAD83 / Georgia East (ftUS)</t>
  </si>
  <si>
    <t>NAD83 / Georgia West (ftUS)</t>
  </si>
  <si>
    <t>NAD83 / Idaho East (ftUS)</t>
  </si>
  <si>
    <t>NAD83 / Idaho Central (ftUS)</t>
  </si>
  <si>
    <t>NAD83 / Idaho West (ftUS)</t>
  </si>
  <si>
    <t>NAD83 / Indiana East (ftUS) (deprecated)</t>
  </si>
  <si>
    <t>NAD83 / Indiana West (ftUS) (deprecated)</t>
  </si>
  <si>
    <t>NAD83 / Kentucky North (ftUS)</t>
  </si>
  <si>
    <t>NAD83 / Kentucky South (ftUS)</t>
  </si>
  <si>
    <t>NAD83 / Maryland (ftUS)</t>
  </si>
  <si>
    <t>NAD83 / Massachusetts Mainland (ftUS)</t>
  </si>
  <si>
    <t>NAD83 / Massachusetts Island (ftUS)</t>
  </si>
  <si>
    <t>NAD83 / Michigan North (ft)</t>
  </si>
  <si>
    <t>NAD83 / Michigan Central (ft)</t>
  </si>
  <si>
    <t>NAD83 / Michigan South (ft)</t>
  </si>
  <si>
    <t>NAD83 / Mississippi East (ftUS)</t>
  </si>
  <si>
    <t>NAD83 / Mississippi West (ftUS)</t>
  </si>
  <si>
    <t>NAD83 / Montana (ft)</t>
  </si>
  <si>
    <t>NAD83 / New Mexico East (ftUS)</t>
  </si>
  <si>
    <t>NAD83 / New Mexico Central (ftUS)</t>
  </si>
  <si>
    <t>NAD83 / New Mexico West (ftUS)</t>
  </si>
  <si>
    <t>NAD83 / New York East (ftUS)</t>
  </si>
  <si>
    <t>NAD83 / New York Central (ftUS)</t>
  </si>
  <si>
    <t>NAD83 / New York West (ftUS)</t>
  </si>
  <si>
    <t>NAD83 / New York Long Island (ftUS)</t>
  </si>
  <si>
    <t>NAD83 / North Carolina (ftUS)</t>
  </si>
  <si>
    <t>NAD83 / North Dakota North (ft)</t>
  </si>
  <si>
    <t>NAD83 / North Dakota South (ft)</t>
  </si>
  <si>
    <t>NAD83 / Oklahoma North (ftUS)</t>
  </si>
  <si>
    <t>NAD83 / Oklahoma South (ftUS)</t>
  </si>
  <si>
    <t>NAD83 / Oregon North (ft)</t>
  </si>
  <si>
    <t>NAD83 / Oregon South (ft)</t>
  </si>
  <si>
    <t>NAD83 / Pennsylvania North (ftUS)</t>
  </si>
  <si>
    <t>NAD83 / Pennsylvania South (ftUS)</t>
  </si>
  <si>
    <t>NAD83 / South Carolina (ft)</t>
  </si>
  <si>
    <t>NAD83 / Tennessee (ftUS)</t>
  </si>
  <si>
    <t>NAD83 / Texas North (ftUS)</t>
  </si>
  <si>
    <t>NAD83 / Texas North Central (ftUS)</t>
  </si>
  <si>
    <t>NAD83 / Texas Central (ftUS)</t>
  </si>
  <si>
    <t>NAD83 / Texas South Central (ftUS)</t>
  </si>
  <si>
    <t>NAD83 / Texas South (ftUS)</t>
  </si>
  <si>
    <t>NAD83 / Utah North (ft)</t>
  </si>
  <si>
    <t>NAD83 / Utah Central (ft)</t>
  </si>
  <si>
    <t>NAD83 / Utah South (ft)</t>
  </si>
  <si>
    <t>NAD83 / Virginia North (ftUS)</t>
  </si>
  <si>
    <t>NAD83 / Virginia South (ftUS)</t>
  </si>
  <si>
    <t>NAD83 / Washington North (ftUS)</t>
  </si>
  <si>
    <t>NAD83 / Washington South (ftUS)</t>
  </si>
  <si>
    <t>NAD83 / Wisconsin North (ftUS)</t>
  </si>
  <si>
    <t>NAD83 / Wisconsin Central (ftUS)</t>
  </si>
  <si>
    <t>NAD83 / Wisconsin South (ftUS)</t>
  </si>
  <si>
    <t>ATS77 / Prince Edward Isl. Stereographic (ATS77)</t>
  </si>
  <si>
    <t>NAD83(CSRS98) / Prince Edward Isl. Stereographic (NAD83) (deprecated)</t>
  </si>
  <si>
    <t>ATS77 / MTM Nova Scotia zone 4</t>
  </si>
  <si>
    <t>ATS77 / MTM Nova Scotia zone 5</t>
  </si>
  <si>
    <t>Ammassalik 1958 / Greenland zone 7 eastUnable to translate coordinate system EPSG:2296 into PROJ.4 format.</t>
  </si>
  <si>
    <t>Qornoq 1927 / Greenland zone 1 east (deprecated)Unable to translate coordinate system EPSG:2297 into PROJ.4 format.</t>
  </si>
  <si>
    <t>Qornoq 1927 / Greenland zone 2 east (deprecated)Unable to translate coordinate system EPSG:2298 into PROJ.4 format.</t>
  </si>
  <si>
    <t>Qornoq 1927 / Greenland zone 2 westUnable to translate coordinate system EPSG:2299 into PROJ.4 format.</t>
  </si>
  <si>
    <t>Qornoq 1927 / Greenland zone 3 east (deprecated)Unable to translate coordinate system EPSG:2300 into PROJ.4 format.</t>
  </si>
  <si>
    <t>Qornoq 1927 / Greenland zone 3 westUnable to translate coordinate system EPSG:2301 into PROJ.4 format.</t>
  </si>
  <si>
    <t>Qornoq 1927 / Greenland zone 4 east (deprecated)Unable to translate coordinate system EPSG:2302 into PROJ.4 format.</t>
  </si>
  <si>
    <t>Qornoq 1927 / Greenland zone 4 westUnable to translate coordinate system EPSG:2303 into PROJ.4 format.</t>
  </si>
  <si>
    <t>Qornoq 1927 / Greenland zone 5 westUnable to translate coordinate system EPSG:2304 into PROJ.4 format.</t>
  </si>
  <si>
    <t>Qornoq 1927 / Greenland zone 6 westUnable to translate coordinate system EPSG:2305 into PROJ.4 format.</t>
  </si>
  <si>
    <t>Qornoq 1927 / Greenland zone 7 westUnable to translate coordinate system EPSG:2306 into PROJ.4 format.</t>
  </si>
  <si>
    <t>Qornoq 1927 / Greenland zone 8 eastUnable to translate coordinate system EPSG:2307 into PROJ.4 format.</t>
  </si>
  <si>
    <t>Batavia / TM 109 SE</t>
  </si>
  <si>
    <t>WGS 84 / TM 116 SE</t>
  </si>
  <si>
    <t>WGS 84 / TM 132 SE</t>
  </si>
  <si>
    <t>WGS 84 / TM 6 NE</t>
  </si>
  <si>
    <t>Garoua / UTM zone 33N</t>
  </si>
  <si>
    <t>Kousseri / UTM zone 33N</t>
  </si>
  <si>
    <t>Trinidad 1903 / Trinidad Grid (ftCla)</t>
  </si>
  <si>
    <t>Campo Inchauspe / UTM zone 19S</t>
  </si>
  <si>
    <t>Campo Inchauspe / UTM zone 20S</t>
  </si>
  <si>
    <t>PSAD56 / ICN Regional</t>
  </si>
  <si>
    <t>Ain el Abd / Aramco Lambert</t>
  </si>
  <si>
    <t>ED50 / TM27</t>
  </si>
  <si>
    <t>ED50 / TM30</t>
  </si>
  <si>
    <t>ED50 / TM33</t>
  </si>
  <si>
    <t>ED50 / TM36</t>
  </si>
  <si>
    <t>ED50 / TM39</t>
  </si>
  <si>
    <t>ED50 / TM42</t>
  </si>
  <si>
    <t>ED50 / TM45</t>
  </si>
  <si>
    <t>Hong Kong 1980 Grid System</t>
  </si>
  <si>
    <t>Xian 1980 / Gauss-Kruger zone 13</t>
  </si>
  <si>
    <t>Xian 1980 / Gauss-Kruger zone 14</t>
  </si>
  <si>
    <t>Xian 1980 / Gauss-Kruger zone 15</t>
  </si>
  <si>
    <t>Xian 1980 / Gauss-Kruger zone 16</t>
  </si>
  <si>
    <t>Xian 1980 / Gauss-Kruger zone 17</t>
  </si>
  <si>
    <t>Xian 1980 / Gauss-Kruger zone 18</t>
  </si>
  <si>
    <t>Xian 1980 / Gauss-Kruger zone 19</t>
  </si>
  <si>
    <t>Xian 1980 / Gauss-Kruger zone 20</t>
  </si>
  <si>
    <t>Xian 1980 / Gauss-Kruger zone 21</t>
  </si>
  <si>
    <t>Xian 1980 / Gauss-Kruger zone 22</t>
  </si>
  <si>
    <t>Xian 1980 / Gauss-Kruger zone 23</t>
  </si>
  <si>
    <t>Xian 1980 / Gauss-Kruger CM 75E</t>
  </si>
  <si>
    <t>Xian 1980 / Gauss-Kruger CM 81E</t>
  </si>
  <si>
    <t>Xian 1980 / Gauss-Kruger CM 87E</t>
  </si>
  <si>
    <t>Xian 1980 / Gauss-Kruger CM 93E</t>
  </si>
  <si>
    <t>Xian 1980 / Gauss-Kruger CM 99E</t>
  </si>
  <si>
    <t>Xian 1980 / Gauss-Kruger CM 105E</t>
  </si>
  <si>
    <t>Xian 1980 / Gauss-Kruger CM 111E</t>
  </si>
  <si>
    <t>Xian 1980 / Gauss-Kruger CM 117E</t>
  </si>
  <si>
    <t>Xian 1980 / Gauss-Kruger CM 123E</t>
  </si>
  <si>
    <t>Xian 1980 / Gauss-Kruger CM 129E</t>
  </si>
  <si>
    <t>Xian 1980 / Gauss-Kruger CM 135E</t>
  </si>
  <si>
    <t>Xian 1980 / 3-degree Gauss-Kruger zone 25</t>
  </si>
  <si>
    <t>Xian 1980 / 3-degree Gauss-Kruger zone 26</t>
  </si>
  <si>
    <t>Xian 1980 / 3-degree Gauss-Kruger zone 27</t>
  </si>
  <si>
    <t>Xian 1980 / 3-degree Gauss-Kruger zone 28</t>
  </si>
  <si>
    <t>Xian 1980 / 3-degree Gauss-Kruger zone 29</t>
  </si>
  <si>
    <t>Xian 1980 / 3-degree Gauss-Kruger zone 30</t>
  </si>
  <si>
    <t>Xian 1980 / 3-degree Gauss-Kruger zone 31</t>
  </si>
  <si>
    <t>Xian 1980 / 3-degree Gauss-Kruger zone 32</t>
  </si>
  <si>
    <t>Xian 1980 / 3-degree Gauss-Kruger zone 33</t>
  </si>
  <si>
    <t>Xian 1980 / 3-degree Gauss-Kruger zone 34</t>
  </si>
  <si>
    <t>Xian 1980 / 3-degree Gauss-Kruger zone 35</t>
  </si>
  <si>
    <t>Xian 1980 / 3-degree Gauss-Kruger zone 36</t>
  </si>
  <si>
    <t>Xian 1980 / 3-degree Gauss-Kruger zone 37</t>
  </si>
  <si>
    <t>Xian 1980 / 3-degree Gauss-Kruger zone 38</t>
  </si>
  <si>
    <t>Xian 1980 / 3-degree Gauss-Kruger zone 39</t>
  </si>
  <si>
    <t>Xian 1980 / 3-degree Gauss-Kruger zone 40</t>
  </si>
  <si>
    <t>Xian 1980 / 3-degree Gauss-Kruger zone 41</t>
  </si>
  <si>
    <t>Xian 1980 / 3-degree Gauss-Kruger zone 42</t>
  </si>
  <si>
    <t>Xian 1980 / 3-degree Gauss-Kruger zone 43</t>
  </si>
  <si>
    <t>Xian 1980 / 3-degree Gauss-Kruger zone 44</t>
  </si>
  <si>
    <t>Xian 1980 / 3-degree Gauss-Kruger zone 45</t>
  </si>
  <si>
    <t>Xian 1980 / 3-degree Gauss-Kruger CM 75E</t>
  </si>
  <si>
    <t>Xian 1980 / 3-degree Gauss-Kruger CM 78E</t>
  </si>
  <si>
    <t>Xian 1980 / 3-degree Gauss-Kruger CM 81E</t>
  </si>
  <si>
    <t>Xian 1980 / 3-degree Gauss-Kruger CM 84E</t>
  </si>
  <si>
    <t>Xian 1980 / 3-degree Gauss-Kruger CM 87E</t>
  </si>
  <si>
    <t>Xian 1980 / 3-degree Gauss-Kruger CM 90E</t>
  </si>
  <si>
    <t>Xian 1980 / 3-degree Gauss-Kruger CM 93E</t>
  </si>
  <si>
    <t>Xian 1980 / 3-degree Gauss-Kruger CM 96E</t>
  </si>
  <si>
    <t>Xian 1980 / 3-degree Gauss-Kruger CM 99E</t>
  </si>
  <si>
    <t>Xian 1980 / 3-degree Gauss-Kruger CM 102E</t>
  </si>
  <si>
    <t>Xian 1980 / 3-degree Gauss-Kruger CM 105E</t>
  </si>
  <si>
    <t>Xian 1980 / 3-degree Gauss-Kruger CM 108E</t>
  </si>
  <si>
    <t>Xian 1980 / 3-degree Gauss-Kruger CM 111E</t>
  </si>
  <si>
    <t>Xian 1980 / 3-degree Gauss-Kruger CM 114E</t>
  </si>
  <si>
    <t>Xian 1980 / 3-degree Gauss-Kruger CM 117E</t>
  </si>
  <si>
    <t>Xian 1980 / 3-degree Gauss-Kruger CM 120E</t>
  </si>
  <si>
    <t>Xian 1980 / 3-degree Gauss-Kruger CM 123E</t>
  </si>
  <si>
    <t>Xian 1980 / 3-degree Gauss-Kruger CM 126E</t>
  </si>
  <si>
    <t>Xian 1980 / 3-degree Gauss-Kruger CM 129E</t>
  </si>
  <si>
    <t>Xian 1980 / 3-degree Gauss-Kruger CM 132E</t>
  </si>
  <si>
    <t>Xian 1980 / 3-degree Gauss-Kruger CM 135E</t>
  </si>
  <si>
    <t>KKJ / Finland zone 1</t>
  </si>
  <si>
    <t>KKJ / Finland zone 2</t>
  </si>
  <si>
    <t>KKJ / Finland Uniform Coordinate System</t>
  </si>
  <si>
    <t>KKJ / Finland zone 4</t>
  </si>
  <si>
    <t>South Yemen / Gauss-Kruger zone 8</t>
  </si>
  <si>
    <t>South Yemen / Gauss-Kruger zone 9</t>
  </si>
  <si>
    <t>Pulkovo 1942(83) / 3-degree Gauss-Kruger zone 3</t>
  </si>
  <si>
    <t>Pulkovo 1942(83) / 3-degree Gauss-Kruger zone 4</t>
  </si>
  <si>
    <t>Pulkovo 1942(83) / 3-degree Gauss-Kruger zone 5</t>
  </si>
  <si>
    <t>RT90 2.5 gon W (deprecated)</t>
  </si>
  <si>
    <t>Beijing 1954 / 3-degree Gauss-Kruger zone 25</t>
  </si>
  <si>
    <t>Beijing 1954 / 3-degree Gauss-Kruger zone 26</t>
  </si>
  <si>
    <t>Beijing 1954 / 3-degree Gauss-Kruger zone 27</t>
  </si>
  <si>
    <t>Beijing 1954 / 3-degree Gauss-Kruger zone 28</t>
  </si>
  <si>
    <t>Beijing 1954 / 3-degree Gauss-Kruger zone 29</t>
  </si>
  <si>
    <t>Beijing 1954 / 3-degree Gauss-Kruger zone 30</t>
  </si>
  <si>
    <t>Beijing 1954 / 3-degree Gauss-Kruger zone 31</t>
  </si>
  <si>
    <t>Beijing 1954 / 3-degree Gauss-Kruger zone 32</t>
  </si>
  <si>
    <t>Beijing 1954 / 3-degree Gauss-Kruger zone 33</t>
  </si>
  <si>
    <t>Beijing 1954 / 3-degree Gauss-Kruger zone 34</t>
  </si>
  <si>
    <t>Beijing 1954 / 3-degree Gauss-Kruger zone 35</t>
  </si>
  <si>
    <t>Beijing 1954 / 3-degree Gauss-Kruger zone 36</t>
  </si>
  <si>
    <t>Beijing 1954 / 3-degree Gauss-Kruger zone 37</t>
  </si>
  <si>
    <t>Beijing 1954 / 3-degree Gauss-Kruger zone 38</t>
  </si>
  <si>
    <t>Beijing 1954 / 3-degree Gauss-Kruger zone 39</t>
  </si>
  <si>
    <t>Beijing 1954 / 3-degree Gauss-Kruger zone 40</t>
  </si>
  <si>
    <t>Beijing 1954 / 3-degree Gauss-Kruger zone 41</t>
  </si>
  <si>
    <t>Beijing 1954 / 3-degree Gauss-Kruger zone 42</t>
  </si>
  <si>
    <t>Beijing 1954 / 3-degree Gauss-Kruger zone 43</t>
  </si>
  <si>
    <t>Beijing 1954 / 3-degree Gauss-Kruger zone 44</t>
  </si>
  <si>
    <t>Beijing 1954 / 3-degree Gauss-Kruger zone 45</t>
  </si>
  <si>
    <t>Beijing 1954 / 3-degree Gauss-Kruger CM 75E</t>
  </si>
  <si>
    <t>Beijing 1954 / 3-degree Gauss-Kruger CM 78E</t>
  </si>
  <si>
    <t>Beijing 1954 / 3-degree Gauss-Kruger CM 81E</t>
  </si>
  <si>
    <t>Beijing 1954 / 3-degree Gauss-Kruger CM 84E</t>
  </si>
  <si>
    <t>Beijing 1954 / 3-degree Gauss-Kruger CM 87E</t>
  </si>
  <si>
    <t>Beijing 1954 / 3-degree Gauss-Kruger CM 90E</t>
  </si>
  <si>
    <t>Beijing 1954 / 3-degree Gauss-Kruger CM 93E</t>
  </si>
  <si>
    <t>Beijing 1954 / 3-degree Gauss-Kruger CM 96E</t>
  </si>
  <si>
    <t>Beijing 1954 / 3-degree Gauss-Kruger CM 99E</t>
  </si>
  <si>
    <t>Beijing 1954 / 3-degree Gauss-Kruger CM 102E</t>
  </si>
  <si>
    <t>Beijing 1954 / 3-degree Gauss-Kruger CM 105E</t>
  </si>
  <si>
    <t>Beijing 1954 / 3-degree Gauss-Kruger CM 108E</t>
  </si>
  <si>
    <t>Beijing 1954 / 3-degree Gauss-Kruger CM 111E</t>
  </si>
  <si>
    <t>Beijing 1954 / 3-degree Gauss-Kruger CM 114E</t>
  </si>
  <si>
    <t>Beijing 1954 / 3-degree Gauss-Kruger CM 117E</t>
  </si>
  <si>
    <t>Beijing 1954 / 3-degree Gauss-Kruger CM 120E</t>
  </si>
  <si>
    <t>Beijing 1954 / 3-degree Gauss-Kruger CM 123E</t>
  </si>
  <si>
    <t>Beijing 1954 / 3-degree Gauss-Kruger CM 126E</t>
  </si>
  <si>
    <t>Beijing 1954 / 3-degree Gauss-Kruger CM 129E</t>
  </si>
  <si>
    <t>Beijing 1954 / 3-degree Gauss-Kruger CM 132E</t>
  </si>
  <si>
    <t>Beijing 1954 / 3-degree Gauss-Kruger CM 135E</t>
  </si>
  <si>
    <t>JGD2000 / Japan Plane Rectangular CS I</t>
  </si>
  <si>
    <t>JGD2000 / Japan Plane Rectangular CS II</t>
  </si>
  <si>
    <t>JGD2000 / Japan Plane Rectangular CS III</t>
  </si>
  <si>
    <t>JGD2000 / Japan Plane Rectangular CS IV</t>
  </si>
  <si>
    <t>JGD2000 / Japan Plane Rectangular CS V</t>
  </si>
  <si>
    <t>JGD2000 / Japan Plane Rectangular CS VI</t>
  </si>
  <si>
    <t>JGD2000 / Japan Plane Rectangular CS VII</t>
  </si>
  <si>
    <t>JGD2000 / Japan Plane Rectangular CS VIII</t>
  </si>
  <si>
    <t>JGD2000 / Japan Plane Rectangular CS IX</t>
  </si>
  <si>
    <t>JGD2000 / Japan Plane Rectangular CS X</t>
  </si>
  <si>
    <t>JGD2000 / Japan Plane Rectangular CS XI</t>
  </si>
  <si>
    <t>JGD2000 / Japan Plane Rectangular CS XII</t>
  </si>
  <si>
    <t>JGD2000 / Japan Plane Rectangular CS XIII</t>
  </si>
  <si>
    <t>JGD2000 / Japan Plane Rectangular CS XIV</t>
  </si>
  <si>
    <t>JGD2000 / Japan Plane Rectangular CS XV</t>
  </si>
  <si>
    <t>JGD2000 / Japan Plane Rectangular CS XVI</t>
  </si>
  <si>
    <t>JGD2000 / Japan Plane Rectangular CS XVII</t>
  </si>
  <si>
    <t>JGD2000 / Japan Plane Rectangular CS XVIII</t>
  </si>
  <si>
    <t>JGD2000 / Japan Plane Rectangular CS XIX</t>
  </si>
  <si>
    <t>Albanian 1987 / Gauss-Kruger zone 4</t>
  </si>
  <si>
    <t>Pulkovo 1995 / Gauss-Kruger CM 21E</t>
  </si>
  <si>
    <t>Pulkovo 1995 / Gauss-Kruger CM 27E</t>
  </si>
  <si>
    <t>Pulkovo 1995 / Gauss-Kruger CM 33E</t>
  </si>
  <si>
    <t>Pulkovo 1995 / Gauss-Kruger CM 39E</t>
  </si>
  <si>
    <t>Pulkovo 1995 / Gauss-Kruger CM 45E</t>
  </si>
  <si>
    <t>Pulkovo 1995 / Gauss-Kruger CM 51E</t>
  </si>
  <si>
    <t>Pulkovo 1995 / Gauss-Kruger CM 57E</t>
  </si>
  <si>
    <t>Pulkovo 1995 / Gauss-Kruger CM 63E</t>
  </si>
  <si>
    <t>Pulkovo 1995 / Gauss-Kruger CM 69E</t>
  </si>
  <si>
    <t>Pulkovo 1995 / Gauss-Kruger CM 75E</t>
  </si>
  <si>
    <t>Pulkovo 1995 / Gauss-Kruger CM 81E</t>
  </si>
  <si>
    <t>Pulkovo 1995 / Gauss-Kruger CM 87E</t>
  </si>
  <si>
    <t>Pulkovo 1995 / Gauss-Kruger CM 93E</t>
  </si>
  <si>
    <t>Pulkovo 1995 / Gauss-Kruger CM 99E</t>
  </si>
  <si>
    <t>Pulkovo 1995 / Gauss-Kruger CM 105E</t>
  </si>
  <si>
    <t>Pulkovo 1995 / Gauss-Kruger CM 111E</t>
  </si>
  <si>
    <t>Pulkovo 1995 / Gauss-Kruger CM 117E</t>
  </si>
  <si>
    <t>Pulkovo 1995 / Gauss-Kruger CM 123E</t>
  </si>
  <si>
    <t>Pulkovo 1995 / Gauss-Kruger CM 129E</t>
  </si>
  <si>
    <t>Pulkovo 1995 / Gauss-Kruger CM 135E</t>
  </si>
  <si>
    <t>Pulkovo 1995 / Gauss-Kruger CM 141E</t>
  </si>
  <si>
    <t>Pulkovo 1995 / Gauss-Kruger CM 147E</t>
  </si>
  <si>
    <t>Pulkovo 1995 / Gauss-Kruger CM 153E</t>
  </si>
  <si>
    <t>Pulkovo 1995 / Gauss-Kruger CM 159E</t>
  </si>
  <si>
    <t>Pulkovo 1995 / Gauss-Kruger CM 165E</t>
  </si>
  <si>
    <t>Pulkovo 1995 / Gauss-Kruger CM 171E</t>
  </si>
  <si>
    <t>Pulkovo 1995 / Gauss-Kruger CM 177E</t>
  </si>
  <si>
    <t>Pulkovo 1995 / Gauss-Kruger CM 177W</t>
  </si>
  <si>
    <t>Pulkovo 1995 / Gauss-Kruger CM 171W</t>
  </si>
  <si>
    <t>Pulkovo 1942 / Gauss-Kruger CM 9E (deprecated)</t>
  </si>
  <si>
    <t>Pulkovo 1942 / Gauss-Kruger CM 15E (deprecated)</t>
  </si>
  <si>
    <t>Pulkovo 1942 / Gauss-Kruger CM 21E</t>
  </si>
  <si>
    <t>Pulkovo 1942 / Gauss-Kruger CM 27E</t>
  </si>
  <si>
    <t>Pulkovo 1942 / Gauss-Kruger CM 33E</t>
  </si>
  <si>
    <t>Pulkovo 1942 / Gauss-Kruger CM 39E</t>
  </si>
  <si>
    <t>Pulkovo 1942 / Gauss-Kruger CM 45E</t>
  </si>
  <si>
    <t>Pulkovo 1942 / Gauss-Kruger CM 51E</t>
  </si>
  <si>
    <t>Pulkovo 1942 / Gauss-Kruger CM 57E</t>
  </si>
  <si>
    <t>Pulkovo 1942 / Gauss-Kruger CM 63E</t>
  </si>
  <si>
    <t>Pulkovo 1942 / Gauss-Kruger CM 69E</t>
  </si>
  <si>
    <t>Pulkovo 1942 / Gauss-Kruger CM 75E</t>
  </si>
  <si>
    <t>Pulkovo 1942 / Gauss-Kruger CM 81E</t>
  </si>
  <si>
    <t>Pulkovo 1942 / Gauss-Kruger CM 87E</t>
  </si>
  <si>
    <t>Pulkovo 1942 / Gauss-Kruger CM 93E</t>
  </si>
  <si>
    <t>Pulkovo 1942 / Gauss-Kruger CM 99E</t>
  </si>
  <si>
    <t>Pulkovo 1942 / Gauss-Kruger CM 105E</t>
  </si>
  <si>
    <t>Pulkovo 1942 / Gauss-Kruger CM 111E</t>
  </si>
  <si>
    <t>Pulkovo 1942 / Gauss-Kruger CM 117E</t>
  </si>
  <si>
    <t>Pulkovo 1942 / Gauss-Kruger CM 123E</t>
  </si>
  <si>
    <t>Pulkovo 1942 / Gauss-Kruger CM 129E</t>
  </si>
  <si>
    <t>Pulkovo 1942 / Gauss-Kruger CM 135E</t>
  </si>
  <si>
    <t>Pulkovo 1942 / Gauss-Kruger CM 141E</t>
  </si>
  <si>
    <t>Pulkovo 1942 / Gauss-Kruger CM 147E</t>
  </si>
  <si>
    <t>Pulkovo 1942 / Gauss-Kruger CM 153E</t>
  </si>
  <si>
    <t>Pulkovo 1942 / Gauss-Kruger CM 159E</t>
  </si>
  <si>
    <t>Pulkovo 1942 / Gauss-Kruger CM 165E</t>
  </si>
  <si>
    <t>Pulkovo 1942 / Gauss-Kruger CM 171E</t>
  </si>
  <si>
    <t>Pulkovo 1942 / Gauss-Kruger CM 177E</t>
  </si>
  <si>
    <t>Pulkovo 1942 / Gauss-Kruger CM 177W</t>
  </si>
  <si>
    <t>Pulkovo 1942 / Gauss-Kruger CM 171W</t>
  </si>
  <si>
    <t>Pulkovo 1942 / 3-degree Gauss-Kruger zone 7</t>
  </si>
  <si>
    <t>Pulkovo 1942 / 3-degree Gauss-Kruger zone 8</t>
  </si>
  <si>
    <t>Pulkovo 1942 / 3-degree Gauss-Kruger zone 9</t>
  </si>
  <si>
    <t>Pulkovo 1942 / 3-degree Gauss-Kruger zone 10</t>
  </si>
  <si>
    <t>Pulkovo 1942 / 3-degree Gauss-Kruger zone 11</t>
  </si>
  <si>
    <t>Pulkovo 1942 / 3-degree Gauss-Kruger zone 12</t>
  </si>
  <si>
    <t>Pulkovo 1942 / 3-degree Gauss-Kruger zone 13</t>
  </si>
  <si>
    <t>Pulkovo 1942 / 3-degree Gauss-Kruger zone 14</t>
  </si>
  <si>
    <t>Pulkovo 1942 / 3-degree Gauss-Kruger zone 15</t>
  </si>
  <si>
    <t>Pulkovo 1942 / 3-degree Gauss-Kruger zone 16</t>
  </si>
  <si>
    <t>Pulkovo 1942 / 3-degree Gauss-Kruger zone 17</t>
  </si>
  <si>
    <t>Pulkovo 1942 / 3-degree Gauss-Kruger zone 18</t>
  </si>
  <si>
    <t>Pulkovo 1942 / 3-degree Gauss-Kruger zone 19</t>
  </si>
  <si>
    <t>Pulkovo 1942 / 3-degree Gauss-Kruger zone 20</t>
  </si>
  <si>
    <t>Pulkovo 1942 / 3-degree Gauss-Kruger zone 21</t>
  </si>
  <si>
    <t>Pulkovo 1942 / 3-degree Gauss-Kruger zone 22</t>
  </si>
  <si>
    <t>Pulkovo 1942 / 3-degree Gauss-Kruger zone 23</t>
  </si>
  <si>
    <t>Pulkovo 1942 / 3-degree Gauss-Kruger zone 24</t>
  </si>
  <si>
    <t>Pulkovo 1942 / 3-degree Gauss-Kruger zone 25</t>
  </si>
  <si>
    <t>Pulkovo 1942 / 3-degree Gauss-Kruger zone 26</t>
  </si>
  <si>
    <t>Pulkovo 1942 / 3-degree Gauss-Kruger zone 27</t>
  </si>
  <si>
    <t>Pulkovo 1942 / 3-degree Gauss-Kruger zone 28</t>
  </si>
  <si>
    <t>Pulkovo 1942 / 3-degree Gauss-Kruger zone 29</t>
  </si>
  <si>
    <t>Pulkovo 1942 / 3-degree Gauss-Kruger zone 30</t>
  </si>
  <si>
    <t>Pulkovo 1942 / 3-degree Gauss-Kruger zone 31</t>
  </si>
  <si>
    <t>Pulkovo 1942 / 3-degree Gauss-Kruger zone 32</t>
  </si>
  <si>
    <t>Pulkovo 1942 / 3-degree Gauss-Kruger zone 33</t>
  </si>
  <si>
    <t>Samboja / UTM zone 50S (deprecated)</t>
  </si>
  <si>
    <t>Pulkovo 1942 / 3-degree Gauss-Kruger zone 34</t>
  </si>
  <si>
    <t>Pulkovo 1942 / 3-degree Gauss-Kruger zone 35</t>
  </si>
  <si>
    <t>Pulkovo 1942 / 3-degree Gauss-Kruger zone 36</t>
  </si>
  <si>
    <t>Pulkovo 1942 / 3-degree Gauss-Kruger zone 37</t>
  </si>
  <si>
    <t>Pulkovo 1942 / 3-degree Gauss-Kruger zone 38</t>
  </si>
  <si>
    <t>Pulkovo 1942 / 3-degree Gauss-Kruger zone 39</t>
  </si>
  <si>
    <t>Pulkovo 1942 / 3-degree Gauss-Kruger zone 40</t>
  </si>
  <si>
    <t>Pulkovo 1942 / 3-degree Gauss-Kruger zone 41</t>
  </si>
  <si>
    <t>Pulkovo 1942 / 3-degree Gauss-Kruger zone 42</t>
  </si>
  <si>
    <t>Pulkovo 1942 / 3-degree Gauss-Kruger zone 43</t>
  </si>
  <si>
    <t>Pulkovo 1942 / 3-degree Gauss-Kruger zone 44</t>
  </si>
  <si>
    <t>Pulkovo 1942 / 3-degree Gauss-Kruger zone 45</t>
  </si>
  <si>
    <t>Pulkovo 1942 / 3-degree Gauss-Kruger zone 46</t>
  </si>
  <si>
    <t>Pulkovo 1942 / 3-degree Gauss-Kruger zone 47</t>
  </si>
  <si>
    <t>Pulkovo 1942 / 3-degree Gauss-Kruger zone 48</t>
  </si>
  <si>
    <t>Pulkovo 1942 / 3-degree Gauss-Kruger zone 49</t>
  </si>
  <si>
    <t>Pulkovo 1942 / 3-degree Gauss-Kruger zone 50</t>
  </si>
  <si>
    <t>Pulkovo 1942 / 3-degree Gauss-Kruger zone 51</t>
  </si>
  <si>
    <t>Pulkovo 1942 / 3-degree Gauss-Kruger zone 52</t>
  </si>
  <si>
    <t>Pulkovo 1942 / 3-degree Gauss-Kruger zone 53</t>
  </si>
  <si>
    <t>Pulkovo 1942 / 3-degree Gauss-Kruger zone 54</t>
  </si>
  <si>
    <t>Pulkovo 1942 / 3-degree Gauss-Kruger zone 55</t>
  </si>
  <si>
    <t>Pulkovo 1942 / 3-degree Gauss-Kruger zone 56</t>
  </si>
  <si>
    <t>Pulkovo 1942 / 3-degree Gauss-Kruger zone 57</t>
  </si>
  <si>
    <t>Pulkovo 1942 / 3-degree Gauss-Kruger zone 58</t>
  </si>
  <si>
    <t>Pulkovo 1942 / 3-degree Gauss-Kruger zone 59</t>
  </si>
  <si>
    <t>Pulkovo 1942 / 3-degree Gauss-Kruger zone 60 (deprecated)</t>
  </si>
  <si>
    <t>Pulkovo 1942 / 3-degree Gauss-Kruger zone 61</t>
  </si>
  <si>
    <t>Pulkovo 1942 / 3-degree Gauss-Kruger zone 62</t>
  </si>
  <si>
    <t>Pulkovo 1942 / 3-degree Gauss-Kruger zone 63</t>
  </si>
  <si>
    <t>Pulkovo 1942 / 3-degree Gauss-Kruger zone 64</t>
  </si>
  <si>
    <t>Pulkovo 1942 / 3-degree Gauss-Kruger CM 21E</t>
  </si>
  <si>
    <t>Pulkovo 1942 / 3-degree Gauss-Kruger CM 24E</t>
  </si>
  <si>
    <t>Pulkovo 1942 / 3-degree Gauss-Kruger CM 27E</t>
  </si>
  <si>
    <t>Pulkovo 1942 / 3-degree Gauss-Kruger CM 30E</t>
  </si>
  <si>
    <t>Pulkovo 1942 / 3-degree Gauss-Kruger CM 33E</t>
  </si>
  <si>
    <t>Pulkovo 1942 / 3-degree Gauss-Kruger CM 36E</t>
  </si>
  <si>
    <t>Pulkovo 1942 / 3-degree Gauss-Kruger CM 39E</t>
  </si>
  <si>
    <t>Pulkovo 1942 / 3-degree Gauss-Kruger CM 42E</t>
  </si>
  <si>
    <t>Pulkovo 1942 / 3-degree Gauss-Kruger CM 45E</t>
  </si>
  <si>
    <t>Pulkovo 1942 / 3-degree Gauss-Kruger CM 48E</t>
  </si>
  <si>
    <t>Pulkovo 1942 / 3-degree Gauss-Kruger CM 51E</t>
  </si>
  <si>
    <t>Pulkovo 1942 / 3-degree Gauss-Kruger CM 54E</t>
  </si>
  <si>
    <t>Pulkovo 1942 / 3-degree Gauss-Kruger CM 57E</t>
  </si>
  <si>
    <t>Pulkovo 1942 / 3-degree Gauss-Kruger CM 60E</t>
  </si>
  <si>
    <t>Pulkovo 1942 / 3-degree Gauss-Kruger CM 63E</t>
  </si>
  <si>
    <t>Pulkovo 1942 / 3-degree Gauss-Kruger CM 66E</t>
  </si>
  <si>
    <t>Pulkovo 1942 / 3-degree Gauss-Kruger CM 69E</t>
  </si>
  <si>
    <t>Pulkovo 1942 / 3-degree Gauss-Kruger CM 72E</t>
  </si>
  <si>
    <t>Lietuvos Koordinoei Sistema 1994 (deprecated)</t>
  </si>
  <si>
    <t>Pulkovo 1942 / 3-degree Gauss-Kruger CM 75E</t>
  </si>
  <si>
    <t>Pulkovo 1942 / 3-degree Gauss-Kruger CM 78E</t>
  </si>
  <si>
    <t>Pulkovo 1942 / 3-degree Gauss-Kruger CM 81E</t>
  </si>
  <si>
    <t>Pulkovo 1942 / 3-degree Gauss-Kruger CM 84E</t>
  </si>
  <si>
    <t>Pulkovo 1942 / 3-degree Gauss-Kruger CM 87E</t>
  </si>
  <si>
    <t>Pulkovo 1942 / 3-degree Gauss-Kruger CM 90E</t>
  </si>
  <si>
    <t>Pulkovo 1942 / 3-degree Gauss-Kruger CM 93E</t>
  </si>
  <si>
    <t>Pulkovo 1942 / 3-degree Gauss-Kruger CM 96E</t>
  </si>
  <si>
    <t>Pulkovo 1942 / 3-degree Gauss-Kruger CM 99E</t>
  </si>
  <si>
    <t>Pulkovo 1942 / 3-degree Gauss-Kruger CM 102E</t>
  </si>
  <si>
    <t>Pulkovo 1942 / 3-degree Gauss-Kruger CM 105E</t>
  </si>
  <si>
    <t>Pulkovo 1942 / 3-degree Gauss-Kruger CM 108E</t>
  </si>
  <si>
    <t>Pulkovo 1942 / 3-degree Gauss-Kruger CM 111E</t>
  </si>
  <si>
    <t>Pulkovo 1942 / 3-degree Gauss-Kruger CM 114E</t>
  </si>
  <si>
    <t>Pulkovo 1942 / 3-degree Gauss-Kruger CM 117E</t>
  </si>
  <si>
    <t>Pulkovo 1942 / 3-degree Gauss-Kruger CM 120E</t>
  </si>
  <si>
    <t>Pulkovo 1942 / 3-degree Gauss-Kruger CM 123E</t>
  </si>
  <si>
    <t>Pulkovo 1942 / 3-degree Gauss-Kruger CM 126E</t>
  </si>
  <si>
    <t>Pulkovo 1942 / 3-degree Gauss-Kruger CM 129E</t>
  </si>
  <si>
    <t>Pulkovo 1942 / 3-degree Gauss-Kruger CM 132E</t>
  </si>
  <si>
    <t>Pulkovo 1942 / 3-degree Gauss-Kruger CM 135E</t>
  </si>
  <si>
    <t>Pulkovo 1942 / 3-degree Gauss-Kruger CM 138E</t>
  </si>
  <si>
    <t>Pulkovo 1942 / 3-degree Gauss-Kruger CM 141E</t>
  </si>
  <si>
    <t>Pulkovo 1942 / 3-degree Gauss-Kruger CM 144E</t>
  </si>
  <si>
    <t>Pulkovo 1942 / 3-degree Gauss-Kruger CM 147E</t>
  </si>
  <si>
    <t>Pulkovo 1942 / 3-degree Gauss-Kruger CM 150E</t>
  </si>
  <si>
    <t>Pulkovo 1942 / 3-degree Gauss-Kruger CM 153E</t>
  </si>
  <si>
    <t>Pulkovo 1942 / 3-degree Gauss-Kruger CM 156E</t>
  </si>
  <si>
    <t>Pulkovo 1942 / 3-degree Gauss-Kruger CM 159E</t>
  </si>
  <si>
    <t>Pulkovo 1942 / 3-degree Gauss-Kruger CM 162E</t>
  </si>
  <si>
    <t>Pulkovo 1942 / 3-degree Gauss-Kruger CM 165E</t>
  </si>
  <si>
    <t>Pulkovo 1942 / 3-degree Gauss-Kruger CM 168E</t>
  </si>
  <si>
    <t>Pulkovo 1942 / 3-degree Gauss-Kruger CM 171E</t>
  </si>
  <si>
    <t>Pulkovo 1942 / 3-degree Gauss-Kruger CM 174E</t>
  </si>
  <si>
    <t>Pulkovo 1942 / 3-degree Gauss-Kruger CM 177E</t>
  </si>
  <si>
    <t>Pulkovo 1942 / 3-degree Gauss-Kruger CM 180E</t>
  </si>
  <si>
    <t>Pulkovo 1942 / 3-degree Gauss-Kruger CM 177W</t>
  </si>
  <si>
    <t>Pulkovo 1942 / 3-degree Gauss-Kruger CM 174W</t>
  </si>
  <si>
    <t>Pulkovo 1942 / 3-degree Gauss-Kruger CM 171W</t>
  </si>
  <si>
    <t>Pulkovo 1942 / 3-degree Gauss-Kruger CM 168W</t>
  </si>
  <si>
    <t>Pulkovo 1995 / 3-degree Gauss-Kruger zone 7</t>
  </si>
  <si>
    <t>Pulkovo 1995 / 3-degree Gauss-Kruger zone 8</t>
  </si>
  <si>
    <t>Pulkovo 1995 / 3-degree Gauss-Kruger zone 9</t>
  </si>
  <si>
    <t>Pulkovo 1995 / 3-degree Gauss-Kruger zone 10</t>
  </si>
  <si>
    <t>Pulkovo 1995 / 3-degree Gauss-Kruger zone 11</t>
  </si>
  <si>
    <t>Pulkovo 1995 / 3-degree Gauss-Kruger zone 12</t>
  </si>
  <si>
    <t>Pulkovo 1995 / 3-degree Gauss-Kruger zone 13</t>
  </si>
  <si>
    <t>Pulkovo 1995 / 3-degree Gauss-Kruger zone 14</t>
  </si>
  <si>
    <t>Pulkovo 1995 / 3-degree Gauss-Kruger zone 15</t>
  </si>
  <si>
    <t>Pulkovo 1995 / 3-degree Gauss-Kruger zone 16</t>
  </si>
  <si>
    <t>Pulkovo 1995 / 3-degree Gauss-Kruger zone 17</t>
  </si>
  <si>
    <t>Pulkovo 1995 / 3-degree Gauss-Kruger zone 18</t>
  </si>
  <si>
    <t>Pulkovo 1995 / 3-degree Gauss-Kruger zone 19</t>
  </si>
  <si>
    <t>Pulkovo 1995 / 3-degree Gauss-Kruger zone 20</t>
  </si>
  <si>
    <t>Pulkovo 1995 / 3-degree Gauss-Kruger zone 21</t>
  </si>
  <si>
    <t>Pulkovo 1995 / 3-degree Gauss-Kruger zone 22</t>
  </si>
  <si>
    <t>Pulkovo 1995 / 3-degree Gauss-Kruger zone 23</t>
  </si>
  <si>
    <t>Pulkovo 1995 / 3-degree Gauss-Kruger zone 24</t>
  </si>
  <si>
    <t>Pulkovo 1995 / 3-degree Gauss-Kruger zone 25</t>
  </si>
  <si>
    <t>Pulkovo 1995 / 3-degree Gauss-Kruger zone 26</t>
  </si>
  <si>
    <t>Pulkovo 1995 / 3-degree Gauss-Kruger zone 27</t>
  </si>
  <si>
    <t>Pulkovo 1995 / 3-degree Gauss-Kruger zone 28</t>
  </si>
  <si>
    <t>Pulkovo 1995 / 3-degree Gauss-Kruger zone 29</t>
  </si>
  <si>
    <t>Pulkovo 1995 / 3-degree Gauss-Kruger zone 30</t>
  </si>
  <si>
    <t>Pulkovo 1995 / 3-degree Gauss-Kruger zone 31</t>
  </si>
  <si>
    <t>Pulkovo 1995 / 3-degree Gauss-Kruger zone 32</t>
  </si>
  <si>
    <t>Pulkovo 1995 / 3-degree Gauss-Kruger zone 33</t>
  </si>
  <si>
    <t>Pulkovo 1995 / 3-degree Gauss-Kruger zone 34</t>
  </si>
  <si>
    <t>Pulkovo 1995 / 3-degree Gauss-Kruger zone 35</t>
  </si>
  <si>
    <t>Pulkovo 1995 / 3-degree Gauss-Kruger zone 36</t>
  </si>
  <si>
    <t>Pulkovo 1995 / 3-degree Gauss-Kruger zone 37</t>
  </si>
  <si>
    <t>Pulkovo 1995 / 3-degree Gauss-Kruger zone 38</t>
  </si>
  <si>
    <t>Pulkovo 1995 / 3-degree Gauss-Kruger zone 39</t>
  </si>
  <si>
    <t>Pulkovo 1995 / 3-degree Gauss-Kruger zone 40</t>
  </si>
  <si>
    <t>Pulkovo 1995 / 3-degree Gauss-Kruger zone 41</t>
  </si>
  <si>
    <t>Pulkovo 1995 / 3-degree Gauss-Kruger zone 42</t>
  </si>
  <si>
    <t>Pulkovo 1995 / 3-degree Gauss-Kruger zone 43</t>
  </si>
  <si>
    <t>Pulkovo 1995 / 3-degree Gauss-Kruger zone 44</t>
  </si>
  <si>
    <t>Pulkovo 1995 / 3-degree Gauss-Kruger zone 45</t>
  </si>
  <si>
    <t>Pulkovo 1995 / 3-degree Gauss-Kruger zone 46</t>
  </si>
  <si>
    <t>Pulkovo 1995 / 3-degree Gauss-Kruger zone 47</t>
  </si>
  <si>
    <t>Pulkovo 1995 / 3-degree Gauss-Kruger zone 48</t>
  </si>
  <si>
    <t>Pulkovo 1995 / 3-degree Gauss-Kruger zone 49</t>
  </si>
  <si>
    <t>Pulkovo 1995 / 3-degree Gauss-Kruger zone 50</t>
  </si>
  <si>
    <t>Pulkovo 1995 / 3-degree Gauss-Kruger zone 51</t>
  </si>
  <si>
    <t>Pulkovo 1995 / 3-degree Gauss-Kruger zone 52</t>
  </si>
  <si>
    <t>Pulkovo 1995 / 3-degree Gauss-Kruger zone 53</t>
  </si>
  <si>
    <t>Pulkovo 1995 / 3-degree Gauss-Kruger zone 54</t>
  </si>
  <si>
    <t>Pulkovo 1995 / 3-degree Gauss-Kruger zone 55</t>
  </si>
  <si>
    <t>Pulkovo 1995 / 3-degree Gauss-Kruger zone 56</t>
  </si>
  <si>
    <t>Pulkovo 1995 / 3-degree Gauss-Kruger zone 57</t>
  </si>
  <si>
    <t>Pulkovo 1995 / 3-degree Gauss-Kruger zone 58</t>
  </si>
  <si>
    <t>Pulkovo 1995 / 3-degree Gauss-Kruger zone 59</t>
  </si>
  <si>
    <t>Pulkovo 1995 / 3-degree Gauss-Kruger zone 60 (deprecated)</t>
  </si>
  <si>
    <t>Pulkovo 1995 / 3-degree Gauss-Kruger zone 61</t>
  </si>
  <si>
    <t>Pulkovo 1995 / 3-degree Gauss-Kruger zone 62</t>
  </si>
  <si>
    <t>Pulkovo 1995 / 3-degree Gauss-Kruger zone 63</t>
  </si>
  <si>
    <t>Pulkovo 1995 / 3-degree Gauss-Kruger zone 64</t>
  </si>
  <si>
    <t>Pulkovo 1995 / 3-degree Gauss-Kruger CM 21E</t>
  </si>
  <si>
    <t>Pulkovo 1995 / 3-degree Gauss-Kruger CM 24E</t>
  </si>
  <si>
    <t>Pulkovo 1995 / 3-degree Gauss-Kruger CM 27E</t>
  </si>
  <si>
    <t>Pulkovo 1995 / 3-degree Gauss-Kruger CM 30E</t>
  </si>
  <si>
    <t>Pulkovo 1995 / 3-degree Gauss-Kruger CM 33E</t>
  </si>
  <si>
    <t>Pulkovo 1995 / 3-degree Gauss-Kruger CM 36E</t>
  </si>
  <si>
    <t>Pulkovo 1995 / 3-degree Gauss-Kruger CM 39E</t>
  </si>
  <si>
    <t>Pulkovo 1995 / 3-degree Gauss-Kruger CM 42E</t>
  </si>
  <si>
    <t>Pulkovo 1995 / 3-degree Gauss-Kruger CM 45E</t>
  </si>
  <si>
    <t>Pulkovo 1995 / 3-degree Gauss-Kruger CM 48E</t>
  </si>
  <si>
    <t>Pulkovo 1995 / 3-degree Gauss-Kruger CM 51E</t>
  </si>
  <si>
    <t>Pulkovo 1995 / 3-degree Gauss-Kruger CM 54E</t>
  </si>
  <si>
    <t>Pulkovo 1995 / 3-degree Gauss-Kruger CM 57E</t>
  </si>
  <si>
    <t>Pulkovo 1995 / 3-degree Gauss-Kruger CM 60E</t>
  </si>
  <si>
    <t>Pulkovo 1995 / 3-degree Gauss-Kruger CM 63E</t>
  </si>
  <si>
    <t>Pulkovo 1995 / 3-degree Gauss-Kruger CM 66E</t>
  </si>
  <si>
    <t>Pulkovo 1995 / 3-degree Gauss-Kruger CM 69E</t>
  </si>
  <si>
    <t>Pulkovo 1995 / 3-degree Gauss-Kruger CM 72E</t>
  </si>
  <si>
    <t>Pulkovo 1995 / 3-degree Gauss-Kruger CM 75E</t>
  </si>
  <si>
    <t>Pulkovo 1995 / 3-degree Gauss-Kruger CM 78E</t>
  </si>
  <si>
    <t>Pulkovo 1995 / 3-degree Gauss-Kruger CM 81E</t>
  </si>
  <si>
    <t>Pulkovo 1995 / 3-degree Gauss-Kruger CM 84E</t>
  </si>
  <si>
    <t>Pulkovo 1995 / 3-degree Gauss-Kruger CM 87E</t>
  </si>
  <si>
    <t>Pulkovo 1995 / 3-degree Gauss-Kruger CM 90E</t>
  </si>
  <si>
    <t>Pulkovo 1995 / 3-degree Gauss-Kruger CM 93E</t>
  </si>
  <si>
    <t>Pulkovo 1995 / 3-degree Gauss-Kruger CM 96E</t>
  </si>
  <si>
    <t>Pulkovo 1995 / 3-degree Gauss-Kruger CM 99E</t>
  </si>
  <si>
    <t>Pulkovo 1995 / 3-degree Gauss-Kruger CM 102E</t>
  </si>
  <si>
    <t>Pulkovo 1995 / 3-degree Gauss-Kruger CM 105E</t>
  </si>
  <si>
    <t>Pulkovo 1995 / 3-degree Gauss-Kruger CM 108E</t>
  </si>
  <si>
    <t>Pulkovo 1995 / 3-degree Gauss-Kruger CM 111E</t>
  </si>
  <si>
    <t>Pulkovo 1995 / 3-degree Gauss-Kruger CM 114E</t>
  </si>
  <si>
    <t>Pulkovo 1995 / 3-degree Gauss-Kruger CM 117E</t>
  </si>
  <si>
    <t>Pulkovo 1995 / 3-degree Gauss-Kruger CM 120E</t>
  </si>
  <si>
    <t>Pulkovo 1995 / 3-degree Gauss-Kruger CM 123E</t>
  </si>
  <si>
    <t>Pulkovo 1995 / 3-degree Gauss-Kruger CM 126E</t>
  </si>
  <si>
    <t>Pulkovo 1995 / 3-degree Gauss-Kruger CM 129E</t>
  </si>
  <si>
    <t>Tete / UTM zone 36S</t>
  </si>
  <si>
    <t>Tete / UTM zone 37S</t>
  </si>
  <si>
    <t>Pulkovo 1995 / 3-degree Gauss-Kruger CM 132E</t>
  </si>
  <si>
    <t>Pulkovo 1995 / 3-degree Gauss-Kruger CM 135E</t>
  </si>
  <si>
    <t>Pulkovo 1995 / 3-degree Gauss-Kruger CM 138E</t>
  </si>
  <si>
    <t>Pulkovo 1995 / 3-degree Gauss-Kruger CM 141E</t>
  </si>
  <si>
    <t>Pulkovo 1995 / 3-degree Gauss-Kruger CM 144E</t>
  </si>
  <si>
    <t>Pulkovo 1995 / 3-degree Gauss-Kruger CM 147E</t>
  </si>
  <si>
    <t>Pulkovo 1995 / 3-degree Gauss-Kruger CM 150E</t>
  </si>
  <si>
    <t>Pulkovo 1995 / 3-degree Gauss-Kruger CM 153E</t>
  </si>
  <si>
    <t>Pulkovo 1995 / 3-degree Gauss-Kruger CM 156E</t>
  </si>
  <si>
    <t>Pulkovo 1995 / 3-degree Gauss-Kruger CM 159E</t>
  </si>
  <si>
    <t>Pulkovo 1995 / 3-degree Gauss-Kruger CM 162E</t>
  </si>
  <si>
    <t>Pulkovo 1995 / 3-degree Gauss-Kruger CM 165E</t>
  </si>
  <si>
    <t>Pulkovo 1995 / 3-degree Gauss-Kruger CM 168E</t>
  </si>
  <si>
    <t>Pulkovo 1995 / 3-degree Gauss-Kruger CM 171E</t>
  </si>
  <si>
    <t>Pulkovo 1995 / 3-degree Gauss-Kruger CM 174E</t>
  </si>
  <si>
    <t>Pulkovo 1995 / 3-degree Gauss-Kruger CM 177E</t>
  </si>
  <si>
    <t>Pulkovo 1995 / 3-degree Gauss-Kruger CM 180E</t>
  </si>
  <si>
    <t>Pulkovo 1995 / 3-degree Gauss-Kruger CM 177W</t>
  </si>
  <si>
    <t>Pulkovo 1995 / 3-degree Gauss-Kruger CM 174W</t>
  </si>
  <si>
    <t>Pulkovo 1995 / 3-degree Gauss-Kruger CM 171W</t>
  </si>
  <si>
    <t>Pulkovo 1995 / 3-degree Gauss-Kruger CM 168W</t>
  </si>
  <si>
    <t>NAD83(HARN) / Alabama East</t>
  </si>
  <si>
    <t>NAD83(HARN) / Alabama West</t>
  </si>
  <si>
    <t>NAD83(HARN) / Arizona East</t>
  </si>
  <si>
    <t>NAD83(HARN) / Arizona Central</t>
  </si>
  <si>
    <t>NAD83(HARN) / Arizona West</t>
  </si>
  <si>
    <t>NAD83(HARN) / Arkansas North</t>
  </si>
  <si>
    <t>NAD83(HARN) / Arkansas South</t>
  </si>
  <si>
    <t>NAD83(HARN) / California zone 1</t>
  </si>
  <si>
    <t>NAD83(HARN) / California zone 2</t>
  </si>
  <si>
    <t>NAD83(HARN) / California zone 3</t>
  </si>
  <si>
    <t>NAD83(HARN) / California zone 4</t>
  </si>
  <si>
    <t>NAD83(HARN) / California zone 5</t>
  </si>
  <si>
    <t>NAD83(HARN) / California zone 6</t>
  </si>
  <si>
    <t>NAD83(HARN) / Colorado North</t>
  </si>
  <si>
    <t>NAD83(HARN) / Colorado Central</t>
  </si>
  <si>
    <t>NAD83(HARN) / Colorado South</t>
  </si>
  <si>
    <t>NAD83(HARN) / Connecticut</t>
  </si>
  <si>
    <t>NAD83(HARN) / Delaware</t>
  </si>
  <si>
    <t>NAD83(HARN) / Florida East</t>
  </si>
  <si>
    <t>NAD83(HARN) / Florida West</t>
  </si>
  <si>
    <t>NAD83(HARN) / Florida North</t>
  </si>
  <si>
    <t>NAD83(HARN) / Georgia East</t>
  </si>
  <si>
    <t>NAD83(HARN) / Georgia West</t>
  </si>
  <si>
    <t>NAD83(HARN) / Hawaii zone 1</t>
  </si>
  <si>
    <t>NAD83(HARN) / Hawaii zone 2</t>
  </si>
  <si>
    <t>NAD83(HARN) / Hawaii zone 3</t>
  </si>
  <si>
    <t>NAD83(HARN) / Hawaii zone 4</t>
  </si>
  <si>
    <t>NAD83(HARN) / Hawaii zone 5</t>
  </si>
  <si>
    <t>NAD83(HARN) / Idaho East</t>
  </si>
  <si>
    <t>NAD83(HARN) / Idaho Central</t>
  </si>
  <si>
    <t>NAD83(HARN) / Idaho West</t>
  </si>
  <si>
    <t>NAD83(HARN) / Illinois East</t>
  </si>
  <si>
    <t>NAD83(HARN) / Illinois West</t>
  </si>
  <si>
    <t>NAD83(HARN) / Indiana East</t>
  </si>
  <si>
    <t>NAD83(HARN) / Indiana West</t>
  </si>
  <si>
    <t>NAD83(HARN) / Iowa North</t>
  </si>
  <si>
    <t>NAD83(HARN) / Iowa South</t>
  </si>
  <si>
    <t>NAD83(HARN) / Kansas North</t>
  </si>
  <si>
    <t>NAD83(HARN) / Kansas South</t>
  </si>
  <si>
    <t>NAD83(HARN) / Kentucky North</t>
  </si>
  <si>
    <t>NAD83(HARN) / Kentucky South</t>
  </si>
  <si>
    <t>NAD83(HARN) / Louisiana North</t>
  </si>
  <si>
    <t>NAD83(HARN) / Louisiana South</t>
  </si>
  <si>
    <t>NAD83(HARN) / Maine East</t>
  </si>
  <si>
    <t>NAD83(HARN) / Maine West</t>
  </si>
  <si>
    <t>NAD83(HARN) / Maryland</t>
  </si>
  <si>
    <t>NAD83(HARN) / Massachusetts Mainland</t>
  </si>
  <si>
    <t>NAD83(HARN) / Massachusetts Island</t>
  </si>
  <si>
    <t>NAD83(HARN) / Michigan North</t>
  </si>
  <si>
    <t>NAD83(HARN) / Michigan Central</t>
  </si>
  <si>
    <t>NAD83(HARN) / Michigan South</t>
  </si>
  <si>
    <t>NAD83(HARN) / Minnesota North</t>
  </si>
  <si>
    <t>NAD83(HARN) / Minnesota Central</t>
  </si>
  <si>
    <t>NAD83(HARN) / Minnesota South</t>
  </si>
  <si>
    <t>NAD83(HARN) / Mississippi East</t>
  </si>
  <si>
    <t>NAD83(HARN) / Mississippi West</t>
  </si>
  <si>
    <t>NAD83(HARN) / Missouri East</t>
  </si>
  <si>
    <t>NAD83(HARN) / Missouri Central</t>
  </si>
  <si>
    <t>NAD83(HARN) / Missouri West</t>
  </si>
  <si>
    <t>NAD83(HARN) / Montana</t>
  </si>
  <si>
    <t>NAD83(HARN) / Nebraska</t>
  </si>
  <si>
    <t>NAD83(HARN) / Nevada East</t>
  </si>
  <si>
    <t>NAD83(HARN) / Nevada Central</t>
  </si>
  <si>
    <t>NAD83(HARN) / Nevada West</t>
  </si>
  <si>
    <t>NAD83(HARN) / New Hampshire</t>
  </si>
  <si>
    <t>NAD83(HARN) / New Jersey</t>
  </si>
  <si>
    <t>NAD83(HARN) / New Mexico East</t>
  </si>
  <si>
    <t>NAD83(HARN) / New Mexico Central</t>
  </si>
  <si>
    <t>NAD83(HARN) / New Mexico West</t>
  </si>
  <si>
    <t>NAD83(HARN) / New York East</t>
  </si>
  <si>
    <t>NAD83(HARN) / New York Central</t>
  </si>
  <si>
    <t>NAD83(HARN) / New York West</t>
  </si>
  <si>
    <t>NAD83(HARN) / New York Long Island</t>
  </si>
  <si>
    <t>NAD83(HARN) / North Dakota North</t>
  </si>
  <si>
    <t>NAD83(HARN) / North Dakota South</t>
  </si>
  <si>
    <t>NAD83(HARN) / Ohio North</t>
  </si>
  <si>
    <t>NAD83(HARN) / Ohio South</t>
  </si>
  <si>
    <t>NAD83(HARN) / Oklahoma North</t>
  </si>
  <si>
    <t>NAD83(HARN) / Oklahoma South</t>
  </si>
  <si>
    <t>NAD83(HARN) / Oregon North</t>
  </si>
  <si>
    <t>NAD83(HARN) / Oregon South</t>
  </si>
  <si>
    <t>NAD83(HARN) / Rhode Island</t>
  </si>
  <si>
    <t>NAD83(HARN) / South Dakota North</t>
  </si>
  <si>
    <t>NAD83(HARN) / South Dakota South</t>
  </si>
  <si>
    <t>NAD83(HARN) / Tennessee</t>
  </si>
  <si>
    <t>NAD83(HARN) / Texas North</t>
  </si>
  <si>
    <t>NAD83(HARN) / Texas North Central</t>
  </si>
  <si>
    <t>NAD83(HARN) / Texas Central</t>
  </si>
  <si>
    <t>NAD83(HARN) / Texas South Central</t>
  </si>
  <si>
    <t>NAD83(HARN) / Texas South</t>
  </si>
  <si>
    <t>NAD83(HARN) / Utah North</t>
  </si>
  <si>
    <t>NAD83(HARN) / Utah Central</t>
  </si>
  <si>
    <t>NAD83(HARN) / Utah South</t>
  </si>
  <si>
    <t>NAD83(HARN) / Vermont</t>
  </si>
  <si>
    <t>NAD83(HARN) / Virginia North</t>
  </si>
  <si>
    <t>NAD83(HARN) / Virginia South</t>
  </si>
  <si>
    <t>NAD83(HARN) / Washington North</t>
  </si>
  <si>
    <t>NAD83(HARN) / Washington South</t>
  </si>
  <si>
    <t>NAD83(HARN) / West Virginia North</t>
  </si>
  <si>
    <t>NAD83(HARN) / West Virginia South</t>
  </si>
  <si>
    <t>NAD83(HARN) / Wisconsin North</t>
  </si>
  <si>
    <t>NAD83(HARN) / Wisconsin Central</t>
  </si>
  <si>
    <t>NAD83(HARN) / Wisconsin South</t>
  </si>
  <si>
    <t>NAD83(HARN) / Wyoming East</t>
  </si>
  <si>
    <t>NAD83(HARN) / Wyoming East Central</t>
  </si>
  <si>
    <t>NAD83(HARN) / Wyoming West Central</t>
  </si>
  <si>
    <t>NAD83(HARN) / Wyoming West</t>
  </si>
  <si>
    <t>NAD83(HARN) / Puerto Rico and Virgin Is.</t>
  </si>
  <si>
    <t>NAD83(HARN) / Arizona East (ft)</t>
  </si>
  <si>
    <t>NAD83(HARN) / Arizona Central (ft)</t>
  </si>
  <si>
    <t>NAD83(HARN) / Arizona West (ft)</t>
  </si>
  <si>
    <t>NAD83(HARN) / California zone 1 (ftUS)</t>
  </si>
  <si>
    <t>NAD83(HARN) / California zone 2 (ftUS)</t>
  </si>
  <si>
    <t>NAD83(HARN) / California zone 3 (ftUS)</t>
  </si>
  <si>
    <t>NAD83(HARN) / California zone 4 (ftUS)</t>
  </si>
  <si>
    <t>NAD83(HARN) / California zone 5 (ftUS)</t>
  </si>
  <si>
    <t>NAD83(HARN) / California zone 6 (ftUS)</t>
  </si>
  <si>
    <t>NAD83(HARN) / Colorado North (ftUS)</t>
  </si>
  <si>
    <t>NAD83(HARN) / Colorado Central (ftUS)</t>
  </si>
  <si>
    <t>NAD83(HARN) / Colorado South (ftUS)</t>
  </si>
  <si>
    <t>NAD83(HARN) / Connecticut (ftUS)</t>
  </si>
  <si>
    <t>NAD83(HARN) / Delaware (ftUS)</t>
  </si>
  <si>
    <t>NAD83(HARN) / Florida East (ftUS)</t>
  </si>
  <si>
    <t>NAD83(HARN) / Florida West (ftUS)</t>
  </si>
  <si>
    <t>NAD83(HARN) / Florida North (ftUS)</t>
  </si>
  <si>
    <t>NAD83(HARN) / Georgia East (ftUS)</t>
  </si>
  <si>
    <t>NAD83(HARN) / Georgia West (ftUS)</t>
  </si>
  <si>
    <t>NAD83(HARN) / Idaho East (ftUS)</t>
  </si>
  <si>
    <t>NAD83(HARN) / Idaho Central (ftUS)</t>
  </si>
  <si>
    <t>NAD83(HARN) / Idaho West (ftUS)</t>
  </si>
  <si>
    <t>NAD83(HARN) / Indiana East (ftUS) (deprecated)</t>
  </si>
  <si>
    <t>NAD83(HARN) / Indiana West (ftUS) (deprecated)</t>
  </si>
  <si>
    <t>NAD83(HARN) / Kentucky North (ftUS)</t>
  </si>
  <si>
    <t>NAD83(HARN) / Kentucky South (ftUS)</t>
  </si>
  <si>
    <t>NAD83(HARN) / Maryland (ftUS)</t>
  </si>
  <si>
    <t>NAD83(HARN) / Massachusetts Mainland (ftUS)</t>
  </si>
  <si>
    <t>NAD83(HARN) / Massachusetts Island (ftUS)</t>
  </si>
  <si>
    <t>NAD83(HARN) / Michigan North (ft)</t>
  </si>
  <si>
    <t>NAD83(HARN) / Michigan Central (ft)</t>
  </si>
  <si>
    <t>NAD83(HARN) / Michigan South (ft)</t>
  </si>
  <si>
    <t>NAD83(HARN) / Mississippi East (ftUS)</t>
  </si>
  <si>
    <t>NAD83(HARN) / Mississippi West (ftUS)</t>
  </si>
  <si>
    <t>NAD83(HARN) / Montana (ft)</t>
  </si>
  <si>
    <t>NAD83(HARN) / New Mexico East (ftUS)</t>
  </si>
  <si>
    <t>NAD83(HARN) / New Mexico Central (ftUS)</t>
  </si>
  <si>
    <t>NAD83(HARN) / New Mexico West (ftUS)</t>
  </si>
  <si>
    <t>NAD83(HARN) / New York East (ftUS)</t>
  </si>
  <si>
    <t>NAD83(HARN) / New York Central (ftUS)</t>
  </si>
  <si>
    <t>NAD83(HARN) / New York West (ftUS)</t>
  </si>
  <si>
    <t>NAD83(HARN) / New York Long Island (ftUS)</t>
  </si>
  <si>
    <t>NAD83(HARN) / North Dakota North (ft)</t>
  </si>
  <si>
    <t>NAD83(HARN) / North Dakota South (ft)</t>
  </si>
  <si>
    <t>NAD83(HARN) / Oklahoma North (ftUS)</t>
  </si>
  <si>
    <t>NAD83(HARN) / Oklahoma South (ftUS)</t>
  </si>
  <si>
    <t>NAD83(HARN) / Oregon North (ft)</t>
  </si>
  <si>
    <t>NAD83(HARN) / Oregon South (ft)</t>
  </si>
  <si>
    <t>NAD83(HARN) / Tennessee (ftUS)</t>
  </si>
  <si>
    <t>NAD83(HARN) / Texas North (ftUS)</t>
  </si>
  <si>
    <t>NAD83(HARN) / Texas North Central (ftUS)</t>
  </si>
  <si>
    <t>NAD83(HARN) / Texas Central (ftUS)</t>
  </si>
  <si>
    <t>NAD83(HARN) / Texas South Central (ftUS)</t>
  </si>
  <si>
    <t>NAD83(HARN) / Texas South (ftUS)</t>
  </si>
  <si>
    <t>NAD83(HARN) / Utah North (ft)</t>
  </si>
  <si>
    <t>NAD83(HARN) / Utah Central (ft)</t>
  </si>
  <si>
    <t>NAD83(HARN) / Utah South (ft)</t>
  </si>
  <si>
    <t>NAD83(HARN) / Virginia North (ftUS)</t>
  </si>
  <si>
    <t>NAD83(HARN) / Virginia South (ftUS)</t>
  </si>
  <si>
    <t>NAD83(HARN) / Washington North (ftUS)</t>
  </si>
  <si>
    <t>NAD83(HARN) / Washington South (ftUS)</t>
  </si>
  <si>
    <t>NAD83(HARN) / Wisconsin North (ftUS)</t>
  </si>
  <si>
    <t>NAD83(HARN) / Wisconsin Central (ftUS)</t>
  </si>
  <si>
    <t>NAD83(HARN) / Wisconsin South (ftUS)</t>
  </si>
  <si>
    <t>Beduaram / TM 13 NE</t>
  </si>
  <si>
    <t>QND95 / Qatar National Grid</t>
  </si>
  <si>
    <t>Segara / UTM zone 50S</t>
  </si>
  <si>
    <t>Segara (Jakarta) / NEIEZ (deprecated)</t>
  </si>
  <si>
    <t>Pulkovo 1942 / CS63 zone A1</t>
  </si>
  <si>
    <t>Pulkovo 1942 / CS63 zone A2</t>
  </si>
  <si>
    <t>Pulkovo 1942 / CS63 zone A3</t>
  </si>
  <si>
    <t>Pulkovo 1942 / CS63 zone A4</t>
  </si>
  <si>
    <t>Pulkovo 1942 / CS63 zone K2</t>
  </si>
  <si>
    <t>Pulkovo 1942 / CS63 zone K3</t>
  </si>
  <si>
    <t>Pulkovo 1942 / CS63 zone K4</t>
  </si>
  <si>
    <t>Porto Santo / UTM zone 28N</t>
  </si>
  <si>
    <t>Selvagem Grande / UTM zone 28N</t>
  </si>
  <si>
    <t>NAD83(CSRS) / SCoPQ zone 2 (deprecated)</t>
  </si>
  <si>
    <t>NAD83(CSRS) / MTM zone 3</t>
  </si>
  <si>
    <t>NAD83(CSRS) / MTM zone 4</t>
  </si>
  <si>
    <t>NAD83(CSRS) / MTM zone 5</t>
  </si>
  <si>
    <t>NAD83(CSRS) / MTM zone 6</t>
  </si>
  <si>
    <t>NAD83(CSRS) / MTM zone 7</t>
  </si>
  <si>
    <t>NAD83(CSRS) / MTM zone 8</t>
  </si>
  <si>
    <t>NAD83(CSRS) / MTM zone 9</t>
  </si>
  <si>
    <t>NAD83(CSRS) / MTM zone 10</t>
  </si>
  <si>
    <t>NAD83(CSRS) / New Brunswick Stereographic</t>
  </si>
  <si>
    <t>NAD83(CSRS) / Prince Edward Isl. Stereographic (NAD83)</t>
  </si>
  <si>
    <t>NAD83(CSRS) / UTM zone 11N</t>
  </si>
  <si>
    <t>NAD83(CSRS) / UTM zone 12N</t>
  </si>
  <si>
    <t>NAD83(CSRS) / UTM zone 13N</t>
  </si>
  <si>
    <t>NAD83(CSRS) / UTM zone 17N</t>
  </si>
  <si>
    <t>NAD83(CSRS) / UTM zone 18N</t>
  </si>
  <si>
    <t>NAD83(CSRS) / UTM zone 19N</t>
  </si>
  <si>
    <t>NAD83(CSRS) / UTM zone 20N</t>
  </si>
  <si>
    <t>NAD83(CSRS) / UTM zone 21N</t>
  </si>
  <si>
    <t>Lisbon 1890 (Lisbon) / Portugal BonneUnable to translate coordinate system EPSG:2963 into PROJ.4 format.</t>
  </si>
  <si>
    <t>NAD27 / Alaska Albers</t>
  </si>
  <si>
    <t>NAD83 / Indiana East (ftUS)</t>
  </si>
  <si>
    <t>NAD83 / Indiana West (ftUS)</t>
  </si>
  <si>
    <t>NAD83(HARN) / Indiana East (ftUS)</t>
  </si>
  <si>
    <t>NAD83(HARN) / Indiana West (ftUS)</t>
  </si>
  <si>
    <t>Fort Marigot / UTM zone 20N</t>
  </si>
  <si>
    <t>Guadeloupe 1948 / UTM zone 20N</t>
  </si>
  <si>
    <t>CSG67 / UTM zone 22N</t>
  </si>
  <si>
    <t>RGFG95 / UTM zone 22N</t>
  </si>
  <si>
    <t>Martinique 1938 / UTM zone 20N</t>
  </si>
  <si>
    <t>RGR92 / UTM zone 40S</t>
  </si>
  <si>
    <t>Tahiti 52 / UTM zone 6S</t>
  </si>
  <si>
    <t>Tahaa 54 / UTM zone 5S</t>
  </si>
  <si>
    <t>IGN72 Nuku Hiva / UTM zone 7S</t>
  </si>
  <si>
    <t>K0 1949 / UTM zone 42S (deprecated)</t>
  </si>
  <si>
    <t>Combani 1950 / UTM zone 38S</t>
  </si>
  <si>
    <t>IGN56 Lifou / UTM zone 58S</t>
  </si>
  <si>
    <t>IGN72 Grand Terre / UTM zone 58S (deprecated)</t>
  </si>
  <si>
    <t>ST87 Ouvea / UTM zone 58S (deprecated)</t>
  </si>
  <si>
    <t>RGNC 1991 / Lambert New Caledonia (deprecated)</t>
  </si>
  <si>
    <t>Petrels 1972 / Terre Adelie Polar StereographicUnable to translate coordinate system EPSG:2985 into PROJ.4 format.</t>
  </si>
  <si>
    <t>Perroud 1950 / Terre Adelie Polar StereographicUnable to translate coordinate system EPSG:2986 into PROJ.4 format.</t>
  </si>
  <si>
    <t>Saint Pierre et Miquelon 1950 / UTM zone 21N</t>
  </si>
  <si>
    <t>MOP78 / UTM zone 1S</t>
  </si>
  <si>
    <t>RRAF 1991 / UTM zone 20N (deprecated)</t>
  </si>
  <si>
    <t>Reunion 1947 / TM Reunion (deprecated)</t>
  </si>
  <si>
    <t>NAD83 / Oregon LCC (m)</t>
  </si>
  <si>
    <t>NAD83 / Oregon GIC Lambert (ft)</t>
  </si>
  <si>
    <t>NAD83(HARN) / Oregon LCC (m)</t>
  </si>
  <si>
    <t>NAD83(HARN) / Oregon GIC Lambert (ft)</t>
  </si>
  <si>
    <t>IGN53 Mare / UTM zone 58S</t>
  </si>
  <si>
    <t>ST84 Ile des Pins / UTM zone 58S</t>
  </si>
  <si>
    <t>ST71 Belep / UTM zone 58S</t>
  </si>
  <si>
    <t>NEA74 Noumea / UTM zone 58S</t>
  </si>
  <si>
    <t>Grand Comoros / UTM zone 38S</t>
  </si>
  <si>
    <t>Segara / NEIEZ</t>
  </si>
  <si>
    <t>Batavia / NEIEZ</t>
  </si>
  <si>
    <t>Makassar / NEIEZ</t>
  </si>
  <si>
    <t>Monte Mario / Italy zone 1</t>
  </si>
  <si>
    <t>Monte Mario / Italy zone 2</t>
  </si>
  <si>
    <t>NAD83 / BC Albers</t>
  </si>
  <si>
    <t>SWEREF99 TM</t>
  </si>
  <si>
    <t>SWEREF99 12 00</t>
  </si>
  <si>
    <t>SWEREF99 13 30</t>
  </si>
  <si>
    <t>SWEREF99 15 00</t>
  </si>
  <si>
    <t>SWEREF99 16 30</t>
  </si>
  <si>
    <t>SWEREF99 18 00</t>
  </si>
  <si>
    <t>SWEREF99 14 15</t>
  </si>
  <si>
    <t>SWEREF99 15 45</t>
  </si>
  <si>
    <t>SWEREF99 17 15</t>
  </si>
  <si>
    <t>SWEREF99 18 45</t>
  </si>
  <si>
    <t>SWEREF99 20 15</t>
  </si>
  <si>
    <t>SWEREF99 21 45</t>
  </si>
  <si>
    <t>SWEREF99 23 15</t>
  </si>
  <si>
    <t>RT90 7.5 gon V</t>
  </si>
  <si>
    <t>RT90 5 gon V</t>
  </si>
  <si>
    <t>RT90 2.5 gon V</t>
  </si>
  <si>
    <t>RT90 0 gon</t>
  </si>
  <si>
    <t>RT90 2.5 gon O</t>
  </si>
  <si>
    <t>RT90 5 gon O</t>
  </si>
  <si>
    <t>RT38 7.5 gon V</t>
  </si>
  <si>
    <t>RT38 5 gon V</t>
  </si>
  <si>
    <t>RT38 2.5 gon V</t>
  </si>
  <si>
    <t>RT38 0 gon</t>
  </si>
  <si>
    <t>RT38 2.5 gon O</t>
  </si>
  <si>
    <t>RT38 5 gon O</t>
  </si>
  <si>
    <t>WGS 84 / Antarctic Polar Stereographic</t>
  </si>
  <si>
    <t>WGS 84 / Australian Antarctic Polar Stereographic</t>
  </si>
  <si>
    <t>WGS 84 / Australian Antarctic Lambert</t>
  </si>
  <si>
    <t>ETRS89 / LCC Europe</t>
  </si>
  <si>
    <t>ETRS89 / LAEA Europe</t>
  </si>
  <si>
    <t>Moznet / UTM zone 36S</t>
  </si>
  <si>
    <t>Moznet / UTM zone 37S</t>
  </si>
  <si>
    <t>ETRS89 / TM26 (deprecated)</t>
  </si>
  <si>
    <t>ETRS89 / TM27 (deprecated)</t>
  </si>
  <si>
    <t>ETRS89 / UTM zone 28N (N-E)</t>
  </si>
  <si>
    <t>ETRS89 / UTM zone 29N (N-E)</t>
  </si>
  <si>
    <t>ETRS89 / UTM zone 30N (N-E)</t>
  </si>
  <si>
    <t>ETRS89 / UTM zone 31N (N-E)</t>
  </si>
  <si>
    <t>ETRS89 / UTM zone 32N (N-E)</t>
  </si>
  <si>
    <t>ETRS89 / UTM zone 33N (N-E)</t>
  </si>
  <si>
    <t>ETRS89 / UTM zone 34N (N-E)</t>
  </si>
  <si>
    <t>ETRS89 / UTM zone 35N (N-E)</t>
  </si>
  <si>
    <t>ETRS89 / UTM zone 36N (N-E)</t>
  </si>
  <si>
    <t>ETRS89 / UTM zone 37N (N-E)</t>
  </si>
  <si>
    <t>ETRS89 / TM38 (deprecated)</t>
  </si>
  <si>
    <t>ETRS89 / TM39 (deprecated)</t>
  </si>
  <si>
    <t>Reykjavik 1900 / Lambert 1900Unable to translate coordinate system EPSG:3052 into PROJ.4 format.</t>
  </si>
  <si>
    <t>Hjorsey 1955 / Lambert 1955Unable to translate coordinate system EPSG:3053 into PROJ.4 format.</t>
  </si>
  <si>
    <t>Hjorsey 1955 / UTM zone 26N</t>
  </si>
  <si>
    <t>Hjorsey 1955 / UTM zone 27N</t>
  </si>
  <si>
    <t>Hjorsey 1955 / UTM zone 28N</t>
  </si>
  <si>
    <t>ISN93 / Lambert 1993</t>
  </si>
  <si>
    <t>Helle 1954 / Jan Mayen Grid</t>
  </si>
  <si>
    <t>LKS92 / Latvia TM</t>
  </si>
  <si>
    <t>IGN72 Grande Terre / UTM zone 58S</t>
  </si>
  <si>
    <t>Porto Santo 1995 / UTM zone 28N</t>
  </si>
  <si>
    <t>Azores Oriental 1995 / UTM zone 26N</t>
  </si>
  <si>
    <t>Azores Central 1995 / UTM zone 26N</t>
  </si>
  <si>
    <t>IGM95 / UTM zone 32N</t>
  </si>
  <si>
    <t>IGM95 / UTM zone 33N</t>
  </si>
  <si>
    <t>ED50 / Jordan TM</t>
  </si>
  <si>
    <t>ETRS89 / TM35FIN(E,N)</t>
  </si>
  <si>
    <t>DHDN / Soldner Berlin</t>
  </si>
  <si>
    <t>NAD27 / Wisconsin Transverse Mercator</t>
  </si>
  <si>
    <t>NAD83 / Wisconsin Transverse Mercator</t>
  </si>
  <si>
    <t>NAD83(HARN) / Wisconsin Transverse Mercator</t>
  </si>
  <si>
    <t>NAD83 / Maine CS2000 East</t>
  </si>
  <si>
    <t>NAD83 / Maine CS2000 Central (deprecated)</t>
  </si>
  <si>
    <t>NAD83 / Maine CS2000 West</t>
  </si>
  <si>
    <t>NAD83(HARN) / Maine CS2000 East</t>
  </si>
  <si>
    <t>NAD83(HARN) / Maine CS2000 Central (deprecated)</t>
  </si>
  <si>
    <t>NAD83(HARN) / Maine CS2000 West</t>
  </si>
  <si>
    <t>NAD83 / Michigan Oblique Mercator</t>
  </si>
  <si>
    <t>NAD83(HARN) / Michigan Oblique Mercator</t>
  </si>
  <si>
    <t>NAD27 / Shackleford</t>
  </si>
  <si>
    <t>NAD83 / Texas State Mapping System</t>
  </si>
  <si>
    <t>NAD83 / Texas Centric Lambert Conformal</t>
  </si>
  <si>
    <t>NAD83 / Texas Centric Albers Equal Area</t>
  </si>
  <si>
    <t>NAD83(HARN) / Texas Centric Lambert Conformal</t>
  </si>
  <si>
    <t>NAD83(HARN) / Texas Centric Albers Equal Area</t>
  </si>
  <si>
    <t>NAD83 / Florida GDL Albers</t>
  </si>
  <si>
    <t>NAD83(HARN) / Florida GDL Albers</t>
  </si>
  <si>
    <t>NAD83 / Kentucky Single Zone</t>
  </si>
  <si>
    <t>NAD83 / Kentucky Single Zone (ftUS)</t>
  </si>
  <si>
    <t>NAD83(HARN) / Kentucky Single Zone</t>
  </si>
  <si>
    <t>NAD83(HARN) / Kentucky Single Zone (ftUS)</t>
  </si>
  <si>
    <t>Tokyo / UTM zone 51N</t>
  </si>
  <si>
    <t>Tokyo / UTM zone 52N</t>
  </si>
  <si>
    <t>Tokyo / UTM zone 53N</t>
  </si>
  <si>
    <t>Tokyo / UTM zone 54N</t>
  </si>
  <si>
    <t>Tokyo / UTM zone 55N</t>
  </si>
  <si>
    <t>JGD2000 / UTM zone 51N</t>
  </si>
  <si>
    <t>JGD2000 / UTM zone 52N</t>
  </si>
  <si>
    <t>JGD2000 / UTM zone 53N</t>
  </si>
  <si>
    <t>JGD2000 / UTM zone 54N</t>
  </si>
  <si>
    <t>JGD2000 / UTM zone 55N</t>
  </si>
  <si>
    <t>American Samoa 1962 / American Samoa Lambert</t>
  </si>
  <si>
    <t>Mauritania 1999 / UTM zone 28N (deprecated)</t>
  </si>
  <si>
    <t>Mauritania 1999 / UTM zone 29N (deprecated)</t>
  </si>
  <si>
    <t>Mauritania 1999 / UTM zone 30N (deprecated)</t>
  </si>
  <si>
    <t>Gulshan 303 / Bangladesh Transverse Mercator</t>
  </si>
  <si>
    <t>GDA94 / SA Lambert</t>
  </si>
  <si>
    <t>ETRS89 / Guernsey Grid</t>
  </si>
  <si>
    <t>ETRS89 / Jersey Transverse Mercator</t>
  </si>
  <si>
    <t>AGD66 / Vicgrid66</t>
  </si>
  <si>
    <t>GDA94 / Vicgrid94</t>
  </si>
  <si>
    <t>GDA94 / Geoscience Australia Lambert</t>
  </si>
  <si>
    <t>GDA94 / BCSG02</t>
  </si>
  <si>
    <t>MAGNA-SIRGAS / Colombia Far West zone</t>
  </si>
  <si>
    <t>MAGNA-SIRGAS / Colombia West zone</t>
  </si>
  <si>
    <t>MAGNA-SIRGAS / Colombia Bogota zone</t>
  </si>
  <si>
    <t>MAGNA-SIRGAS / Colombia East Central zone</t>
  </si>
  <si>
    <t>MAGNA-SIRGAS / Colombia East zone</t>
  </si>
  <si>
    <t>Douala 1948 / AEF west</t>
  </si>
  <si>
    <t>Pulkovo 1942(58) / Poland zone I</t>
  </si>
  <si>
    <t>PRS92 / Philippines zone 1</t>
  </si>
  <si>
    <t>PRS92 / Philippines zone 2</t>
  </si>
  <si>
    <t>PRS92 / Philippines zone 3</t>
  </si>
  <si>
    <t>PRS92 / Philippines zone 4</t>
  </si>
  <si>
    <t>PRS92 / Philippines zone 5</t>
  </si>
  <si>
    <t>ETRS89 / ETRS-GK19FIN</t>
  </si>
  <si>
    <t>ETRS89 / ETRS-GK20FIN</t>
  </si>
  <si>
    <t>ETRS89 / ETRS-GK21FIN</t>
  </si>
  <si>
    <t>ETRS89 / ETRS-GK22FIN</t>
  </si>
  <si>
    <t>ETRS89 / ETRS-GK23FIN</t>
  </si>
  <si>
    <t>ETRS89 / ETRS-GK24FIN</t>
  </si>
  <si>
    <t>ETRS89 / ETRS-GK25FIN</t>
  </si>
  <si>
    <t>ETRS89 / ETRS-GK26FIN</t>
  </si>
  <si>
    <t>ETRS89 / ETRS-GK27FIN</t>
  </si>
  <si>
    <t>ETRS89 / ETRS-GK28FIN</t>
  </si>
  <si>
    <t>ETRS89 / ETRS-GK29FIN</t>
  </si>
  <si>
    <t>ETRS89 / ETRS-GK30FIN</t>
  </si>
  <si>
    <t>ETRS89 / ETRS-GK31FIN</t>
  </si>
  <si>
    <t>Vanua Levu 1915 / Vanua Levu GridUnable to translate coordinate system EPSG:3139 into PROJ.4 format.</t>
  </si>
  <si>
    <t>Viti Levu 1912 / Viti Levu Grid</t>
  </si>
  <si>
    <t>Fiji 1956 / UTM zone 60S</t>
  </si>
  <si>
    <t>Fiji 1956 / UTM zone 1S</t>
  </si>
  <si>
    <t>Fiji 1986 / Fiji Map Grid (deprecated)</t>
  </si>
  <si>
    <t>FD54 / Faroe LambertUnable to translate coordinate system EPSG:3144 into PROJ.4 format.</t>
  </si>
  <si>
    <t>ETRS89 / Faroe LambertUnable to translate coordinate system EPSG:3145 into PROJ.4 format.</t>
  </si>
  <si>
    <t>Pulkovo 1942 / 3-degree Gauss-Kruger zone 6 (deprecated)</t>
  </si>
  <si>
    <t>Pulkovo 1942 / 3-degree Gauss-Kruger CM 18E (deprecated)</t>
  </si>
  <si>
    <t>Indian 1960 / UTM zone 48N</t>
  </si>
  <si>
    <t>Indian 1960 / UTM zone 49N</t>
  </si>
  <si>
    <t>Pulkovo 1995 / 3-degree Gauss-Kruger zone 6 (deprecated)</t>
  </si>
  <si>
    <t>Pulkovo 1995 / 3-degree Gauss-Kruger CM 18E (deprecated)</t>
  </si>
  <si>
    <t>ST74</t>
  </si>
  <si>
    <t>NAD83(CSRS) / BC Albers</t>
  </si>
  <si>
    <t>NAD83(CSRS) / UTM zone 7N</t>
  </si>
  <si>
    <t>NAD83(CSRS) / UTM zone 8N</t>
  </si>
  <si>
    <t>NAD83(CSRS) / UTM zone 9N</t>
  </si>
  <si>
    <t>NAD83(CSRS) / UTM zone 10N</t>
  </si>
  <si>
    <t>NAD83(CSRS) / UTM zone 14N</t>
  </si>
  <si>
    <t>NAD83(CSRS) / UTM zone 15N</t>
  </si>
  <si>
    <t>NAD83(CSRS) / UTM zone 16N</t>
  </si>
  <si>
    <t>NAD83 / Ontario MNR Lambert</t>
  </si>
  <si>
    <t>NAD83(CSRS) / Ontario MNR Lambert</t>
  </si>
  <si>
    <t>RGNC91-93 / Lambert New Caledonia</t>
  </si>
  <si>
    <t>ST87 Ouvea / UTM zone 58S</t>
  </si>
  <si>
    <t>NEA74 Noumea / Noumea Lambert</t>
  </si>
  <si>
    <t>NEA74 Noumea / Noumea Lambert 2</t>
  </si>
  <si>
    <t>Kertau (RSO) / RSO Malaya (ch)</t>
  </si>
  <si>
    <t>Kertau (RSO) / RSO Malaya (m)</t>
  </si>
  <si>
    <t>RGNC91-93 / UTM zone 57S</t>
  </si>
  <si>
    <t>RGNC91-93 / UTM zone 58S</t>
  </si>
  <si>
    <t>RGNC91-93 / UTM zone 59S</t>
  </si>
  <si>
    <t>IGN53 Mare / UTM zone 59S</t>
  </si>
  <si>
    <t>fk89 / Faroe Lambert FK89Unable to translate coordinate system EPSG:3173 into PROJ.4 format.</t>
  </si>
  <si>
    <t>NAD83 / Great Lakes Albers</t>
  </si>
  <si>
    <t>NAD83 / Great Lakes and St Lawrence Albers</t>
  </si>
  <si>
    <t>Indian 1960 / TM 106 NE</t>
  </si>
  <si>
    <t>LGD2006 / Libya TM</t>
  </si>
  <si>
    <t>GR96 / UTM zone 18N</t>
  </si>
  <si>
    <t>GR96 / UTM zone 19N</t>
  </si>
  <si>
    <t>GR96 / UTM zone 20N</t>
  </si>
  <si>
    <t>GR96 / UTM zone 21N</t>
  </si>
  <si>
    <t>GR96 / UTM zone 22N</t>
  </si>
  <si>
    <t>GR96 / UTM zone 23N</t>
  </si>
  <si>
    <t>GR96 / UTM zone 24N</t>
  </si>
  <si>
    <t>GR96 / UTM zone 25N</t>
  </si>
  <si>
    <t>GR96 / UTM zone 26N</t>
  </si>
  <si>
    <t>GR96 / UTM zone 27N</t>
  </si>
  <si>
    <t>GR96 / UTM zone 28N</t>
  </si>
  <si>
    <t>GR96 / UTM zone 29N</t>
  </si>
  <si>
    <t>LGD2006 / Libya TM zone 5</t>
  </si>
  <si>
    <t>LGD2006 / Libya TM zone 6</t>
  </si>
  <si>
    <t>LGD2006 / Libya TM zone 7</t>
  </si>
  <si>
    <t>LGD2006 / Libya TM zone 8</t>
  </si>
  <si>
    <t>LGD2006 / Libya TM zone 9</t>
  </si>
  <si>
    <t>LGD2006 / Libya TM zone 10</t>
  </si>
  <si>
    <t>LGD2006 / Libya TM zone 11</t>
  </si>
  <si>
    <t>LGD2006 / Libya TM zone 12</t>
  </si>
  <si>
    <t>LGD2006 / Libya TM zone 13</t>
  </si>
  <si>
    <t>LGD2006 / UTM zone 32N</t>
  </si>
  <si>
    <t>FD58 / Iraq zone</t>
  </si>
  <si>
    <t>LGD2006 / UTM zone 33N</t>
  </si>
  <si>
    <t>LGD2006 / UTM zone 34N</t>
  </si>
  <si>
    <t>LGD2006 / UTM zone 35N</t>
  </si>
  <si>
    <t>WGS 84 / SCAR IMW SP19-20</t>
  </si>
  <si>
    <t>WGS 84 / SCAR IMW SP21-22</t>
  </si>
  <si>
    <t>WGS 84 / SCAR IMW SP23-24</t>
  </si>
  <si>
    <t>WGS 84 / SCAR IMW SQ01-02</t>
  </si>
  <si>
    <t>WGS 84 / SCAR IMW SQ19-20</t>
  </si>
  <si>
    <t>WGS 84 / SCAR IMW SQ21-22</t>
  </si>
  <si>
    <t>WGS 84 / SCAR IMW SQ37-38</t>
  </si>
  <si>
    <t>WGS 84 / SCAR IMW SQ39-40</t>
  </si>
  <si>
    <t>WGS 84 / SCAR IMW SQ41-42</t>
  </si>
  <si>
    <t>WGS 84 / SCAR IMW SQ43-44</t>
  </si>
  <si>
    <t>WGS 84 / SCAR IMW SQ45-46</t>
  </si>
  <si>
    <t>WGS 84 / SCAR IMW SQ47-48</t>
  </si>
  <si>
    <t>WGS 84 / SCAR IMW SQ49-50</t>
  </si>
  <si>
    <t>WGS 84 / SCAR IMW SQ51-52</t>
  </si>
  <si>
    <t>WGS 84 / SCAR IMW SQ53-54</t>
  </si>
  <si>
    <t>WGS 84 / SCAR IMW SQ55-56</t>
  </si>
  <si>
    <t>WGS 84 / SCAR IMW SQ57-58</t>
  </si>
  <si>
    <t>WGS 84 / SCAR IMW SR13-14</t>
  </si>
  <si>
    <t>WGS 84 / SCAR IMW SR15-16</t>
  </si>
  <si>
    <t>WGS 84 / SCAR IMW SR17-18</t>
  </si>
  <si>
    <t>WGS 84 / SCAR IMW SR19-20</t>
  </si>
  <si>
    <t>WGS 84 / SCAR IMW SR27-28</t>
  </si>
  <si>
    <t>WGS 84 / SCAR IMW SR29-30</t>
  </si>
  <si>
    <t>WGS 84 / SCAR IMW SR31-32</t>
  </si>
  <si>
    <t>WGS 84 / SCAR IMW SR33-34</t>
  </si>
  <si>
    <t>WGS 84 / SCAR IMW SR35-36</t>
  </si>
  <si>
    <t>WGS 84 / SCAR IMW SR37-38</t>
  </si>
  <si>
    <t>WGS 84 / SCAR IMW SR39-40</t>
  </si>
  <si>
    <t>WGS 84 / SCAR IMW SR41-42</t>
  </si>
  <si>
    <t>WGS 84 / SCAR IMW SR43-44</t>
  </si>
  <si>
    <t>WGS 84 / SCAR IMW SR45-46</t>
  </si>
  <si>
    <t>WGS 84 / SCAR IMW SR47-48</t>
  </si>
  <si>
    <t>WGS 84 / SCAR IMW SR49-50</t>
  </si>
  <si>
    <t>WGS 84 / SCAR IMW SR51-52</t>
  </si>
  <si>
    <t>WGS 84 / SCAR IMW SR53-54</t>
  </si>
  <si>
    <t>WGS 84 / SCAR IMW SR55-56</t>
  </si>
  <si>
    <t>WGS 84 / SCAR IMW SR57-58</t>
  </si>
  <si>
    <t>WGS 84 / SCAR IMW SR59-60</t>
  </si>
  <si>
    <t>WGS 84 / SCAR IMW SS04-06</t>
  </si>
  <si>
    <t>WGS 84 / SCAR IMW SS07-09</t>
  </si>
  <si>
    <t>WGS 84 / SCAR IMW SS10-12</t>
  </si>
  <si>
    <t>WGS 84 / SCAR IMW SS13-15</t>
  </si>
  <si>
    <t>WGS 84 / SCAR IMW SS16-18</t>
  </si>
  <si>
    <t>WGS 84 / SCAR IMW SS19-21</t>
  </si>
  <si>
    <t>WGS 84 / SCAR IMW SS25-27</t>
  </si>
  <si>
    <t>WGS 84 / SCAR IMW SS28-30</t>
  </si>
  <si>
    <t>WGS 84 / SCAR IMW SS31-33</t>
  </si>
  <si>
    <t>WGS 84 / SCAR IMW SS34-36</t>
  </si>
  <si>
    <t>WGS 84 / SCAR IMW SS37-39</t>
  </si>
  <si>
    <t>WGS 84 / SCAR IMW SS40-42</t>
  </si>
  <si>
    <t>WGS 84 / SCAR IMW SS43-45</t>
  </si>
  <si>
    <t>WGS 84 / SCAR IMW SS46-48</t>
  </si>
  <si>
    <t>WGS 84 / SCAR IMW SS49-51</t>
  </si>
  <si>
    <t>WGS 84 / SCAR IMW SS52-54</t>
  </si>
  <si>
    <t>WGS 84 / SCAR IMW SS55-57</t>
  </si>
  <si>
    <t>WGS 84 / SCAR IMW SS58-60</t>
  </si>
  <si>
    <t>WGS 84 / SCAR IMW ST01-04</t>
  </si>
  <si>
    <t>WGS 84 / SCAR IMW ST05-08</t>
  </si>
  <si>
    <t>WGS 84 / SCAR IMW ST09-12</t>
  </si>
  <si>
    <t>WGS 84 / SCAR IMW ST13-16</t>
  </si>
  <si>
    <t>WGS 84 / SCAR IMW ST17-20</t>
  </si>
  <si>
    <t>WGS 84 / SCAR IMW ST21-24</t>
  </si>
  <si>
    <t>WGS 84 / SCAR IMW ST25-28</t>
  </si>
  <si>
    <t>WGS 84 / SCAR IMW ST29-32</t>
  </si>
  <si>
    <t>WGS 84 / SCAR IMW ST33-36</t>
  </si>
  <si>
    <t>WGS 84 / SCAR IMW ST37-40</t>
  </si>
  <si>
    <t>WGS 84 / SCAR IMW ST41-44</t>
  </si>
  <si>
    <t>WGS 84 / SCAR IMW ST45-48</t>
  </si>
  <si>
    <t>WGS 84 / SCAR IMW ST49-52</t>
  </si>
  <si>
    <t>WGS 84 / SCAR IMW ST53-56</t>
  </si>
  <si>
    <t>WGS 84 / SCAR IMW ST57-60</t>
  </si>
  <si>
    <t>WGS 84 / SCAR IMW SU01-05</t>
  </si>
  <si>
    <t>WGS 84 / SCAR IMW SU06-10</t>
  </si>
  <si>
    <t>WGS 84 / SCAR IMW SU11-15</t>
  </si>
  <si>
    <t>WGS 84 / SCAR IMW SU16-20</t>
  </si>
  <si>
    <t>WGS 84 / SCAR IMW SU21-25</t>
  </si>
  <si>
    <t>WGS 84 / SCAR IMW SU26-30</t>
  </si>
  <si>
    <t>WGS 84 / SCAR IMW SU31-35</t>
  </si>
  <si>
    <t>WGS 84 / SCAR IMW SU36-40</t>
  </si>
  <si>
    <t>WGS 84 / SCAR IMW SU41-45</t>
  </si>
  <si>
    <t>WGS 84 / SCAR IMW SU46-50</t>
  </si>
  <si>
    <t>WGS 84 / SCAR IMW SU51-55</t>
  </si>
  <si>
    <t>WGS 84 / SCAR IMW SU56-60</t>
  </si>
  <si>
    <t>WGS 84 / SCAR IMW SV01-10</t>
  </si>
  <si>
    <t>WGS 84 / SCAR IMW SV11-20</t>
  </si>
  <si>
    <t>WGS 84 / SCAR IMW SV21-30</t>
  </si>
  <si>
    <t>WGS 84 / SCAR IMW SV31-40</t>
  </si>
  <si>
    <t>WGS 84 / SCAR IMW SV41-50</t>
  </si>
  <si>
    <t>WGS 84 / SCAR IMW SV51-60</t>
  </si>
  <si>
    <t>WGS 84 / SCAR IMW SW01-60</t>
  </si>
  <si>
    <t>WGS 84 / USGS Transantarctic Mountains</t>
  </si>
  <si>
    <t>Guam 1963 / Yap IslandsUnable to translate coordinate system EPSG:3295 into PROJ.4 format.</t>
  </si>
  <si>
    <t>RGPF / UTM zone 5S</t>
  </si>
  <si>
    <t>RGPF / UTM zone 6S</t>
  </si>
  <si>
    <t>RGPF / UTM zone 7S</t>
  </si>
  <si>
    <t>RGPF / UTM zone 8S</t>
  </si>
  <si>
    <t>Estonian Coordinate System of 1992</t>
  </si>
  <si>
    <t>Estonian Coordinate System of 1997</t>
  </si>
  <si>
    <t>IGN63 Hiva Oa / UTM zone 7S</t>
  </si>
  <si>
    <t>Fatu Iva 72 / UTM zone 7S</t>
  </si>
  <si>
    <t>Tahiti 79 / UTM zone 6S</t>
  </si>
  <si>
    <t>Moorea 87 / UTM zone 6S</t>
  </si>
  <si>
    <t>Maupiti 83 / UTM zone 5S</t>
  </si>
  <si>
    <t>Nakhl-e Ghanem / UTM zone 39N</t>
  </si>
  <si>
    <t>GDA94 / NSW Lambert</t>
  </si>
  <si>
    <t>NAD27 / California Albers</t>
  </si>
  <si>
    <t>NAD83 / California Albers</t>
  </si>
  <si>
    <t>NAD83(HARN) / California Albers</t>
  </si>
  <si>
    <t>CSG67 / UTM zone 21N</t>
  </si>
  <si>
    <t>RGFG95 / UTM zone 21N</t>
  </si>
  <si>
    <t>Katanga 1955 / Katanga Lambert (deprecated)</t>
  </si>
  <si>
    <t>Katanga 1955 / Katanga TM (deprecated)</t>
  </si>
  <si>
    <t>Kasai 1953 / Congo TM zone 22</t>
  </si>
  <si>
    <t>Kasai 1953 / Congo TM zone 24</t>
  </si>
  <si>
    <t>IGC 1962 / Congo TM zone 12</t>
  </si>
  <si>
    <t>IGC 1962 / Congo TM zone 14</t>
  </si>
  <si>
    <t>IGC 1962 / Congo TM zone 16</t>
  </si>
  <si>
    <t>IGC 1962 / Congo TM zone 18</t>
  </si>
  <si>
    <t>IGC 1962 / Congo TM zone 20</t>
  </si>
  <si>
    <t>IGC 1962 / Congo TM zone 22</t>
  </si>
  <si>
    <t>IGC 1962 / Congo TM zone 24</t>
  </si>
  <si>
    <t>IGC 1962 / Congo TM zone 26</t>
  </si>
  <si>
    <t>IGC 1962 / Congo TM zone 28</t>
  </si>
  <si>
    <t>IGC 1962 / Congo TM zone 30</t>
  </si>
  <si>
    <t>Pulkovo 1942(58) / GUGiK-80</t>
  </si>
  <si>
    <t>Pulkovo 1942(58) / 3-degree Gauss-Kruger zone 5</t>
  </si>
  <si>
    <t>Pulkovo 1942(58) / 3-degree Gauss-Kruger zone 6</t>
  </si>
  <si>
    <t>Pulkovo 1942(58) / 3-degree Gauss-Kruger zone 7</t>
  </si>
  <si>
    <t>Pulkovo 1942(58) / 3-degree Gauss-Kruger zone 8</t>
  </si>
  <si>
    <t>Pulkovo 1942(58) / Gauss-Kruger zone 3</t>
  </si>
  <si>
    <t>Pulkovo 1942(58) / Gauss-Kruger zone 4</t>
  </si>
  <si>
    <t>Pulkovo 1942(58) / Gauss-Kruger zone 5</t>
  </si>
  <si>
    <t>IGN 1962 Kerguelen / UTM zone 42S</t>
  </si>
  <si>
    <t>Le Pouce 1934 / Mauritius Grid</t>
  </si>
  <si>
    <t>NAD83 / Alaska Albers</t>
  </si>
  <si>
    <t>IGCB 1955 / Congo TM zone 12</t>
  </si>
  <si>
    <t>IGCB 1955 / Congo TM zone 14</t>
  </si>
  <si>
    <t>IGCB 1955 / Congo TM zone 16</t>
  </si>
  <si>
    <t>IGCB 1955 / UTM zone 33S</t>
  </si>
  <si>
    <t>Mauritania 1999 / UTM zone 28N</t>
  </si>
  <si>
    <t>Mauritania 1999 / UTM zone 29N</t>
  </si>
  <si>
    <t>Mauritania 1999 / UTM zone 30N</t>
  </si>
  <si>
    <t>LKS94 / Lithuania TM</t>
  </si>
  <si>
    <t>NAD83 / Statistics Canada Lambert</t>
  </si>
  <si>
    <t>NAD83(CSRS) / Statistics Canada Lambert</t>
  </si>
  <si>
    <t>WGS 84 / PDC Mercator (deprecated)</t>
  </si>
  <si>
    <t>Pulkovo 1942 / CS63 zone C0</t>
  </si>
  <si>
    <t>Pulkovo 1942 / CS63 zone C1</t>
  </si>
  <si>
    <t>Pulkovo 1942 / CS63 zone C2</t>
  </si>
  <si>
    <t>Mhast (onshore) / UTM zone 32S</t>
  </si>
  <si>
    <t>Mhast (offshore) / UTM zone 32S</t>
  </si>
  <si>
    <t>Egypt Gulf of Suez S-650 TL / Red Belt</t>
  </si>
  <si>
    <t>Grand Cayman 1959 / UTM zone 17N (deprecated)</t>
  </si>
  <si>
    <t>Little Cayman 1961 / UTM zone 17N (deprecated)</t>
  </si>
  <si>
    <t>NAD83(HARN) / North Carolina</t>
  </si>
  <si>
    <t>NAD83(HARN) / North Carolina (ftUS) (deprecated)</t>
  </si>
  <si>
    <t>NAD83(HARN) / South Carolina</t>
  </si>
  <si>
    <t>NAD83(HARN) / South Carolina (ft)</t>
  </si>
  <si>
    <t>NAD83(HARN) / Pennsylvania North</t>
  </si>
  <si>
    <t>NAD83(HARN) / Pennsylvania North (ftUS)</t>
  </si>
  <si>
    <t>NAD83(HARN) / Pennsylvania South</t>
  </si>
  <si>
    <t>NAD83(HARN) / Pennsylvania South (ftUS)</t>
  </si>
  <si>
    <t>Hong Kong 1963 Grid System (deprecated)</t>
  </si>
  <si>
    <t>IGN Astro 1960 / UTM zone 28N</t>
  </si>
  <si>
    <t>IGN Astro 1960 / UTM zone 29N</t>
  </si>
  <si>
    <t>IGN Astro 1960 / UTM zone 30N</t>
  </si>
  <si>
    <t>NAD27 / UTM zone 59N</t>
  </si>
  <si>
    <t>NAD27 / UTM zone 60N</t>
  </si>
  <si>
    <t>NAD83 / UTM zone 59N</t>
  </si>
  <si>
    <t>NAD83 / UTM zone 60N</t>
  </si>
  <si>
    <t>FD54 / UTM zone 29N</t>
  </si>
  <si>
    <t>GDM2000 / Peninsula RSO</t>
  </si>
  <si>
    <t>GDM2000 / East Malaysia BRSO</t>
  </si>
  <si>
    <t>GDM2000 / Johor Grid</t>
  </si>
  <si>
    <t>GDM2000 / Sembilan and Melaka Grid</t>
  </si>
  <si>
    <t>GDM2000 / Pahang Grid</t>
  </si>
  <si>
    <t>GDM2000 / Selangor Grid</t>
  </si>
  <si>
    <t>GDM2000 / Terengganu Grid</t>
  </si>
  <si>
    <t>GDM2000 / Pinang Grid</t>
  </si>
  <si>
    <t>GDM2000 / Kedah and Perlis Grid</t>
  </si>
  <si>
    <t>GDM2000 / Perak Grid</t>
  </si>
  <si>
    <t>GDM2000 / Kelantan Grid</t>
  </si>
  <si>
    <t>KKJ / Finland zone 0</t>
  </si>
  <si>
    <t>KKJ / Finland zone 5</t>
  </si>
  <si>
    <t>Pulkovo 1942 / Caspian Sea Mercator</t>
  </si>
  <si>
    <t>Pulkovo 1942 / 3-degree Gauss-Kruger zone 60</t>
  </si>
  <si>
    <t>Pulkovo 1995 / 3-degree Gauss-Kruger zone 60</t>
  </si>
  <si>
    <t>Karbala 1979 / UTM zone 37N</t>
  </si>
  <si>
    <t>Karbala 1979 / UTM zone 38N</t>
  </si>
  <si>
    <t>Karbala 1979 / UTM zone 39N</t>
  </si>
  <si>
    <t>Nahrwan 1934 / Iraq zone</t>
  </si>
  <si>
    <t>WGS 84 / World Mercator</t>
  </si>
  <si>
    <t>PD/83 / 3-degree Gauss-Kruger zone 3</t>
  </si>
  <si>
    <t>PD/83 / 3-degree Gauss-Kruger zone 4</t>
  </si>
  <si>
    <t>RD/83 / 3-degree Gauss-Kruger zone 4</t>
  </si>
  <si>
    <t>RD/83 / 3-degree Gauss-Kruger zone 5</t>
  </si>
  <si>
    <t>NAD83 / Alberta 10-TM (Forest)</t>
  </si>
  <si>
    <t>NAD83 / Alberta 10-TM (Resource)</t>
  </si>
  <si>
    <t>NAD83(CSRS) / Alberta 10-TM (Forest)</t>
  </si>
  <si>
    <t>NAD83(CSRS) / Alberta 10-TM (Resource)</t>
  </si>
  <si>
    <t>NAD83(HARN) / North Carolina (ftUS)</t>
  </si>
  <si>
    <t>VN-2000 / UTM zone 48N</t>
  </si>
  <si>
    <t>VN-2000 / UTM zone 49N</t>
  </si>
  <si>
    <t>Hong Kong 1963 Grid System</t>
  </si>
  <si>
    <t>NSIDC EASE-Grid North</t>
  </si>
  <si>
    <t>NSIDC EASE-Grid South</t>
  </si>
  <si>
    <t>NSIDC EASE-Grid Global</t>
  </si>
  <si>
    <t>NSIDC Sea Ice Polar Stereographic North</t>
  </si>
  <si>
    <t>NSIDC Sea Ice Polar Stereographic South</t>
  </si>
  <si>
    <t>WGS 84 / NSIDC Sea Ice Polar Stereographic North</t>
  </si>
  <si>
    <t>SVY21 / Singapore TM</t>
  </si>
  <si>
    <t>WGS 72BE / South China Sea Lambert</t>
  </si>
  <si>
    <t>ETRS89 / Austria Lambert</t>
  </si>
  <si>
    <t>NAD83 / Iowa North (ftUS)</t>
  </si>
  <si>
    <t>NAD83 / Iowa South (ftUS)</t>
  </si>
  <si>
    <t>NAD83 / Kansas North (ftUS)</t>
  </si>
  <si>
    <t>NAD83 / Kansas South (ftUS)</t>
  </si>
  <si>
    <t>NAD83 / Nevada East (ftUS)</t>
  </si>
  <si>
    <t>NAD83 / Nevada Central (ftUS)</t>
  </si>
  <si>
    <t>NAD83 / Nevada West (ftUS)</t>
  </si>
  <si>
    <t>NAD83 / New Jersey (ftUS)</t>
  </si>
  <si>
    <t>NAD83(HARN) / Iowa North (ftUS)</t>
  </si>
  <si>
    <t>NAD83(HARN) / Iowa South (ftUS)</t>
  </si>
  <si>
    <t>NAD83(HARN) / Kansas North (ftUS)</t>
  </si>
  <si>
    <t>NAD83(HARN) / Kansas South (ftUS)</t>
  </si>
  <si>
    <t>NAD83(HARN) / Nevada East (ftUS)</t>
  </si>
  <si>
    <t>NAD83(HARN) / Nevada Central (ftUS)</t>
  </si>
  <si>
    <t>NAD83(HARN) / Nevada West (ftUS)</t>
  </si>
  <si>
    <t>NAD83(HARN) / New Jersey (ftUS)</t>
  </si>
  <si>
    <t>NAD83 / Arkansas North (ftUS)</t>
  </si>
  <si>
    <t>NAD83 / Arkansas South (ftUS)</t>
  </si>
  <si>
    <t>NAD83 / Illinois East (ftUS)</t>
  </si>
  <si>
    <t>NAD83 / Illinois West (ftUS)</t>
  </si>
  <si>
    <t>NAD83 / New Hampshire (ftUS)</t>
  </si>
  <si>
    <t>NAD83 / Rhode Island (ftUS)</t>
  </si>
  <si>
    <t>PSD93 / UTM zone 39N</t>
  </si>
  <si>
    <t>PSD93 / UTM zone 40N</t>
  </si>
  <si>
    <t>NAD83(HARN) / Arkansas North (ftUS)</t>
  </si>
  <si>
    <t>NAD83(HARN) / Arkansas South (ftUS)</t>
  </si>
  <si>
    <t>NAD83(HARN) / Illinois East (ftUS)</t>
  </si>
  <si>
    <t>NAD83(HARN) / Illinois West (ftUS)</t>
  </si>
  <si>
    <t>NAD83(HARN) / New Hampshire (ftUS)</t>
  </si>
  <si>
    <t>NAD83(HARN) / Rhode Island (ftUS)</t>
  </si>
  <si>
    <t>ETRS89 / Belgian Lambert 2005</t>
  </si>
  <si>
    <t>JAD2001 / Jamaica Metric Grid</t>
  </si>
  <si>
    <t>JAD2001 / UTM zone 17N</t>
  </si>
  <si>
    <t>JAD2001 / UTM zone 18N</t>
  </si>
  <si>
    <t>NAD83 / Louisiana North (ftUS)</t>
  </si>
  <si>
    <t>NAD83 / Louisiana South (ftUS)</t>
  </si>
  <si>
    <t>NAD83 / Louisiana Offshore (ftUS)</t>
  </si>
  <si>
    <t>NAD83 / South Dakota North (ftUS) (deprecated)</t>
  </si>
  <si>
    <t>NAD83 / South Dakota South (ftUS)</t>
  </si>
  <si>
    <t>NAD83(HARN) / Louisiana North (ftUS)</t>
  </si>
  <si>
    <t>NAD83(HARN) / Louisiana South (ftUS)</t>
  </si>
  <si>
    <t>NAD83(HARN) / South Dakota North (ftUS)</t>
  </si>
  <si>
    <t>NAD83(HARN) / South Dakota South (ftUS)</t>
  </si>
  <si>
    <t>Fiji 1986 / Fiji Map Grid</t>
  </si>
  <si>
    <t>Dabola 1981 / UTM zone 28N</t>
  </si>
  <si>
    <t>Dabola 1981 / UTM zone 29N</t>
  </si>
  <si>
    <t>NAD83 / Maine CS2000 Central</t>
  </si>
  <si>
    <t>NAD83(HARN) / Maine CS2000 Central</t>
  </si>
  <si>
    <t>NAD83(NSRS2007) / Alabama East</t>
  </si>
  <si>
    <t>NAD83(NSRS2007) / Alabama West</t>
  </si>
  <si>
    <t>NAD83(NSRS2007) / Alaska Albers</t>
  </si>
  <si>
    <t>NAD83(NSRS2007) / Alaska zone 1</t>
  </si>
  <si>
    <t>NAD83(NSRS2007) / Alaska zone 2</t>
  </si>
  <si>
    <t>NAD83(NSRS2007) / Alaska zone 3</t>
  </si>
  <si>
    <t>NAD83(NSRS2007) / Alaska zone 4</t>
  </si>
  <si>
    <t>NAD83(NSRS2007) / Alaska zone 5</t>
  </si>
  <si>
    <t>NAD83(NSRS2007) / Alaska zone 6</t>
  </si>
  <si>
    <t>NAD83(NSRS2007) / Alaska zone 7</t>
  </si>
  <si>
    <t>NAD83(NSRS2007) / Alaska zone 8</t>
  </si>
  <si>
    <t>NAD83(NSRS2007) / Alaska zone 9</t>
  </si>
  <si>
    <t>NAD83(NSRS2007) / Alaska zone 10</t>
  </si>
  <si>
    <t>NAD83(NSRS2007) / Arizona Central</t>
  </si>
  <si>
    <t>NAD83(NSRS2007) / Arizona Central (ft)</t>
  </si>
  <si>
    <t>NAD83(NSRS2007) / Arizona East</t>
  </si>
  <si>
    <t>NAD83(NSRS2007) / Arizona East (ft)</t>
  </si>
  <si>
    <t>NAD83(NSRS2007) / Arizona West</t>
  </si>
  <si>
    <t>NAD83(NSRS2007) / Arizona West (ft)</t>
  </si>
  <si>
    <t>NAD83(NSRS2007) / Arkansas North</t>
  </si>
  <si>
    <t>NAD83(NSRS2007) / Arkansas North (ftUS)</t>
  </si>
  <si>
    <t>NAD83(NSRS2007) / Arkansas South</t>
  </si>
  <si>
    <t>NAD83(NSRS2007) / Arkansas South (ftUS)</t>
  </si>
  <si>
    <t>NAD83(NSRS2007) / California Albers</t>
  </si>
  <si>
    <t>NAD83(NSRS2007) / California zone 1</t>
  </si>
  <si>
    <t>NAD83(NSRS2007) / California zone 1 (ftUS)</t>
  </si>
  <si>
    <t>NAD83(NSRS2007) / California zone 2</t>
  </si>
  <si>
    <t>NAD83(NSRS2007) / California zone 2 (ftUS)</t>
  </si>
  <si>
    <t>NAD83(NSRS2007) / California zone 3</t>
  </si>
  <si>
    <t>NAD83(NSRS2007) / California zone 3 (ftUS)</t>
  </si>
  <si>
    <t>NAD83(NSRS2007) / California zone 4</t>
  </si>
  <si>
    <t>NAD83(NSRS2007) / California zone 4 (ftUS)</t>
  </si>
  <si>
    <t>NAD83(NSRS2007) / California zone 5</t>
  </si>
  <si>
    <t>NAD83(NSRS2007) / California zone 5 (ftUS)</t>
  </si>
  <si>
    <t>NAD83(NSRS2007) / California zone 6</t>
  </si>
  <si>
    <t>NAD83(NSRS2007) / California zone 6 (ftUS)</t>
  </si>
  <si>
    <t>NAD83(NSRS2007) / Colorado Central</t>
  </si>
  <si>
    <t>NAD83(NSRS2007) / Colorado Central (ftUS)</t>
  </si>
  <si>
    <t>NAD83(NSRS2007) / Colorado North</t>
  </si>
  <si>
    <t>NAD83(NSRS2007) / Colorado North (ftUS)</t>
  </si>
  <si>
    <t>NAD83(NSRS2007) / Colorado South</t>
  </si>
  <si>
    <t>NAD83(NSRS2007) / Colorado South (ftUS)</t>
  </si>
  <si>
    <t>NAD83(NSRS2007) / Connecticut</t>
  </si>
  <si>
    <t>NAD83(NSRS2007) / Connecticut (ftUS)</t>
  </si>
  <si>
    <t>NAD83(NSRS2007) / Delaware</t>
  </si>
  <si>
    <t>NAD83(NSRS2007) / Delaware (ftUS)</t>
  </si>
  <si>
    <t>NAD83(NSRS2007) / Florida East</t>
  </si>
  <si>
    <t>NAD83(NSRS2007) / Florida East (ftUS)</t>
  </si>
  <si>
    <t>NAD83(NSRS2007) / Florida GDL Albers</t>
  </si>
  <si>
    <t>NAD83(NSRS2007) / Florida North</t>
  </si>
  <si>
    <t>NAD83(NSRS2007) / Florida North (ftUS)</t>
  </si>
  <si>
    <t>NAD83(NSRS2007) / Florida West</t>
  </si>
  <si>
    <t>NAD83(NSRS2007) / Florida West (ftUS)</t>
  </si>
  <si>
    <t>NAD83(NSRS2007) / Georgia East</t>
  </si>
  <si>
    <t>NAD83(NSRS2007) / Georgia East (ftUS)</t>
  </si>
  <si>
    <t>NAD83(NSRS2007) / Georgia West</t>
  </si>
  <si>
    <t>NAD83(NSRS2007) / Georgia West (ftUS)</t>
  </si>
  <si>
    <t>NAD83(NSRS2007) / Idaho Central</t>
  </si>
  <si>
    <t>NAD83(NSRS2007) / Idaho Central (ftUS)</t>
  </si>
  <si>
    <t>NAD83(NSRS2007) / Idaho East</t>
  </si>
  <si>
    <t>NAD83(NSRS2007) / Idaho East (ftUS)</t>
  </si>
  <si>
    <t>NAD83(NSRS2007) / Idaho West</t>
  </si>
  <si>
    <t>NAD83(NSRS2007) / Idaho West (ftUS)</t>
  </si>
  <si>
    <t>NAD83(NSRS2007) / Illinois East</t>
  </si>
  <si>
    <t>NAD83(NSRS2007) / Illinois East (ftUS)</t>
  </si>
  <si>
    <t>NAD83(NSRS2007) / Illinois West</t>
  </si>
  <si>
    <t>NAD83(NSRS2007) / Illinois West (ftUS)</t>
  </si>
  <si>
    <t>NAD83(NSRS2007) / Indiana East</t>
  </si>
  <si>
    <t>NAD83(NSRS2007) / Indiana East (ftUS)</t>
  </si>
  <si>
    <t>NAD83(NSRS2007) / Indiana West</t>
  </si>
  <si>
    <t>NAD83(NSRS2007) / Indiana West (ftUS)</t>
  </si>
  <si>
    <t>NAD83(NSRS2007) / Iowa North</t>
  </si>
  <si>
    <t>NAD83(NSRS2007) / Iowa North (ftUS)</t>
  </si>
  <si>
    <t>NAD83(NSRS2007) / Iowa South</t>
  </si>
  <si>
    <t>NAD83(NSRS2007) / Iowa South (ftUS)</t>
  </si>
  <si>
    <t>NAD83(NSRS2007) / Kansas North</t>
  </si>
  <si>
    <t>NAD83(NSRS2007) / Kansas North (ftUS)</t>
  </si>
  <si>
    <t>NAD83(NSRS2007) / Kansas South</t>
  </si>
  <si>
    <t>NAD83(NSRS2007) / Kansas South (ftUS)</t>
  </si>
  <si>
    <t>NAD83(NSRS2007) / Kentucky North</t>
  </si>
  <si>
    <t>NAD83(NSRS2007) / Kentucky North (ftUS)</t>
  </si>
  <si>
    <t>NAD83(NSRS2007) / Kentucky Single Zone</t>
  </si>
  <si>
    <t>NAD83(NSRS2007) / Kentucky Single Zone (ftUS)</t>
  </si>
  <si>
    <t>NAD83(NSRS2007) / Kentucky South</t>
  </si>
  <si>
    <t>NAD83(NSRS2007) / Kentucky South (ftUS)</t>
  </si>
  <si>
    <t>NAD83(NSRS2007) / Louisiana North</t>
  </si>
  <si>
    <t>NAD83(NSRS2007) / Louisiana North (ftUS)</t>
  </si>
  <si>
    <t>NAD83(NSRS2007) / Louisiana South</t>
  </si>
  <si>
    <t>NAD83(NSRS2007) / Louisiana South (ftUS)</t>
  </si>
  <si>
    <t>NAD83(NSRS2007) / Maine CS2000 Central</t>
  </si>
  <si>
    <t>NAD83(NSRS2007) / Maine CS2000 East</t>
  </si>
  <si>
    <t>NAD83(NSRS2007) / Maine CS2000 West</t>
  </si>
  <si>
    <t>NAD83(NSRS2007) / Maine East</t>
  </si>
  <si>
    <t>NAD83(NSRS2007) / Maine West</t>
  </si>
  <si>
    <t>NAD83(NSRS2007) / Maryland</t>
  </si>
  <si>
    <t>NAD83 / Utah North (ftUS)</t>
  </si>
  <si>
    <t>Old Hawaiian / Hawaii zone 1</t>
  </si>
  <si>
    <t>Old Hawaiian / Hawaii zone 2</t>
  </si>
  <si>
    <t>Old Hawaiian / Hawaii zone 3</t>
  </si>
  <si>
    <t>Old Hawaiian / Hawaii zone 4</t>
  </si>
  <si>
    <t>Old Hawaiian / Hawaii zone 5</t>
  </si>
  <si>
    <t>NAD83 / Utah Central (ftUS)</t>
  </si>
  <si>
    <t>NAD83 / Utah South (ftUS)</t>
  </si>
  <si>
    <t>NAD83(HARN) / Utah North (ftUS)</t>
  </si>
  <si>
    <t>NAD83(HARN) / Utah Central (ftUS)</t>
  </si>
  <si>
    <t>NAD83(HARN) / Utah South (ftUS)</t>
  </si>
  <si>
    <t>WGS 84 / North Pole LAEA Bering Sea</t>
  </si>
  <si>
    <t>WGS 84 / North Pole LAEA Alaska</t>
  </si>
  <si>
    <t>WGS 84 / North Pole LAEA Canada</t>
  </si>
  <si>
    <t>WGS 84 / North Pole LAEA Atlantic</t>
  </si>
  <si>
    <t>WGS 84 / North Pole LAEA Europe</t>
  </si>
  <si>
    <t>WGS 84 / North Pole LAEA Russia</t>
  </si>
  <si>
    <t>GDA94 / Australian Albers</t>
  </si>
  <si>
    <t>NAD83 / Yukon Albers</t>
  </si>
  <si>
    <t>NAD83(CSRS) / Yukon Albers</t>
  </si>
  <si>
    <t>NAD83 / NWT Lambert</t>
  </si>
  <si>
    <t>NAD83(CSRS) / NWT Lambert</t>
  </si>
  <si>
    <t>NAD83(NSRS2007) / Maryland (ftUS)</t>
  </si>
  <si>
    <t>NAD83(NSRS2007) / Massachusetts Island</t>
  </si>
  <si>
    <t>NAD83(NSRS2007) / Massachusetts Island (ftUS)</t>
  </si>
  <si>
    <t>NAD83(NSRS2007) / Massachusetts Mainland</t>
  </si>
  <si>
    <t>NAD83(NSRS2007) / Massachusetts Mainland (ftUS)</t>
  </si>
  <si>
    <t>NAD83(NSRS2007) / Michigan Central</t>
  </si>
  <si>
    <t>NAD83(NSRS2007) / Michigan Central (ft)</t>
  </si>
  <si>
    <t>NAD83(NSRS2007) / Michigan North</t>
  </si>
  <si>
    <t>NAD83(NSRS2007) / Michigan North (ft)</t>
  </si>
  <si>
    <t>NAD83(NSRS2007) / Michigan Oblique Mercator</t>
  </si>
  <si>
    <t>NAD83(NSRS2007) / Michigan South</t>
  </si>
  <si>
    <t>NAD83(NSRS2007) / Michigan South (ft)</t>
  </si>
  <si>
    <t>NAD83(NSRS2007) / Minnesota Central</t>
  </si>
  <si>
    <t>NAD83(NSRS2007) / Minnesota North</t>
  </si>
  <si>
    <t>NAD83(NSRS2007) / Minnesota South</t>
  </si>
  <si>
    <t>NAD83(NSRS2007) / Mississippi East</t>
  </si>
  <si>
    <t>NAD83(NSRS2007) / Mississippi East (ftUS)</t>
  </si>
  <si>
    <t>NAD83(NSRS2007) / Mississippi West</t>
  </si>
  <si>
    <t>NAD83(NSRS2007) / Mississippi West (ftUS)</t>
  </si>
  <si>
    <t>NAD83(NSRS2007) / Missouri Central</t>
  </si>
  <si>
    <t>NAD83(NSRS2007) / Missouri East</t>
  </si>
  <si>
    <t>NAD83(NSRS2007) / Missouri West</t>
  </si>
  <si>
    <t>NAD83(NSRS2007) / Montana</t>
  </si>
  <si>
    <t>NAD83(NSRS2007) / Montana (ft)</t>
  </si>
  <si>
    <t>NAD83(NSRS2007) / Nebraska</t>
  </si>
  <si>
    <t>NAD83(NSRS2007) / Nevada Central</t>
  </si>
  <si>
    <t>NAD83(NSRS2007) / Nevada Central (ftUS)</t>
  </si>
  <si>
    <t>NAD83(NSRS2007) / Nevada East</t>
  </si>
  <si>
    <t>NAD83(NSRS2007) / Nevada East (ftUS)</t>
  </si>
  <si>
    <t>NAD83(NSRS2007) / Nevada West</t>
  </si>
  <si>
    <t>NAD83(NSRS2007) / Nevada West (ftUS)</t>
  </si>
  <si>
    <t>NAD83(NSRS2007) / New Hampshire</t>
  </si>
  <si>
    <t>NAD83(NSRS2007) / New Hampshire (ftUS)</t>
  </si>
  <si>
    <t>NAD83(NSRS2007) / New Jersey</t>
  </si>
  <si>
    <t>NAD83(NSRS2007) / New Jersey (ftUS)</t>
  </si>
  <si>
    <t>NAD83(NSRS2007) / New Mexico Central</t>
  </si>
  <si>
    <t>NAD83(NSRS2007) / New Mexico Central (ftUS)</t>
  </si>
  <si>
    <t>NAD83(NSRS2007) / New Mexico East</t>
  </si>
  <si>
    <t>NAD83(NSRS2007) / New Mexico East (ftUS)</t>
  </si>
  <si>
    <t>NAD83(NSRS2007) / New Mexico West</t>
  </si>
  <si>
    <t>NAD83(NSRS2007) / New Mexico West (ftUS)</t>
  </si>
  <si>
    <t>NAD83(NSRS2007) / New York Central</t>
  </si>
  <si>
    <t>NAD83(NSRS2007) / New York Central (ftUS)</t>
  </si>
  <si>
    <t>NAD83(NSRS2007) / New York East</t>
  </si>
  <si>
    <t>NAD83(NSRS2007) / New York East (ftUS)</t>
  </si>
  <si>
    <t>NAD83(NSRS2007) / New York Long Island</t>
  </si>
  <si>
    <t>NAD83(NSRS2007) / New York Long Island (ftUS)</t>
  </si>
  <si>
    <t>NAD83(NSRS2007) / New York West</t>
  </si>
  <si>
    <t>NAD83(NSRS2007) / New York West (ftUS)</t>
  </si>
  <si>
    <t>NAD83(NSRS2007) / North Carolina</t>
  </si>
  <si>
    <t>NAD83(NSRS2007) / North Carolina (ftUS)</t>
  </si>
  <si>
    <t>NAD83(NSRS2007) / North Dakota North</t>
  </si>
  <si>
    <t>NAD83(NSRS2007) / North Dakota North (ft)</t>
  </si>
  <si>
    <t>NAD83(NSRS2007) / North Dakota South</t>
  </si>
  <si>
    <t>NAD83(NSRS2007) / North Dakota South (ft)</t>
  </si>
  <si>
    <t>NAD83(NSRS2007) / Ohio North</t>
  </si>
  <si>
    <t>NAD83(NSRS2007) / Ohio South</t>
  </si>
  <si>
    <t>NAD83(NSRS2007) / Oklahoma North</t>
  </si>
  <si>
    <t>NAD83(NSRS2007) / Oklahoma North (ftUS)</t>
  </si>
  <si>
    <t>NAD83(NSRS2007) / Oklahoma South</t>
  </si>
  <si>
    <t>NAD83(NSRS2007) / Oklahoma South (ftUS)</t>
  </si>
  <si>
    <t>NAD83(NSRS2007) / Oregon LCC (m)</t>
  </si>
  <si>
    <t>NAD83(NSRS2007) / Oregon GIC Lambert (ft)</t>
  </si>
  <si>
    <t>NAD83(NSRS2007) / Oregon North</t>
  </si>
  <si>
    <t>NAD83(NSRS2007) / Oregon North (ft)</t>
  </si>
  <si>
    <t>NAD83(NSRS2007) / Oregon South</t>
  </si>
  <si>
    <t>NAD83(NSRS2007) / Oregon South (ft)</t>
  </si>
  <si>
    <t>NAD83(NSRS2007) / Pennsylvania North</t>
  </si>
  <si>
    <t>NAD83(NSRS2007) / Pennsylvania North (ftUS)</t>
  </si>
  <si>
    <t>NAD83(NSRS2007) / Pennsylvania South</t>
  </si>
  <si>
    <t>NAD83(NSRS2007) / Pennsylvania South (ftUS)</t>
  </si>
  <si>
    <t>NAD83(NSRS2007) / Rhode Island</t>
  </si>
  <si>
    <t>NAD83(NSRS2007) / Rhode Island (ftUS)</t>
  </si>
  <si>
    <t>NAD83(NSRS2007) / South Carolina</t>
  </si>
  <si>
    <t>NAD83(NSRS2007) / South Carolina (ft)</t>
  </si>
  <si>
    <t>NAD83(NSRS2007) / South Dakota North</t>
  </si>
  <si>
    <t>NAD83(NSRS2007) / South Dakota North (ftUS)</t>
  </si>
  <si>
    <t>NAD83(NSRS2007) / South Dakota South</t>
  </si>
  <si>
    <t>NAD83(NSRS2007) / South Dakota South (ftUS)</t>
  </si>
  <si>
    <t>NAD83(NSRS2007) / Tennessee</t>
  </si>
  <si>
    <t>NAD83(NSRS2007) / Tennessee (ftUS)</t>
  </si>
  <si>
    <t>NAD83(NSRS2007) / Texas Central</t>
  </si>
  <si>
    <t>NAD83(NSRS2007) / Texas Central (ftUS)</t>
  </si>
  <si>
    <t>NAD83(NSRS2007) / Texas Centric Albers Equal Area</t>
  </si>
  <si>
    <t>NAD83(NSRS2007) / Texas Centric Lambert Conformal</t>
  </si>
  <si>
    <t>NAD83(NSRS2007) / Texas North</t>
  </si>
  <si>
    <t>NAD83(NSRS2007) / Texas North (ftUS)</t>
  </si>
  <si>
    <t>NAD83(NSRS2007) / Texas North Central</t>
  </si>
  <si>
    <t>NAD83(NSRS2007) / Texas North Central (ftUS)</t>
  </si>
  <si>
    <t>NAD83(NSRS2007) / Texas South</t>
  </si>
  <si>
    <t>NAD83(NSRS2007) / Texas South (ftUS)</t>
  </si>
  <si>
    <t>NAD83(NSRS2007) / Texas South Central</t>
  </si>
  <si>
    <t>NAD83(NSRS2007) / Texas South Central (ftUS)</t>
  </si>
  <si>
    <t>NAD83(NSRS2007) / Utah Central</t>
  </si>
  <si>
    <t>NAD83(NSRS2007) / Utah Central (ft)</t>
  </si>
  <si>
    <t>NAD83(NSRS2007) / Utah Central (ftUS)</t>
  </si>
  <si>
    <t>NAD83(NSRS2007) / Utah North</t>
  </si>
  <si>
    <t>NAD83(NSRS2007) / Utah North (ft)</t>
  </si>
  <si>
    <t>NAD83(NSRS2007) / Utah North (ftUS)</t>
  </si>
  <si>
    <t>NAD83(NSRS2007) / Utah South</t>
  </si>
  <si>
    <t>NAD83(NSRS2007) / Utah South (ft)</t>
  </si>
  <si>
    <t>NAD83(NSRS2007) / Utah South (ftUS)</t>
  </si>
  <si>
    <t>NAD83(NSRS2007) / Vermont</t>
  </si>
  <si>
    <t>NAD83(NSRS2007) / Virginia North</t>
  </si>
  <si>
    <t>NAD83(NSRS2007) / Virginia North (ftUS)</t>
  </si>
  <si>
    <t>NAD83(NSRS2007) / Virginia South</t>
  </si>
  <si>
    <t>NAD83(NSRS2007) / Virginia South (ftUS)</t>
  </si>
  <si>
    <t>NAD83(NSRS2007) / Washington North</t>
  </si>
  <si>
    <t>NAD83(NSRS2007) / Washington North (ftUS)</t>
  </si>
  <si>
    <t>NAD83(NSRS2007) / Washington South</t>
  </si>
  <si>
    <t>NAD83(NSRS2007) / Washington South (ftUS)</t>
  </si>
  <si>
    <t>NAD83(NSRS2007) / West Virginia North</t>
  </si>
  <si>
    <t>NAD83(NSRS2007) / West Virginia South</t>
  </si>
  <si>
    <t>NAD83(NSRS2007) / Wisconsin Central</t>
  </si>
  <si>
    <t>NAD83(NSRS2007) / Wisconsin Central (ftUS)</t>
  </si>
  <si>
    <t>NAD83(NSRS2007) / Wisconsin North</t>
  </si>
  <si>
    <t>NAD83(NSRS2007) / Wisconsin North (ftUS)</t>
  </si>
  <si>
    <t>NAD83(NSRS2007) / Wisconsin South</t>
  </si>
  <si>
    <t>NAD83(NSRS2007) / Wisconsin South (ftUS)</t>
  </si>
  <si>
    <t>NAD83(NSRS2007) / Wisconsin Transverse Mercator</t>
  </si>
  <si>
    <t>NAD83(NSRS2007) / Wyoming East</t>
  </si>
  <si>
    <t>NAD83(NSRS2007) / Wyoming East Central</t>
  </si>
  <si>
    <t>NAD83(NSRS2007) / Wyoming West Central</t>
  </si>
  <si>
    <t>NAD83(NSRS2007) / Wyoming West</t>
  </si>
  <si>
    <t>NAD83(NSRS2007) / UTM zone 59N</t>
  </si>
  <si>
    <t>NAD83(NSRS2007) / UTM zone 60N</t>
  </si>
  <si>
    <t>NAD83(NSRS2007) / UTM zone 1N</t>
  </si>
  <si>
    <t>NAD83(NSRS2007) / UTM zone 2N</t>
  </si>
  <si>
    <t>NAD83(NSRS2007) / UTM zone 3N</t>
  </si>
  <si>
    <t>NAD83(NSRS2007) / UTM zone 4N</t>
  </si>
  <si>
    <t>NAD83(NSRS2007) / UTM zone 5N</t>
  </si>
  <si>
    <t>NAD83(NSRS2007) / UTM zone 6N</t>
  </si>
  <si>
    <t>NAD83(NSRS2007) / UTM zone 7N</t>
  </si>
  <si>
    <t>NAD83(NSRS2007) / UTM zone 8N</t>
  </si>
  <si>
    <t>NAD83(NSRS2007) / UTM zone 9N</t>
  </si>
  <si>
    <t>NAD83(NSRS2007) / UTM zone 10N</t>
  </si>
  <si>
    <t>NAD83(NSRS2007) / UTM zone 11N</t>
  </si>
  <si>
    <t>NAD83(NSRS2007) / UTM zone 12N</t>
  </si>
  <si>
    <t>NAD83(NSRS2007) / UTM zone 13N</t>
  </si>
  <si>
    <t>NAD83(NSRS2007) / UTM zone 14N</t>
  </si>
  <si>
    <t>NAD83(NSRS2007) / UTM zone 15N</t>
  </si>
  <si>
    <t>NAD83(NSRS2007) / UTM zone 16N</t>
  </si>
  <si>
    <t>NAD83(NSRS2007) / UTM zone 17N</t>
  </si>
  <si>
    <t>NAD83(NSRS2007) / UTM zone 18N</t>
  </si>
  <si>
    <t>NAD83(NSRS2007) / UTM zone 19N</t>
  </si>
  <si>
    <t>Reunion 1947 / TM Reunion</t>
  </si>
  <si>
    <t>NAD83(NSRS2007) / Ohio North (ftUS)</t>
  </si>
  <si>
    <t>NAD83(NSRS2007) / Ohio South (ftUS)</t>
  </si>
  <si>
    <t>NAD83(NSRS2007) / Wyoming East (ftUS)</t>
  </si>
  <si>
    <t>NAD83(NSRS2007) / Wyoming East Central (ftUS)</t>
  </si>
  <si>
    <t>NAD83(NSRS2007) / Wyoming West Central (ftUS)</t>
  </si>
  <si>
    <t>NAD83(NSRS2007) / Wyoming West (ftUS)</t>
  </si>
  <si>
    <t>NAD83 / Ohio North (ftUS)</t>
  </si>
  <si>
    <t>NAD83 / Ohio South (ftUS)</t>
  </si>
  <si>
    <t>NAD83 / Wyoming East (ftUS)</t>
  </si>
  <si>
    <t>NAD83 / Wyoming East Central (ftUS)</t>
  </si>
  <si>
    <t>NAD83 / Wyoming West Central (ftUS)</t>
  </si>
  <si>
    <t>NAD83 / Wyoming West (ftUS)</t>
  </si>
  <si>
    <t>NAD83(HARN) / UTM zone 10N</t>
  </si>
  <si>
    <t>NAD83(HARN) / UTM zone 11N</t>
  </si>
  <si>
    <t>NAD83(HARN) / UTM zone 12N</t>
  </si>
  <si>
    <t>NAD83(HARN) / UTM zone 13N</t>
  </si>
  <si>
    <t>NAD83(HARN) / UTM zone 14N</t>
  </si>
  <si>
    <t>NAD83(HARN) / UTM zone 15N</t>
  </si>
  <si>
    <t>NAD83(HARN) / UTM zone 16N</t>
  </si>
  <si>
    <t>NAD83(HARN) / UTM zone 17N</t>
  </si>
  <si>
    <t>NAD83(HARN) / UTM zone 18N</t>
  </si>
  <si>
    <t>NAD83(HARN) / UTM zone 19N</t>
  </si>
  <si>
    <t>NAD83(HARN) / UTM zone 4N</t>
  </si>
  <si>
    <t>NAD83(HARN) / UTM zone 5N</t>
  </si>
  <si>
    <t>WGS 84 / Mercator 41 (deprecated)</t>
  </si>
  <si>
    <t>NAD83(HARN) / Ohio North (ftUS)</t>
  </si>
  <si>
    <t>NAD83(HARN) / Ohio South (ftUS)</t>
  </si>
  <si>
    <t>NAD83(HARN) / Wyoming East (ftUS)</t>
  </si>
  <si>
    <t>NAD83(HARN) / Wyoming East Central (ftUS)</t>
  </si>
  <si>
    <t>NAD83(HARN) / Wyoming West Central (ftUS)</t>
  </si>
  <si>
    <t>NAD83(HARN) / Wyoming West (ftUS)</t>
  </si>
  <si>
    <t>NAD83 / Hawaii zone 3 (ftUS)</t>
  </si>
  <si>
    <t>NAD83(HARN) / Hawaii zone 3 (ftUS)</t>
  </si>
  <si>
    <t>NAD83(CSRS) / UTM zone 22N</t>
  </si>
  <si>
    <t>WGS 84 / South Georgia Lambert</t>
  </si>
  <si>
    <t>ETRS89 / Portugal TM06</t>
  </si>
  <si>
    <t>NZGD2000 / Chatham Island Circuit 2000</t>
  </si>
  <si>
    <t>HTRS96 / Croatia TM</t>
  </si>
  <si>
    <t>HTRS96 / Croatia LCC</t>
  </si>
  <si>
    <t>HTRS96 / UTM zone 33N</t>
  </si>
  <si>
    <t>HTRS96 / UTM zone 34N</t>
  </si>
  <si>
    <t>Bermuda 1957 / UTM zone 20N</t>
  </si>
  <si>
    <t>BDA2000 / Bermuda 2000 National Grid</t>
  </si>
  <si>
    <t>NAD27 / Alberta 3TM ref merid 111 W</t>
  </si>
  <si>
    <t>NAD27 / Alberta 3TM ref merid 114 W</t>
  </si>
  <si>
    <t>NAD27 / Alberta 3TM ref merid 117 W</t>
  </si>
  <si>
    <t>NAD27 / Alberta 3TM ref merid 120 W (deprecated)</t>
  </si>
  <si>
    <t>NAD83 / Alberta 3TM ref merid 111 W</t>
  </si>
  <si>
    <t>NAD83 / Alberta 3TM ref merid 114 W</t>
  </si>
  <si>
    <t>NAD83 / Alberta 3TM ref merid 117 W</t>
  </si>
  <si>
    <t>NAD83 / Alberta 3TM ref merid 120 W (deprecated)</t>
  </si>
  <si>
    <t>NAD83(CSRS) / Alberta 3TM ref merid 111 W</t>
  </si>
  <si>
    <t>NAD83(CSRS) / Alberta 3TM ref merid 114 W</t>
  </si>
  <si>
    <t>NAD83(CSRS) / Alberta 3TM ref merid 117 W</t>
  </si>
  <si>
    <t>NAD83(CSRS) / Alberta 3TM ref merid 120 W (deprecated)</t>
  </si>
  <si>
    <t>Pitcairn 2006 / Pitcairn TM 2006</t>
  </si>
  <si>
    <t>Pitcairn 1967 / UTM zone 9S</t>
  </si>
  <si>
    <t>Popular Visualisation CRS / Mercator (deprecated)</t>
  </si>
  <si>
    <t>World Equidistant Cylindrical (Sphere) (deprecated)</t>
  </si>
  <si>
    <t>MGI / Slovene National Grid (deprecated)</t>
  </si>
  <si>
    <t>NZGD2000 / Auckland Islands TM 2000</t>
  </si>
  <si>
    <t>NZGD2000 / Campbell Island TM 2000</t>
  </si>
  <si>
    <t>NZGD2000 / Antipodes Islands TM 2000</t>
  </si>
  <si>
    <t>NZGD2000 / Raoul Island TM 2000</t>
  </si>
  <si>
    <t>NZGD2000 / Chatham Islands TM 2000</t>
  </si>
  <si>
    <t>Slovenia 1996 / Slovene National Grid</t>
  </si>
  <si>
    <t>NAD27 / Cuba Norte</t>
  </si>
  <si>
    <t>NAD27 / Cuba Sur</t>
  </si>
  <si>
    <t>NAD27 / MTQ Lambert</t>
  </si>
  <si>
    <t>NAD83 / MTQ Lambert</t>
  </si>
  <si>
    <t>NAD83(CSRS) / MTQ Lambert</t>
  </si>
  <si>
    <t>NAD27 / Alberta 3TM ref merid 120 W</t>
  </si>
  <si>
    <t>NAD83 / Alberta 3TM ref merid 120 W</t>
  </si>
  <si>
    <t>NAD83(CSRS) / Alberta 3TM ref merid 120 W</t>
  </si>
  <si>
    <t>ETRS89 / Belgian Lambert 2008</t>
  </si>
  <si>
    <t>NAD83 / Mississippi TM</t>
  </si>
  <si>
    <t>NAD83(HARN) / Mississippi TM</t>
  </si>
  <si>
    <t>NAD83(NSRS2007) / Mississippi TM</t>
  </si>
  <si>
    <t>TWD97 / TM2 zone 119</t>
  </si>
  <si>
    <t>TWD97 / TM2 zone 121</t>
  </si>
  <si>
    <t>TWD67 / TM2 zone 119</t>
  </si>
  <si>
    <t>TWD67 / TM2 zone 121</t>
  </si>
  <si>
    <t>Hu Tzu Shan 1950 / UTM zone 51N</t>
  </si>
  <si>
    <t>WGS 84 / PDC Mercator</t>
  </si>
  <si>
    <t>Pulkovo 1942(58) / Gauss-Kruger zone 2</t>
  </si>
  <si>
    <t>Pulkovo 1942(83) / Gauss-Kruger zone 2</t>
  </si>
  <si>
    <t>Pulkovo 1942(83) / Gauss-Kruger zone 3</t>
  </si>
  <si>
    <t>Pulkovo 1942(83) / Gauss-Kruger zone 4</t>
  </si>
  <si>
    <t>Pulkovo 1942(58) / 3-degree Gauss-Kruger zone 3</t>
  </si>
  <si>
    <t>Pulkovo 1942(58) / 3-degree Gauss-Kruger zone 4</t>
  </si>
  <si>
    <t>Pulkovo 1942(58) / 3-degree Gauss-Kruger zone 9</t>
  </si>
  <si>
    <t>Pulkovo 1942(58) / 3-degree Gauss-Kruger zone 10</t>
  </si>
  <si>
    <t>Pulkovo 1942(83) / 3-degree Gauss-Kruger zone 6</t>
  </si>
  <si>
    <t>Pulkovo 1942(83) / 3-degree Gauss-Kruger zone 7 (deprecated)</t>
  </si>
  <si>
    <t>Pulkovo 1942(83) / 3-degree Gauss-Kruger zone 8 (deprecated)</t>
  </si>
  <si>
    <t>Pulkovo 1942(58) / Stereo70</t>
  </si>
  <si>
    <t>SWEREF99 / RT90 7.5 gon V emulation</t>
  </si>
  <si>
    <t>SWEREF99 / RT90 5 gon V emulation</t>
  </si>
  <si>
    <t>SWEREF99 / RT90 2.5 gon V emulation</t>
  </si>
  <si>
    <t>SWEREF99 / RT90 0 gon emulation</t>
  </si>
  <si>
    <t>SWEREF99 / RT90 2.5 gon O emulation</t>
  </si>
  <si>
    <t>SWEREF99 / RT90 5 gon O emulation</t>
  </si>
  <si>
    <t>NZGD2000 / NZCS2000</t>
  </si>
  <si>
    <t>RSRGD2000 / DGLC2000</t>
  </si>
  <si>
    <t>County ST74</t>
  </si>
  <si>
    <t>WGS 84 / Pseudo-Mercator</t>
  </si>
  <si>
    <t>ETRS89 / GK19FIN</t>
  </si>
  <si>
    <t>ETRS89 / GK20FIN</t>
  </si>
  <si>
    <t>ETRS89 / GK21FIN</t>
  </si>
  <si>
    <t>ETRS89 / GK22FIN</t>
  </si>
  <si>
    <t>ETRS89 / GK23FIN</t>
  </si>
  <si>
    <t>ETRS89 / GK24FIN</t>
  </si>
  <si>
    <t>ETRS89 / GK25FIN</t>
  </si>
  <si>
    <t>ETRS89 / GK26FIN</t>
  </si>
  <si>
    <t>ETRS89 / GK27FIN</t>
  </si>
  <si>
    <t>ETRS89 / GK28FIN</t>
  </si>
  <si>
    <t>ETRS89 / GK29FIN</t>
  </si>
  <si>
    <t>ETRS89 / GK30FIN</t>
  </si>
  <si>
    <t>ETRS89 / GK31FIN</t>
  </si>
  <si>
    <t>IGRS / UTM zone 37N</t>
  </si>
  <si>
    <t>IGRS / UTM zone 38N</t>
  </si>
  <si>
    <t>IGRS / UTM zone 39N</t>
  </si>
  <si>
    <t>ED50 / Iraq National Grid</t>
  </si>
  <si>
    <t>MGI 1901 / Balkans zone 5</t>
  </si>
  <si>
    <t>MGI 1901 / Balkans zone 6</t>
  </si>
  <si>
    <t>MGI 1901 / Balkans zone 7</t>
  </si>
  <si>
    <t>MGI 1901 / Balkans zone 8</t>
  </si>
  <si>
    <t>MGI 1901 / Slovenia Grid</t>
  </si>
  <si>
    <t>MGI 1901 / Slovene National Grid</t>
  </si>
  <si>
    <t>Puerto Rico / UTM zone 20N</t>
  </si>
  <si>
    <t>RGF93 / CC42</t>
  </si>
  <si>
    <t>RGF93 / CC43</t>
  </si>
  <si>
    <t>RGF93 / CC44</t>
  </si>
  <si>
    <t>RGF93 / CC45</t>
  </si>
  <si>
    <t>RGF93 / CC46</t>
  </si>
  <si>
    <t>RGF93 / CC47</t>
  </si>
  <si>
    <t>RGF93 / CC48</t>
  </si>
  <si>
    <t>RGF93 / CC49</t>
  </si>
  <si>
    <t>RGF93 / CC50</t>
  </si>
  <si>
    <t>NAD83 / Virginia Lambert</t>
  </si>
  <si>
    <t>NAD83(HARN) / Virginia Lambert</t>
  </si>
  <si>
    <t>NAD83(NSRS2007) / Virginia Lambert</t>
  </si>
  <si>
    <t>WGS 84 / NSIDC EASE-Grid North (deprecated)</t>
  </si>
  <si>
    <t>WGS 84 / NSIDC EASE-Grid South (deprecated)</t>
  </si>
  <si>
    <t>WGS 84 / NSIDC EASE-Grid Global (deprecated)</t>
  </si>
  <si>
    <t>WGS 84 / NSIDC Sea Ice Polar Stereographic South</t>
  </si>
  <si>
    <t>NAD83 / Canada Atlas Lambert</t>
  </si>
  <si>
    <t>NAD83(CSRS) / Canada Atlas Lambert</t>
  </si>
  <si>
    <t>Katanga 1955 / Katanga Gauss zone A</t>
  </si>
  <si>
    <t>Katanga 1955 / Katanga Gauss zone B</t>
  </si>
  <si>
    <t>Katanga 1955 / Katanga Gauss zone C</t>
  </si>
  <si>
    <t>Katanga 1955 / Katanga Gauss zone D</t>
  </si>
  <si>
    <t>Puerto Rico State Plane CS of 1927</t>
  </si>
  <si>
    <t>Puerto Rico / St. Croix</t>
  </si>
  <si>
    <t>Guam 1963 / Guam SPCSUnable to translate coordinate system EPSG:3993 into PROJ.4 format.</t>
  </si>
  <si>
    <t>WGS 84 / Mercator 41</t>
  </si>
  <si>
    <t>WGS 84 / Arctic Polar Stereographic</t>
  </si>
  <si>
    <t>WGS 84 / IBCAO Polar Stereographic</t>
  </si>
  <si>
    <t>WGS 84 / Dubai Local TM</t>
  </si>
  <si>
    <t>MOLDREF99 / Moldova TM</t>
  </si>
  <si>
    <t>WGS 84 / TMzn35N</t>
  </si>
  <si>
    <t>WGS 84 / TMzn36N</t>
  </si>
  <si>
    <t>RGRDC 2005 / Congo TM zone 12</t>
  </si>
  <si>
    <t>RGRDC 2005 / Congo TM zone 14</t>
  </si>
  <si>
    <t>RGRDC 2005 / Congo TM zone 16</t>
  </si>
  <si>
    <t>RGRDC 2005 / Congo TM zone 18</t>
  </si>
  <si>
    <t>RGRDC 2005 / Congo TM zone 20</t>
  </si>
  <si>
    <t>RGRDC 2005 / Congo TM zone 22</t>
  </si>
  <si>
    <t>RGRDC 2005 / Congo TM zone 24</t>
  </si>
  <si>
    <t>RGRDC 2005 / Congo TM zone 26</t>
  </si>
  <si>
    <t>RGRDC 2005 / Congo TM zone 28</t>
  </si>
  <si>
    <t>RGRDC 2005 / UTM zone 33S</t>
  </si>
  <si>
    <t>RGRDC 2005 / UTM zone 34S</t>
  </si>
  <si>
    <t>RGRDC 2005 / UTM zone 35S</t>
  </si>
  <si>
    <t>Chua / UTM zone 23S</t>
  </si>
  <si>
    <t>REGCAN95 / UTM zone 27N</t>
  </si>
  <si>
    <t>REGCAN95 / UTM zone 28N</t>
  </si>
  <si>
    <t>WGS 84 / World Equidistant Cylindrical</t>
  </si>
  <si>
    <t>World Equidistant Cylindrical (Sphere)</t>
  </si>
  <si>
    <t>ETRS89 / DKTM1</t>
  </si>
  <si>
    <t>ETRS89 / DKTM2</t>
  </si>
  <si>
    <t>ETRS89 / DKTM3</t>
  </si>
  <si>
    <t>ETRS89 / DKTM4</t>
  </si>
  <si>
    <t>NAD83 / BLM 59N (ftUS)</t>
  </si>
  <si>
    <t>Kertau 1968 / Johor Grid</t>
  </si>
  <si>
    <t>Kertau 1968 / Sembilan and Melaka Grid</t>
  </si>
  <si>
    <t>Kertau 1968 / Pahang Grid</t>
  </si>
  <si>
    <t>Kertau 1968 / Selangor Grid</t>
  </si>
  <si>
    <t>Kertau 1968 / Terengganu Grid</t>
  </si>
  <si>
    <t>Kertau 1968 / Pinang Grid</t>
  </si>
  <si>
    <t>Kertau 1968 / Kedah and Perlis Grid</t>
  </si>
  <si>
    <t>Kertau 1968 / Perak Revised Grid</t>
  </si>
  <si>
    <t>Kertau 1968 / Kelantan Grid</t>
  </si>
  <si>
    <t>NAD27 / BLM 59N (ftUS)</t>
  </si>
  <si>
    <t>NAD27 / BLM 60N (ftUS)</t>
  </si>
  <si>
    <t>NAD27 / BLM 1N (ftUS)</t>
  </si>
  <si>
    <t>NAD27 / BLM 2N (ftUS)</t>
  </si>
  <si>
    <t>NAD27 / BLM 3N (ftUS)</t>
  </si>
  <si>
    <t>NAD27 / BLM 4N (ftUS)</t>
  </si>
  <si>
    <t>NAD27 / BLM 5N (ftUS)</t>
  </si>
  <si>
    <t>NAD27 / BLM 6N (ftUS)</t>
  </si>
  <si>
    <t>NAD27 / BLM 7N (ftUS)</t>
  </si>
  <si>
    <t>NAD27 / BLM 8N (ftUS)</t>
  </si>
  <si>
    <t>NAD27 / BLM 9N (ftUS)</t>
  </si>
  <si>
    <t>NAD27 / BLM 10N (ftUS)</t>
  </si>
  <si>
    <t>NAD27 / BLM 11N (ftUS)</t>
  </si>
  <si>
    <t>NAD27 / BLM 12N (ftUS)</t>
  </si>
  <si>
    <t>NAD27 / BLM 13N (ftUS)</t>
  </si>
  <si>
    <t>NAD83(HARN) / Guam Map Grid</t>
  </si>
  <si>
    <t>Katanga 1955 / Katanga Lambert</t>
  </si>
  <si>
    <t>Pulkovo 1942(83) / 3-degree Gauss-Kruger zone 7</t>
  </si>
  <si>
    <t>NAD27 / BLM 18N (ftUS)</t>
  </si>
  <si>
    <t>NAD27 / BLM 19N (ftUS)</t>
  </si>
  <si>
    <t>NAD83 / BLM 60N (ftUS)</t>
  </si>
  <si>
    <t>NAD83 / BLM 1N (ftUS)</t>
  </si>
  <si>
    <t>NAD83 / BLM 2N (ftUS)</t>
  </si>
  <si>
    <t>NAD83 / BLM 3N (ftUS)</t>
  </si>
  <si>
    <t>NAD83 / BLM 4N (ftUS)</t>
  </si>
  <si>
    <t>NAD83 / BLM 5N (ftUS)</t>
  </si>
  <si>
    <t>NAD83 / BLM 6N (ftUS)</t>
  </si>
  <si>
    <t>NAD83 / BLM 7N (ftUS)</t>
  </si>
  <si>
    <t>NAD83 / BLM 8N (ftUS)</t>
  </si>
  <si>
    <t>NAD83 / BLM 9N (ftUS)</t>
  </si>
  <si>
    <t>NAD83 / BLM 10N (ftUS)</t>
  </si>
  <si>
    <t>NAD83 / BLM 11N (ftUS)</t>
  </si>
  <si>
    <t>NAD83 / BLM 12N (ftUS)</t>
  </si>
  <si>
    <t>NAD83 / BLM 13N (ftUS)</t>
  </si>
  <si>
    <t>Pulkovo 1942(83) / 3-degree Gauss-Kruger zone 8</t>
  </si>
  <si>
    <t>NAD83(NSRS2007) / Puerto Rico and Virgin Is.</t>
  </si>
  <si>
    <t>NAD83 / BLM 18N (ftUS)</t>
  </si>
  <si>
    <t>NAD83 / BLM 19N (ftUS)</t>
  </si>
  <si>
    <t>NAD27 / Pennsylvania South</t>
  </si>
  <si>
    <t>NAD27 / New York Long Island</t>
  </si>
  <si>
    <t>NAD83 / South Dakota North (ftUS)</t>
  </si>
  <si>
    <t>WGS 84 / Australian Centre for Remote Sensing Lambert</t>
  </si>
  <si>
    <t>RGSPM06 / UTM zone 21N</t>
  </si>
  <si>
    <t>RGM04 / UTM zone 38S</t>
  </si>
  <si>
    <t>Cadastre 1997 / UTM zone 38S (deprecated)</t>
  </si>
  <si>
    <t>Mexico ITRF92 / UTM zone 11N</t>
  </si>
  <si>
    <t>Mexico ITRF92 / UTM zone 12N</t>
  </si>
  <si>
    <t>Mexico ITRF92 / UTM zone 13N</t>
  </si>
  <si>
    <t>Mexico ITRF92 / UTM zone 14N</t>
  </si>
  <si>
    <t>Mexico ITRF92 / UTM zone 15N</t>
  </si>
  <si>
    <t>Mexico ITRF92 / UTM zone 16N</t>
  </si>
  <si>
    <t>CGCS2000 / Gauss-Kruger zone 13</t>
  </si>
  <si>
    <t>CGCS2000 / Gauss-Kruger zone 14</t>
  </si>
  <si>
    <t>CGCS2000 / Gauss-Kruger zone 15</t>
  </si>
  <si>
    <t>CGCS2000 / Gauss-Kruger zone 16</t>
  </si>
  <si>
    <t>CGCS2000 / Gauss-Kruger zone 17</t>
  </si>
  <si>
    <t>CGCS2000 / Gauss-Kruger zone 18</t>
  </si>
  <si>
    <t>CGCS2000 / Gauss-Kruger zone 19</t>
  </si>
  <si>
    <t>CGCS2000 / Gauss-Kruger zone 20</t>
  </si>
  <si>
    <t>CGCS2000 / Gauss-Kruger zone 21</t>
  </si>
  <si>
    <t>CGCS2000 / Gauss-Kruger zone 22</t>
  </si>
  <si>
    <t>CGCS2000 / Gauss-Kruger zone 23</t>
  </si>
  <si>
    <t>CGCS2000 / Gauss-Kruger CM 75E</t>
  </si>
  <si>
    <t>CGCS2000 / Gauss-Kruger CM 81E</t>
  </si>
  <si>
    <t>CGCS2000 / Gauss-Kruger CM 87E</t>
  </si>
  <si>
    <t>CGCS2000 / Gauss-Kruger CM 93E</t>
  </si>
  <si>
    <t>CGCS2000 / Gauss-Kruger CM 99E</t>
  </si>
  <si>
    <t>CGCS2000 / Gauss-Kruger CM 105E</t>
  </si>
  <si>
    <t>CGCS2000 / Gauss-Kruger CM 111E</t>
  </si>
  <si>
    <t>CGCS2000 / Gauss-Kruger CM 117E</t>
  </si>
  <si>
    <t>CGCS2000 / Gauss-Kruger CM 123E</t>
  </si>
  <si>
    <t>CGCS2000 / Gauss-Kruger CM 129E</t>
  </si>
  <si>
    <t>CGCS2000 / Gauss-Kruger CM 135E</t>
  </si>
  <si>
    <t>CGCS2000 / 3-degree Gauss-Kruger zone 25</t>
  </si>
  <si>
    <t>CGCS2000 / 3-degree Gauss-Kruger zone 26</t>
  </si>
  <si>
    <t>CGCS2000 / 3-degree Gauss-Kruger zone 27</t>
  </si>
  <si>
    <t>CGCS2000 / 3-degree Gauss-Kruger zone 28</t>
  </si>
  <si>
    <t>CGCS2000 / 3-degree Gauss-Kruger zone 29</t>
  </si>
  <si>
    <t>CGCS2000 / 3-degree Gauss-Kruger zone 30</t>
  </si>
  <si>
    <t>CGCS2000 / 3-degree Gauss-Kruger zone 31</t>
  </si>
  <si>
    <t>CGCS2000 / 3-degree Gauss-Kruger zone 32</t>
  </si>
  <si>
    <t>CGCS2000 / 3-degree Gauss-Kruger zone 33</t>
  </si>
  <si>
    <t>CGCS2000 / 3-degree Gauss-Kruger zone 34</t>
  </si>
  <si>
    <t>CGCS2000 / 3-degree Gauss-Kruger zone 35</t>
  </si>
  <si>
    <t>CGCS2000 / 3-degree Gauss-Kruger zone 36</t>
  </si>
  <si>
    <t>CGCS2000 / 3-degree Gauss-Kruger zone 37</t>
  </si>
  <si>
    <t>CGCS2000 / 3-degree Gauss-Kruger zone 38</t>
  </si>
  <si>
    <t>CGCS2000 / 3-degree Gauss-Kruger zone 39</t>
  </si>
  <si>
    <t>CGCS2000 / 3-degree Gauss-Kruger zone 40</t>
  </si>
  <si>
    <t>CGCS2000 / 3-degree Gauss-Kruger zone 41</t>
  </si>
  <si>
    <t>CGCS2000 / 3-degree Gauss-Kruger zone 42</t>
  </si>
  <si>
    <t>CGCS2000 / 3-degree Gauss-Kruger zone 43</t>
  </si>
  <si>
    <t>CGCS2000 / 3-degree Gauss-Kruger zone 44</t>
  </si>
  <si>
    <t>CGCS2000 / 3-degree Gauss-Kruger zone 45</t>
  </si>
  <si>
    <t>CGCS2000 / 3-degree Gauss-Kruger CM 75E</t>
  </si>
  <si>
    <t>CGCS2000 / 3-degree Gauss-Kruger CM 78E</t>
  </si>
  <si>
    <t>CGCS2000 / 3-degree Gauss-Kruger CM 81E</t>
  </si>
  <si>
    <t>CGCS2000 / 3-degree Gauss-Kruger CM 84E</t>
  </si>
  <si>
    <t>CGCS2000 / 3-degree Gauss-Kruger CM 87E</t>
  </si>
  <si>
    <t>CGCS2000 / 3-degree Gauss-Kruger CM 90E</t>
  </si>
  <si>
    <t>CGCS2000 / 3-degree Gauss-Kruger CM 93E</t>
  </si>
  <si>
    <t>CGCS2000 / 3-degree Gauss-Kruger CM 96E</t>
  </si>
  <si>
    <t>CGCS2000 / 3-degree Gauss-Kruger CM 99E</t>
  </si>
  <si>
    <t>CGCS2000 / 3-degree Gauss-Kruger CM 102E</t>
  </si>
  <si>
    <t>CGCS2000 / 3-degree Gauss-Kruger CM 105E</t>
  </si>
  <si>
    <t>CGCS2000 / 3-degree Gauss-Kruger CM 108E</t>
  </si>
  <si>
    <t>CGCS2000 / 3-degree Gauss-Kruger CM 111E</t>
  </si>
  <si>
    <t>CGCS2000 / 3-degree Gauss-Kruger CM 114E</t>
  </si>
  <si>
    <t>CGCS2000 / 3-degree Gauss-Kruger CM 117E</t>
  </si>
  <si>
    <t>CGCS2000 / 3-degree Gauss-Kruger CM 120E</t>
  </si>
  <si>
    <t>CGCS2000 / 3-degree Gauss-Kruger CM 123E</t>
  </si>
  <si>
    <t>CGCS2000 / 3-degree Gauss-Kruger CM 126E</t>
  </si>
  <si>
    <t>CGCS2000 / 3-degree Gauss-Kruger CM 129E</t>
  </si>
  <si>
    <t>CGCS2000 / 3-degree Gauss-Kruger CM 132E</t>
  </si>
  <si>
    <t>CGCS2000 / 3-degree Gauss-Kruger CM 135E</t>
  </si>
  <si>
    <t>RRAF 1991 / UTM zone 20N</t>
  </si>
  <si>
    <t>New Beijing / Gauss-Kruger zone 13</t>
  </si>
  <si>
    <t>New Beijing / Gauss-Kruger zone 14</t>
  </si>
  <si>
    <t>New Beijing / Gauss-Kruger zone 15</t>
  </si>
  <si>
    <t>New Beijing / Gauss-Kruger zone 16</t>
  </si>
  <si>
    <t>New Beijing / Gauss-Kruger zone 17</t>
  </si>
  <si>
    <t>New Beijing / Gauss-Kruger zone 18</t>
  </si>
  <si>
    <t>New Beijing / Gauss-Kruger zone 19</t>
  </si>
  <si>
    <t>New Beijing / Gauss-Kruger zone 20</t>
  </si>
  <si>
    <t>New Beijing / Gauss-Kruger zone 21</t>
  </si>
  <si>
    <t>New Beijing / Gauss-Kruger zone 22</t>
  </si>
  <si>
    <t>New Beijing / Gauss-Kruger zone 23</t>
  </si>
  <si>
    <t>New Beijing / Gauss-Kruger CM 75E</t>
  </si>
  <si>
    <t>New Beijing / Gauss-Kruger CM 81E</t>
  </si>
  <si>
    <t>New Beijing / Gauss-Kruger CM 87E</t>
  </si>
  <si>
    <t>New Beijing / Gauss-Kruger CM 93E</t>
  </si>
  <si>
    <t>New Beijing / Gauss-Kruger CM 99E</t>
  </si>
  <si>
    <t>New Beijing / Gauss-Kruger CM 105E</t>
  </si>
  <si>
    <t>New Beijing / Gauss-Kruger CM 111E</t>
  </si>
  <si>
    <t>New Beijing / Gauss-Kruger CM 117E</t>
  </si>
  <si>
    <t>New Beijing / Gauss-Kruger CM 123E</t>
  </si>
  <si>
    <t>New Beijing / Gauss-Kruger CM 129E</t>
  </si>
  <si>
    <t>New Beijing / Gauss-Kruger CM 135E</t>
  </si>
  <si>
    <t>ETRS89 / UTM zone 32N (zE-N)</t>
  </si>
  <si>
    <t>New Beijing / 3-degree Gauss-Kruger zone 25</t>
  </si>
  <si>
    <t>New Beijing / 3-degree Gauss-Kruger zone 26</t>
  </si>
  <si>
    <t>New Beijing / 3-degree Gauss-Kruger zone 27</t>
  </si>
  <si>
    <t>New Beijing / 3-degree Gauss-Kruger zone 28</t>
  </si>
  <si>
    <t>New Beijing / 3-degree Gauss-Kruger zone 29</t>
  </si>
  <si>
    <t>New Beijing / 3-degree Gauss-Kruger zone 30</t>
  </si>
  <si>
    <t>New Beijing / 3-degree Gauss-Kruger zone 31</t>
  </si>
  <si>
    <t>New Beijing / 3-degree Gauss-Kruger zone 32</t>
  </si>
  <si>
    <t>New Beijing / 3-degree Gauss-Kruger zone 33</t>
  </si>
  <si>
    <t>New Beijing / 3-degree Gauss-Kruger zone 34</t>
  </si>
  <si>
    <t>New Beijing / 3-degree Gauss-Kruger zone 35</t>
  </si>
  <si>
    <t>New Beijing / 3-degree Gauss-Kruger zone 36</t>
  </si>
  <si>
    <t>New Beijing / 3-degree Gauss-Kruger zone 37</t>
  </si>
  <si>
    <t>New Beijing / 3-degree Gauss-Kruger zone 38</t>
  </si>
  <si>
    <t>New Beijing / 3-degree Gauss-Kruger zone 39</t>
  </si>
  <si>
    <t>New Beijing / 3-degree Gauss-Kruger zone 40</t>
  </si>
  <si>
    <t>New Beijing / 3-degree Gauss-Kruger zone 41</t>
  </si>
  <si>
    <t>New Beijing / 3-degree Gauss-Kruger zone 42</t>
  </si>
  <si>
    <t>New Beijing / 3-degree Gauss-Kruger zone 43</t>
  </si>
  <si>
    <t>New Beijing / 3-degree Gauss-Kruger zone 44</t>
  </si>
  <si>
    <t>New Beijing / 3-degree Gauss-Kruger zone 45</t>
  </si>
  <si>
    <t>New Beijing / 3-degree Gauss-Kruger CM 75E</t>
  </si>
  <si>
    <t>New Beijing / 3-degree Gauss-Kruger CM 78E</t>
  </si>
  <si>
    <t>New Beijing / 3-degree Gauss-Kruger CM 81E</t>
  </si>
  <si>
    <t>New Beijing / 3-degree Gauss-Kruger CM 84E</t>
  </si>
  <si>
    <t>New Beijing / 3-degree Gauss-Kruger CM 87E</t>
  </si>
  <si>
    <t>New Beijing / 3-degree Gauss-Kruger CM 90E</t>
  </si>
  <si>
    <t>New Beijing / 3-degree Gauss-Kruger CM 93E</t>
  </si>
  <si>
    <t>New Beijing / 3-degree Gauss-Kruger CM 96E</t>
  </si>
  <si>
    <t>New Beijing / 3-degree Gauss-Kruger CM 99E</t>
  </si>
  <si>
    <t>New Beijing / 3-degree Gauss-Kruger CM 102E</t>
  </si>
  <si>
    <t>New Beijing / 3-degree Gauss-Kruger CM 105E</t>
  </si>
  <si>
    <t>New Beijing / 3-degree Gauss-Kruger CM 108E</t>
  </si>
  <si>
    <t>New Beijing / 3-degree Gauss-Kruger CM 111E</t>
  </si>
  <si>
    <t>New Beijing / 3-degree Gauss-Kruger CM 114E</t>
  </si>
  <si>
    <t>New Beijing / 3-degree Gauss-Kruger CM 117E</t>
  </si>
  <si>
    <t>New Beijing / 3-degree Gauss-Kruger CM 120E</t>
  </si>
  <si>
    <t>New Beijing / 3-degree Gauss-Kruger CM 123E</t>
  </si>
  <si>
    <t>New Beijing / 3-degree Gauss-Kruger CM 126E</t>
  </si>
  <si>
    <t>New Beijing / 3-degree Gauss-Kruger CM 129E</t>
  </si>
  <si>
    <t>New Beijing / 3-degree Gauss-Kruger CM 132E</t>
  </si>
  <si>
    <t>New Beijing / 3-degree Gauss-Kruger CM 135E</t>
  </si>
  <si>
    <t>WGS 84 / Cape Verde National</t>
  </si>
  <si>
    <t>ETRS89 / LCC Germany (N-E)</t>
  </si>
  <si>
    <t>ETRS89 / NTM zone 5 (deprecated)</t>
  </si>
  <si>
    <t>ETRS89 / NTM zone 6 (deprecated)</t>
  </si>
  <si>
    <t>ETRS89 / NTM zone 7 (deprecated)</t>
  </si>
  <si>
    <t>ETRS89 / NTM zone 8 (deprecated)</t>
  </si>
  <si>
    <t>ETRS89 / NTM zone 9 (deprecated)</t>
  </si>
  <si>
    <t>ETRS89 / NTM zone 10 (deprecated)</t>
  </si>
  <si>
    <t>ETRS89 / NTM zone 11 (deprecated)</t>
  </si>
  <si>
    <t>ETRS89 / NTM zone 12 (deprecated)</t>
  </si>
  <si>
    <t>ETRS89 / NTM zone 13 (deprecated)</t>
  </si>
  <si>
    <t>ETRS89 / NTM zone 14 (deprecated)</t>
  </si>
  <si>
    <t>ETRS89 / NTM zone 15 (deprecated)</t>
  </si>
  <si>
    <t>ETRS89 / NTM zone 16 (deprecated)</t>
  </si>
  <si>
    <t>ETRS89 / NTM zone 17 (deprecated)</t>
  </si>
  <si>
    <t>ETRS89 / NTM zone 18 (deprecated)</t>
  </si>
  <si>
    <t>ETRS89 / NTM zone 19 (deprecated)</t>
  </si>
  <si>
    <t>ETRS89 / NTM zone 20 (deprecated)</t>
  </si>
  <si>
    <t>ETRS89 / NTM zone 21 (deprecated)</t>
  </si>
  <si>
    <t>ETRS89 / NTM zone 22 (deprecated)</t>
  </si>
  <si>
    <t>ETRS89 / NTM zone 23 (deprecated)</t>
  </si>
  <si>
    <t>ETRS89 / NTM zone 24 (deprecated)</t>
  </si>
  <si>
    <t>ETRS89 / NTM zone 25 (deprecated)</t>
  </si>
  <si>
    <t>ETRS89 / NTM zone 26 (deprecated)</t>
  </si>
  <si>
    <t>ETRS89 / NTM zone 27 (deprecated)</t>
  </si>
  <si>
    <t>ETRS89 / NTM zone 28 (deprecated)</t>
  </si>
  <si>
    <t>ETRS89 / NTM zone 29 (deprecated)</t>
  </si>
  <si>
    <t>ETRS89 / NTM zone 30 (deprecated)</t>
  </si>
  <si>
    <t>PTRA08 / UTM zone 25N</t>
  </si>
  <si>
    <t>PTRA08 / UTM zone 26N</t>
  </si>
  <si>
    <t>PTRA08 / UTM zone 28N</t>
  </si>
  <si>
    <t>Lisbon 1890 / Portugal Bonne NewUnable to translate coordinate system EPSG:5017 into PROJ.4 format.</t>
  </si>
  <si>
    <t>Lisbon / Portuguese Grid New</t>
  </si>
  <si>
    <t>WGS 84 / UPS North (E,N)</t>
  </si>
  <si>
    <t>WGS 84 / UPS South (E,N)</t>
  </si>
  <si>
    <t>ETRS89 / TM35FIN(N,E)</t>
  </si>
  <si>
    <t>NAD27 / Conus Albers</t>
  </si>
  <si>
    <t>NAD83 / Conus Albers</t>
  </si>
  <si>
    <t>NAD83(HARN) / Conus Albers</t>
  </si>
  <si>
    <t>NAD83(NSRS2007) / Conus Albers</t>
  </si>
  <si>
    <t>ETRS89 / NTM zone 5</t>
  </si>
  <si>
    <t>ETRS89 / NTM zone 6</t>
  </si>
  <si>
    <t>ETRS89 / NTM zone 7</t>
  </si>
  <si>
    <t>ETRS89 / NTM zone 8</t>
  </si>
  <si>
    <t>ETRS89 / NTM zone 9</t>
  </si>
  <si>
    <t>ETRS89 / NTM zone 10</t>
  </si>
  <si>
    <t>ETRS89 / NTM zone 11</t>
  </si>
  <si>
    <t>ETRS89 / NTM zone 12</t>
  </si>
  <si>
    <t>ETRS89 / NTM zone 13</t>
  </si>
  <si>
    <t>ETRS89 / NTM zone 14</t>
  </si>
  <si>
    <t>ETRS89 / NTM zone 15</t>
  </si>
  <si>
    <t>ETRS89 / NTM zone 16</t>
  </si>
  <si>
    <t>ETRS89 / NTM zone 17</t>
  </si>
  <si>
    <t>ETRS89 / NTM zone 18</t>
  </si>
  <si>
    <t>ETRS89 / NTM zone 19</t>
  </si>
  <si>
    <t>ETRS89 / NTM zone 20</t>
  </si>
  <si>
    <t>ETRS89 / NTM zone 21</t>
  </si>
  <si>
    <t>ETRS89 / NTM zone 22</t>
  </si>
  <si>
    <t>ETRS89 / NTM zone 23</t>
  </si>
  <si>
    <t>ETRS89 / NTM zone 24</t>
  </si>
  <si>
    <t>ETRS89 / NTM zone 25</t>
  </si>
  <si>
    <t>ETRS89 / NTM zone 26</t>
  </si>
  <si>
    <t>ETRS89 / NTM zone 27</t>
  </si>
  <si>
    <t>ETRS89 / NTM zone 28</t>
  </si>
  <si>
    <t>ETRS89 / NTM zone 29</t>
  </si>
  <si>
    <t>ETRS89 / NTM zone 30</t>
  </si>
  <si>
    <t>Korean 1985 / East Sea Belt</t>
  </si>
  <si>
    <t>Korean 1985 / Central Belt Jeju</t>
  </si>
  <si>
    <t>Tokyo 1892 / Korea West Belt</t>
  </si>
  <si>
    <t>Tokyo 1892 / Korea Central Belt</t>
  </si>
  <si>
    <t>Tokyo 1892 / Korea East Belt</t>
  </si>
  <si>
    <t>Tokyo 1892 / Korea East Sea Belt</t>
  </si>
  <si>
    <t>Korean 1985 / Modified West Belt</t>
  </si>
  <si>
    <t>Korean 1985 / Modified Central Belt</t>
  </si>
  <si>
    <t>Korean 1985 / Modified Central Belt Jeju</t>
  </si>
  <si>
    <t>Korean 1985 / Modified East Belt</t>
  </si>
  <si>
    <t>Korean 1985 / Modified East Sea Belt</t>
  </si>
  <si>
    <t>Korean 1985 / Unified CS</t>
  </si>
  <si>
    <t>Korea 2000 / Unified CS</t>
  </si>
  <si>
    <t>Korea 2000 / West Belt</t>
  </si>
  <si>
    <t>Korea 2000 / Central Belt</t>
  </si>
  <si>
    <t>Korea 2000 / Central Belt Jeju</t>
  </si>
  <si>
    <t>Korea 2000 / East Belt</t>
  </si>
  <si>
    <t>Korea 2000 / East Sea Belt</t>
  </si>
  <si>
    <t>Korea 2000 / West Belt 2010</t>
  </si>
  <si>
    <t>Korea 2000 / Central Belt 2010</t>
  </si>
  <si>
    <t>Korea 2000 / East Belt 2010</t>
  </si>
  <si>
    <t>Korea 2000 / East Sea Belt 2010</t>
  </si>
  <si>
    <t>S-JTSK (Ferro) / Krovak East North</t>
  </si>
  <si>
    <t>WGS 84 / Gabon TM</t>
  </si>
  <si>
    <t>S-JTSK/05 (Ferro) / Modified KrovakUnable to translate coordinate system EPSG:5224 into PROJ.4 format.</t>
  </si>
  <si>
    <t>S-JTSK/05 (Ferro) / Modified Krovak East NorthUnable to translate coordinate system EPSG:5225 into PROJ.4 format.</t>
  </si>
  <si>
    <t>Kandawala / Sri Lanka Grid</t>
  </si>
  <si>
    <t>SLD99 / Sri Lanka Grid 1999</t>
  </si>
  <si>
    <t>ETRS89 / LCC Germany (E-N)</t>
  </si>
  <si>
    <t>GDBD2009 / Brunei BRSO</t>
  </si>
  <si>
    <t>TUREF / TM27</t>
  </si>
  <si>
    <t>TUREF / TM30</t>
  </si>
  <si>
    <t>TUREF / TM33</t>
  </si>
  <si>
    <t>TUREF / TM36</t>
  </si>
  <si>
    <t>TUREF / TM39</t>
  </si>
  <si>
    <t>TUREF / TM42</t>
  </si>
  <si>
    <t>TUREF / TM45</t>
  </si>
  <si>
    <t>DRUKREF 03 / Bhutan National Grid</t>
  </si>
  <si>
    <t>TUREF / 3-degree Gauss-Kruger zone 9</t>
  </si>
  <si>
    <t>TUREF / 3-degree Gauss-Kruger zone 10</t>
  </si>
  <si>
    <t>TUREF / 3-degree Gauss-Kruger zone 11</t>
  </si>
  <si>
    <t>TUREF / 3-degree Gauss-Kruger zone 12</t>
  </si>
  <si>
    <t>TUREF / 3-degree Gauss-Kruger zone 13</t>
  </si>
  <si>
    <t>TUREF / 3-degree Gauss-Kruger zone 14</t>
  </si>
  <si>
    <t>TUREF / 3-degree Gauss-Kruger zone 15</t>
  </si>
  <si>
    <t>DRUKREF 03 / Bumthang TM</t>
  </si>
  <si>
    <t>DRUKREF 03 / Chhukha TM</t>
  </si>
  <si>
    <t>DRUKREF 03 / Dagana TM</t>
  </si>
  <si>
    <t>DRUKREF 03 / Gasa TM</t>
  </si>
  <si>
    <t>DRUKREF 03 / Ha TM</t>
  </si>
  <si>
    <t>DRUKREF 03 / Lhuentse TM</t>
  </si>
  <si>
    <t>DRUKREF 03 / Mongar TM</t>
  </si>
  <si>
    <t>DRUKREF 03 / Paro TM</t>
  </si>
  <si>
    <t>DRUKREF 03 / Pemagatshel TM</t>
  </si>
  <si>
    <t>DRUKREF 03 / Punakha TM</t>
  </si>
  <si>
    <t>DRUKREF 03 / Samdrup Jongkhar TM</t>
  </si>
  <si>
    <t>DRUKREF 03 / Samtse TM</t>
  </si>
  <si>
    <t>DRUKREF 03 / Sarpang TM</t>
  </si>
  <si>
    <t>DRUKREF 03 / Thimphu TM</t>
  </si>
  <si>
    <t>DRUKREF 03 / Trashigang TM</t>
  </si>
  <si>
    <t>DRUKREF 03 / Trongsa TM</t>
  </si>
  <si>
    <t>DRUKREF 03 / Tsirang TM</t>
  </si>
  <si>
    <t>DRUKREF 03 / Wangdue Phodrang TM</t>
  </si>
  <si>
    <t>DRUKREF 03 / Yangtse TM</t>
  </si>
  <si>
    <t>DRUKREF 03 / Zhemgang TM</t>
  </si>
  <si>
    <t>ETRS89 / Faroe TM</t>
  </si>
  <si>
    <t>NAD83 / Teranet Ontario Lambert</t>
  </si>
  <si>
    <t>NAD83(CSRS) / Teranet Ontario Lambert</t>
  </si>
  <si>
    <t>ISN2004 / Lambert 2004</t>
  </si>
  <si>
    <t>Segara (Jakarta) / NEIEZ</t>
  </si>
  <si>
    <t>Batavia (Jakarta) / NEIEZ</t>
  </si>
  <si>
    <t>Makassar (Jakarta) / NEIEZ</t>
  </si>
  <si>
    <t>Aratu / UTM zone 25S</t>
  </si>
  <si>
    <t>POSGAR 2007 / Argentina 1</t>
  </si>
  <si>
    <t>POSGAR 2007 / Argentina 2</t>
  </si>
  <si>
    <t>POSGAR 2007 / Argentina 3</t>
  </si>
  <si>
    <t>POSGAR 2007 / Argentina 4</t>
  </si>
  <si>
    <t>POSGAR 2007 / Argentina 5</t>
  </si>
  <si>
    <t>POSGAR 2007 / Argentina 6</t>
  </si>
  <si>
    <t>POSGAR 2007 / Argentina 7</t>
  </si>
  <si>
    <t>MARGEN / UTM zone 20S</t>
  </si>
  <si>
    <t>MARGEN / UTM zone 19S</t>
  </si>
  <si>
    <t>MARGEN / UTM zone 21S</t>
  </si>
  <si>
    <t>SIRGAS-Chile / UTM zone 19S</t>
  </si>
  <si>
    <t>SIRGAS-Chile / UTM zone 18S</t>
  </si>
  <si>
    <t>CR05 / CRTM05</t>
  </si>
  <si>
    <t>SIRGAS-ROU98 / UTM zone 21S</t>
  </si>
  <si>
    <t>SIRGAS-ROU98 / UTM zone 22S</t>
  </si>
  <si>
    <t>Peru96 / UTM zone 18S</t>
  </si>
  <si>
    <t>Peru96 / UTM zone 17S (deprecated)</t>
  </si>
  <si>
    <t>Peru96 / UTM zone 19S</t>
  </si>
  <si>
    <t>SIRGAS 2000 / UTM zone 26S</t>
  </si>
  <si>
    <t>Ocotepeque 1935 / Costa Rica Norte</t>
  </si>
  <si>
    <t>Ocotepeque 1935 / Costa Rica Sur</t>
  </si>
  <si>
    <t>Ocotepeque 1935 / Guatemala Norte (deprecated)</t>
  </si>
  <si>
    <t>Ocotepeque 1935 / Guatemala Sur</t>
  </si>
  <si>
    <t>Ocotepeque 1935 / El Salvador Lambert</t>
  </si>
  <si>
    <t>Ocotepeque 1935 / Nicaragua Norte</t>
  </si>
  <si>
    <t>Ocotepeque 1935 / Nicaragua Sur</t>
  </si>
  <si>
    <t>SAD69 / UTM zone 17N</t>
  </si>
  <si>
    <t>Sibun Gorge 1922 / Colony Grid (deprecated)</t>
  </si>
  <si>
    <t>Panama-Colon 1911 / Panama Lambert</t>
  </si>
  <si>
    <t>Panama-Colon 1911 / Panama Polyconic</t>
  </si>
  <si>
    <t>RSRGD2000 / MSLC2000</t>
  </si>
  <si>
    <t>RSRGD2000 / BCLC2000</t>
  </si>
  <si>
    <t>RSRGD2000 / PCLC2000</t>
  </si>
  <si>
    <t>RSRGD2000 / RSPS2000</t>
  </si>
  <si>
    <t>RGAF09 / UTM zone 20N</t>
  </si>
  <si>
    <t>S-JTSK / Krovak</t>
  </si>
  <si>
    <t>S-JTSK / Krovak East North</t>
  </si>
  <si>
    <t>S-JTSK/05 / Modified KrovakUnable to translate coordinate system EPSG:5515 into PROJ.4 format.</t>
  </si>
  <si>
    <t>S-JTSK/05 / Modified Krovak East NorthUnable to translate coordinate system EPSG:5516 into PROJ.4 format.</t>
  </si>
  <si>
    <t>CI1971 / Chatham Islands Map Grid</t>
  </si>
  <si>
    <t>CI1979 / Chatham Islands Map Grid</t>
  </si>
  <si>
    <t>DHDN / 3-degree Gauss-Kruger zone 1</t>
  </si>
  <si>
    <t>WGS 84 / Gabon TM 2011</t>
  </si>
  <si>
    <t>SAD69(96) / Brazil Polyconic</t>
  </si>
  <si>
    <t>SAD69(96) / UTM zone 21S</t>
  </si>
  <si>
    <t>SAD69(96) / UTM zone 22S (deprecated)</t>
  </si>
  <si>
    <t>SAD69(96) / UTM zone 23S</t>
  </si>
  <si>
    <t>SAD69(96) / UTM zone 24S</t>
  </si>
  <si>
    <t>SAD69(96) / UTM zone 25S</t>
  </si>
  <si>
    <t>Corrego Alegre 1961 / UTM zone 21S</t>
  </si>
  <si>
    <t>Corrego Alegre 1961 / UTM zone 22S</t>
  </si>
  <si>
    <t>Corrego Alegre 1961 / UTM zone 23S</t>
  </si>
  <si>
    <t>Corrego Alegre 1961 / UTM zone 24S</t>
  </si>
  <si>
    <t>PNG94 / PNGMG94 zone 54</t>
  </si>
  <si>
    <t>PNG94 / PNGMG94 zone 55</t>
  </si>
  <si>
    <t>PNG94 / PNGMG94 zone 56</t>
  </si>
  <si>
    <t>Ocotepeque 1935 / Guatemala Norte</t>
  </si>
  <si>
    <t>UCS-2000 / Gauss-Kruger zone 4</t>
  </si>
  <si>
    <t>UCS-2000 / Gauss-Kruger zone 5</t>
  </si>
  <si>
    <t>UCS-2000 / Gauss-Kruger zone 6</t>
  </si>
  <si>
    <t>UCS-2000 / Gauss-Kruger zone 7</t>
  </si>
  <si>
    <t>UCS-2000 / Gauss-Kruger CM 21E</t>
  </si>
  <si>
    <t>UCS-2000 / Gauss-Kruger CM 27E</t>
  </si>
  <si>
    <t>UCS-2000 / Gauss-Kruger CM 33E</t>
  </si>
  <si>
    <t>UCS-2000 / Gauss-Kruger CM 39E</t>
  </si>
  <si>
    <t>UCS-2000 / 3-degree Gauss-Kruger zone 7 (deprecated)</t>
  </si>
  <si>
    <t>UCS-2000 / 3-degree Gauss-Kruger zone 8 (deprecated)</t>
  </si>
  <si>
    <t>UCS-2000 / 3-degree Gauss-Kruger zone 9 (deprecated)</t>
  </si>
  <si>
    <t>UCS-2000 / 3-degree Gauss-Kruger zone 10 (deprecated)</t>
  </si>
  <si>
    <t>UCS-2000 / 3-degree Gauss-Kruger zone 11 (deprecated)</t>
  </si>
  <si>
    <t>UCS-2000 / 3-degree Gauss-Kruger zone 12 (deprecated)</t>
  </si>
  <si>
    <t>UCS-2000 / 3-degree Gauss-Kruger zone 13 (deprecated)</t>
  </si>
  <si>
    <t>UCS-2000 / 3-degree Gauss-Kruger CM 21E (deprecated)</t>
  </si>
  <si>
    <t>UCS-2000 / 3-degree Gauss-Kruger CM 24E (deprecated)</t>
  </si>
  <si>
    <t>UCS-2000 / 3-degree Gauss-Kruger CM 27E (deprecated)</t>
  </si>
  <si>
    <t>UCS-2000 / 3-degree Gauss-Kruger CM 30E (deprecated)</t>
  </si>
  <si>
    <t>UCS-2000 / 3-degree Gauss-Kruger CM 33E (deprecated)</t>
  </si>
  <si>
    <t>UCS-2000 / 3-degree Gauss-Kruger CM 36E (deprecated)</t>
  </si>
  <si>
    <t>UCS-2000 / 3-degree Gauss-Kruger CM 39E (deprecated)</t>
  </si>
  <si>
    <t>NAD27 / New Brunswick Stereographic (NAD27)</t>
  </si>
  <si>
    <t>Sibun Gorge 1922 / Colony Grid</t>
  </si>
  <si>
    <t>FEH2010 / Fehmarnbelt TM</t>
  </si>
  <si>
    <t>NAD27 / Michigan East</t>
  </si>
  <si>
    <t>NAD27 / Michigan Old Central</t>
  </si>
  <si>
    <t>NAD27 / Michigan West</t>
  </si>
  <si>
    <t>ED50 / TM 6 NE</t>
  </si>
  <si>
    <t>Moznet / UTM zone 38S</t>
  </si>
  <si>
    <t>Pulkovo 1942(58) / Gauss-Kruger zone 2 (E-N)</t>
  </si>
  <si>
    <t>PTRA08 / LCC Europe</t>
  </si>
  <si>
    <t>PTRA08 / LAEA Europe</t>
  </si>
  <si>
    <t>REGCAN95 / LCC Europe</t>
  </si>
  <si>
    <t>REGCAN95 / LAEA Europe</t>
  </si>
  <si>
    <t>TUREF / LAEA Europe</t>
  </si>
  <si>
    <t>TUREF / LCC Europe</t>
  </si>
  <si>
    <t>ISN2004 / LAEA Europe</t>
  </si>
  <si>
    <t>ISN2004 / LCC Europe</t>
  </si>
  <si>
    <t>SIRGAS 2000 / Brazil Mercator</t>
  </si>
  <si>
    <t>ED50 / SPBA LCC</t>
  </si>
  <si>
    <t>RGR92 / UTM zone 39S</t>
  </si>
  <si>
    <t>NAD83 / Vermont (ftUS)</t>
  </si>
  <si>
    <t>ETRS89 / UTM zone 31N (zE-N)</t>
  </si>
  <si>
    <t>ETRS89 / UTM zone 33N (zE-N)</t>
  </si>
  <si>
    <t>ETRS89 / UTM zone 31N (N-zE)</t>
  </si>
  <si>
    <t>ETRS89 / UTM zone 32N (N-zE)</t>
  </si>
  <si>
    <t>ETRS89 / UTM zone 33N (N-zE)</t>
  </si>
  <si>
    <t>NAD83(HARN) / Vermont (ftUS)</t>
  </si>
  <si>
    <t>NAD83(NSRS2007) / Vermont (ftUS)</t>
  </si>
  <si>
    <t>Monte Mario / TM Emilia-Romagna</t>
  </si>
  <si>
    <t>Pulkovo 1942(58) / Gauss-Kruger zone 3 (E-N)</t>
  </si>
  <si>
    <t>Pulkovo 1942(83) / Gauss-Kruger zone 2 (E-N)</t>
  </si>
  <si>
    <t>Pulkovo 1942(83) / Gauss-Kruger zone 3 (E-N)</t>
  </si>
  <si>
    <t>PD/83 / 3-degree Gauss-Kruger zone 3 (E-N)</t>
  </si>
  <si>
    <t>PD/83 / 3-degree Gauss-Kruger zone 4 (E-N)</t>
  </si>
  <si>
    <t>RD/83 / 3-degree Gauss-Kruger zone 4 (E-N)</t>
  </si>
  <si>
    <t>RD/83 / 3-degree Gauss-Kruger zone 5 (E-N)</t>
  </si>
  <si>
    <t>Pulkovo 1942(58) / 3-degree Gauss-Kruger zone 3 (E-N)</t>
  </si>
  <si>
    <t>Pulkovo 1942(58) / 3-degree Gauss-Kruger zone 4 (E-N)</t>
  </si>
  <si>
    <t>Pulkovo 1942(58) / 3-degree Gauss-Kruger zone 5 (E-N)</t>
  </si>
  <si>
    <t>Pulkovo 1942(83) / 3-degree Gauss-Kruger zone 3 (E-N)</t>
  </si>
  <si>
    <t>Pulkovo 1942(83) / 3-degree Gauss-Kruger zone 4 (E-N)</t>
  </si>
  <si>
    <t>Pulkovo 1942(83) / 3-degree Gauss-Kruger zone 5 (E-N)</t>
  </si>
  <si>
    <t>DHDN / 3-degree Gauss-Kruger zone 2 (E-N)</t>
  </si>
  <si>
    <t>DHDN / 3-degree Gauss-Kruger zone 3 (E-N)</t>
  </si>
  <si>
    <t>DHDN / 3-degree Gauss-Kruger zone 4 (E-N)</t>
  </si>
  <si>
    <t>DHDN / 3-degree Gauss-Kruger zone 5 (E-N)</t>
  </si>
  <si>
    <t>DHDN / 3-degree Gauss-Kruger zone 1 (E-N)</t>
  </si>
  <si>
    <t>DB_REF / 3-degree Gauss-Kruger zone 2 (E-N)</t>
  </si>
  <si>
    <t>DB_REF / 3-degree Gauss-Kruger zone 3 (E-N)</t>
  </si>
  <si>
    <t>DB_REF / 3-degree Gauss-Kruger zone 4 (E-N)</t>
  </si>
  <si>
    <t>DB_REF / 3-degree Gauss-Kruger zone 5 (E-N)</t>
  </si>
  <si>
    <t>NZGD2000 / UTM zone 1S</t>
  </si>
  <si>
    <t>EPSG topocentric example AUnable to translate coordinate system EPSG:5819 into PROJ.4 format.</t>
  </si>
  <si>
    <t>EPSG topocentric example BUnable to translate coordinate system EPSG:5820 into PROJ.4 format.</t>
  </si>
  <si>
    <t>EPSG vertical perspective exampleUnable to translate coordinate system EPSG:5821 into PROJ.4 format.</t>
  </si>
  <si>
    <t>AGD66 / ACT Standard Grid</t>
  </si>
  <si>
    <t>Yemen NGN96 / UTM zone 37N</t>
  </si>
  <si>
    <t>Yemen NGN96 / UTM zone 40N</t>
  </si>
  <si>
    <t>Peru96 / UTM zone 17S</t>
  </si>
  <si>
    <t>WGS 84 / TM 12 SE</t>
  </si>
  <si>
    <t>RGRDC 2005 / Congo TM zone 30</t>
  </si>
  <si>
    <t>SAD69(96) / UTM zone 22S</t>
  </si>
  <si>
    <t>SAD69(96) / UTM zone 18S</t>
  </si>
  <si>
    <t>SAD69(96) / UTM zone 19S</t>
  </si>
  <si>
    <t>SAD69(96) / UTM zone 20S</t>
  </si>
  <si>
    <t>Cadastre 1997 / UTM zone 38S</t>
  </si>
  <si>
    <t>SIRGAS 2000 / Brazil Polyconic</t>
  </si>
  <si>
    <t>TGD2005 / Tonga Map Grid</t>
  </si>
  <si>
    <t>JAXA Snow Depth Polar Stereographic North</t>
  </si>
  <si>
    <t>WGS 84 / EPSG Arctic Regional zone A1</t>
  </si>
  <si>
    <t>WGS 84 / EPSG Arctic Regional zone A2</t>
  </si>
  <si>
    <t>WGS 84 / EPSG Arctic Regional zone A3</t>
  </si>
  <si>
    <t>WGS 84 / EPSG Arctic Regional zone A4</t>
  </si>
  <si>
    <t>WGS 84 / EPSG Arctic Regional zone A5</t>
  </si>
  <si>
    <t>WGS 84 / EPSG Arctic Regional zone B1</t>
  </si>
  <si>
    <t>WGS 84 / EPSG Arctic Regional zone B2</t>
  </si>
  <si>
    <t>WGS 84 / EPSG Arctic Regional zone B3</t>
  </si>
  <si>
    <t>WGS 84 / EPSG Arctic Regional zone B4</t>
  </si>
  <si>
    <t>WGS 84 / EPSG Arctic Regional zone B5</t>
  </si>
  <si>
    <t>WGS 84 / EPSG Arctic Regional zone C1</t>
  </si>
  <si>
    <t>WGS 84 / EPSG Arctic Regional zone C2</t>
  </si>
  <si>
    <t>WGS 84 / EPSG Arctic Regional zone C3</t>
  </si>
  <si>
    <t>WGS 84 / EPSG Arctic Regional zone C4</t>
  </si>
  <si>
    <t>WGS 84 / EPSG Arctic Regional zone C5</t>
  </si>
  <si>
    <t>WGS 84 / EPSG Alaska Polar Stereographic</t>
  </si>
  <si>
    <t>WGS 84 / EPSG Canada Polar Stereographic</t>
  </si>
  <si>
    <t>WGS 84 / EPSG Greenland Polar Stereographic</t>
  </si>
  <si>
    <t>WGS 84 / EPSG Norway Polar Stereographic</t>
  </si>
  <si>
    <t>WGS 84 / EPSG Russia Polar Stereographic</t>
  </si>
  <si>
    <t>GR96 / EPSG Arctic zone 1-25</t>
  </si>
  <si>
    <t>GR96 / EPSG Arctic zone 2-18</t>
  </si>
  <si>
    <t>GR96 / EPSG Arctic zone 2-20</t>
  </si>
  <si>
    <t>GR96 / EPSG Arctic zone 3-29</t>
  </si>
  <si>
    <t>GR96 / EPSG Arctic zone 3-31</t>
  </si>
  <si>
    <t>GR96 / EPSG Arctic zone 3-33</t>
  </si>
  <si>
    <t>GR96 / EPSG Arctic zone 4-20</t>
  </si>
  <si>
    <t>GR96 / EPSG Arctic zone 4-22</t>
  </si>
  <si>
    <t>GR96 / EPSG Arctic zone 4-24</t>
  </si>
  <si>
    <t>GR96 / EPSG Arctic zone 5-41</t>
  </si>
  <si>
    <t>GR96 / EPSG Arctic zone 5-43</t>
  </si>
  <si>
    <t>GR96 / EPSG Arctic zone 5-45</t>
  </si>
  <si>
    <t>GR96 / EPSG Arctic zone 6-26</t>
  </si>
  <si>
    <t>GR96 / EPSG Arctic zone 6-28</t>
  </si>
  <si>
    <t>GR96 / EPSG Arctic zone 6-30</t>
  </si>
  <si>
    <t>GR96 / EPSG Arctic zone 7-11</t>
  </si>
  <si>
    <t>GR96 / EPSG Arctic zone 7-13</t>
  </si>
  <si>
    <t>GR96 / EPSG Arctic zone 8-20</t>
  </si>
  <si>
    <t>GR96 / EPSG Arctic zone 8-22</t>
  </si>
  <si>
    <t>ETRS89 / EPSG Arctic zone 2-22</t>
  </si>
  <si>
    <t>ETRS89 / EPSG Arctic zone 3-11</t>
  </si>
  <si>
    <t>ETRS89 / EPSG Arctic zone 4-26</t>
  </si>
  <si>
    <t>ETRS89 / EPSG Arctic zone 4-28</t>
  </si>
  <si>
    <t>ETRS89 / EPSG Arctic zone 5-11</t>
  </si>
  <si>
    <t>ETRS89 / EPSG Arctic zone 5-13</t>
  </si>
  <si>
    <t>WGS 84 / EPSG Arctic zone 2-24</t>
  </si>
  <si>
    <t>WGS 84 / EPSG Arctic zone 2-26</t>
  </si>
  <si>
    <t>WGS 84 / EPSG Arctic zone 3-13</t>
  </si>
  <si>
    <t>WGS 84 / EPSG Arctic zone 3-15</t>
  </si>
  <si>
    <t>WGS 84 / EPSG Arctic zone 3-17</t>
  </si>
  <si>
    <t>WGS 84 / EPSG Arctic zone 3-19</t>
  </si>
  <si>
    <t>WGS 84 / EPSG Arctic zone 4-30</t>
  </si>
  <si>
    <t>WGS 84 / EPSG Arctic zone 4-32</t>
  </si>
  <si>
    <t>WGS 84 / EPSG Arctic zone 4-34</t>
  </si>
  <si>
    <t>WGS 84 / EPSG Arctic zone 4-36</t>
  </si>
  <si>
    <t>WGS 84 / EPSG Arctic zone 4-38</t>
  </si>
  <si>
    <t>WGS 84 / EPSG Arctic zone 4-40</t>
  </si>
  <si>
    <t>WGS 84 / EPSG Arctic zone 5-15</t>
  </si>
  <si>
    <t>WGS 84 / EPSG Arctic zone 5-17</t>
  </si>
  <si>
    <t>WGS 84 / EPSG Arctic zone 5-19</t>
  </si>
  <si>
    <t>WGS 84 / EPSG Arctic zone 5-21</t>
  </si>
  <si>
    <t>WGS 84 / EPSG Arctic zone 5-23</t>
  </si>
  <si>
    <t>WGS 84 / EPSG Arctic zone 5-25</t>
  </si>
  <si>
    <t>WGS 84 / EPSG Arctic zone 5-27</t>
  </si>
  <si>
    <t>NAD83(NSRS2007) / EPSG Arctic zone 5-29</t>
  </si>
  <si>
    <t>NAD83(NSRS2007) / EPSG Arctic zone 5-31</t>
  </si>
  <si>
    <t>NAD83(NSRS2007) / EPSG Arctic zone 6-14</t>
  </si>
  <si>
    <t>NAD83(NSRS2007) / EPSG Arctic zone 6-16</t>
  </si>
  <si>
    <t>NAD83(CSRS) / EPSG Arctic zone 1-23</t>
  </si>
  <si>
    <t>NAD83(CSRS) / EPSG Arctic zone 2-14</t>
  </si>
  <si>
    <t>NAD83(CSRS) / EPSG Arctic zone 2-16</t>
  </si>
  <si>
    <t>NAD83(CSRS) / EPSG Arctic zone 3-25</t>
  </si>
  <si>
    <t>NAD83(CSRS) / EPSG Arctic zone 3-27</t>
  </si>
  <si>
    <t>NAD83(CSRS) / EPSG Arctic zone 3-29</t>
  </si>
  <si>
    <t>NAD83(CSRS) / EPSG Arctic zone 4-14</t>
  </si>
  <si>
    <t>NAD83(CSRS) / EPSG Arctic zone 4-16</t>
  </si>
  <si>
    <t>NAD83(CSRS) / EPSG Arctic zone 4-18</t>
  </si>
  <si>
    <t>NAD83(CSRS) / EPSG Arctic zone 5-33</t>
  </si>
  <si>
    <t>NAD83(CSRS) / EPSG Arctic zone 5-35</t>
  </si>
  <si>
    <t>NAD83(CSRS) / EPSG Arctic zone 5-37</t>
  </si>
  <si>
    <t>NAD83(CSRS) / EPSG Arctic zone 5-39</t>
  </si>
  <si>
    <t>NAD83(CSRS) / EPSG Arctic zone 6-18</t>
  </si>
  <si>
    <t>NAD83(CSRS) / EPSG Arctic zone 6-20</t>
  </si>
  <si>
    <t>NAD83(CSRS) / EPSG Arctic zone 6-22</t>
  </si>
  <si>
    <t>NAD83(CSRS) / EPSG Arctic zone 6-24</t>
  </si>
  <si>
    <t>WGS 84 / EPSG Arctic zone 1-27</t>
  </si>
  <si>
    <t>WGS 84 / EPSG Arctic zone 1-29</t>
  </si>
  <si>
    <t>WGS 84 / EPSG Arctic zone 1-31</t>
  </si>
  <si>
    <t>WGS 84 / EPSG Arctic zone 1-21</t>
  </si>
  <si>
    <t>WGS 84 / EPSG Arctic zone 2-28</t>
  </si>
  <si>
    <t>WGS 84 / EPSG Arctic zone 2-10</t>
  </si>
  <si>
    <t>WGS 84 / EPSG Arctic zone 2-12</t>
  </si>
  <si>
    <t>WGS 84 / EPSG Arctic zone 3-21</t>
  </si>
  <si>
    <t>WGS 84 / EPSG Arctic zone 3-23</t>
  </si>
  <si>
    <t>WGS 84 / EPSG Arctic zone 4-12</t>
  </si>
  <si>
    <t>ETRS89 / EPSG Arctic zone 5-47</t>
  </si>
  <si>
    <t>Grand Cayman National Grid 1959</t>
  </si>
  <si>
    <t>Sister Islands National Grid 1961</t>
  </si>
  <si>
    <t>Cayman Islands National Grid 2011 (deprecated)</t>
  </si>
  <si>
    <t>NAD27 / Michigan North (deprecated)Unable to translate coordinate system EPSG:6200 into PROJ.4 format.</t>
  </si>
  <si>
    <t>NAD27 / Michigan CentralUnable to translate coordinate system EPSG:6201 into PROJ.4 format.</t>
  </si>
  <si>
    <t>NAD27 / Michigan SouthUnable to translate coordinate system EPSG:6202 into PROJ.4 format.</t>
  </si>
  <si>
    <t>Macedonia State Coordinate System</t>
  </si>
  <si>
    <t>SIRGAS 2000 / UTM zone 23N</t>
  </si>
  <si>
    <t>SIRGAS 2000 / UTM zone 24N</t>
  </si>
  <si>
    <t>MAGNA-SIRGAS / Arauca urban gridUnable to translate coordinate system EPSG:6244 into PROJ.4 format.</t>
  </si>
  <si>
    <t>MAGNA-SIRGAS / Armenia urban gridUnable to translate coordinate system EPSG:6245 into PROJ.4 format.</t>
  </si>
  <si>
    <t>MAGNA-SIRGAS / Barranquilla urban gridUnable to translate coordinate system EPSG:6246 into PROJ.4 format.</t>
  </si>
  <si>
    <t>MAGNA-SIRGAS / Bogota urban gridUnable to translate coordinate system EPSG:6247 into PROJ.4 format.</t>
  </si>
  <si>
    <t>MAGNA-SIRGAS / Bucaramanga urban gridUnable to translate coordinate system EPSG:6248 into PROJ.4 format.</t>
  </si>
  <si>
    <t>MAGNA-SIRGAS / Cali urban gridUnable to translate coordinate system EPSG:6249 into PROJ.4 format.</t>
  </si>
  <si>
    <t>MAGNA-SIRGAS / Cartagena urban gridUnable to translate coordinate system EPSG:6250 into PROJ.4 format.</t>
  </si>
  <si>
    <t>MAGNA-SIRGAS / Cucuta urban gridUnable to translate coordinate system EPSG:6251 into PROJ.4 format.</t>
  </si>
  <si>
    <t>MAGNA-SIRGAS / Florencia urban gridUnable to translate coordinate system EPSG:6252 into PROJ.4 format.</t>
  </si>
  <si>
    <t>MAGNA-SIRGAS / Ibague urban gridUnable to translate coordinate system EPSG:6253 into PROJ.4 format.</t>
  </si>
  <si>
    <t>MAGNA-SIRGAS / Inirida urban gridUnable to translate coordinate system EPSG:6254 into PROJ.4 format.</t>
  </si>
  <si>
    <t>MAGNA-SIRGAS / Leticia urban gridUnable to translate coordinate system EPSG:6255 into PROJ.4 format.</t>
  </si>
  <si>
    <t>MAGNA-SIRGAS / Manizales urban gridUnable to translate coordinate system EPSG:6256 into PROJ.4 format.</t>
  </si>
  <si>
    <t>MAGNA-SIRGAS / Medellin urban gridUnable to translate coordinate system EPSG:6257 into PROJ.4 format.</t>
  </si>
  <si>
    <t>MAGNA-SIRGAS / Mitu urban gridUnable to translate coordinate system EPSG:6258 into PROJ.4 format.</t>
  </si>
  <si>
    <t>MAGNA-SIRGAS / Mocoa urban gridUnable to translate coordinate system EPSG:6259 into PROJ.4 format.</t>
  </si>
  <si>
    <t>MAGNA-SIRGAS / Monteria urban gridUnable to translate coordinate system EPSG:6260 into PROJ.4 format.</t>
  </si>
  <si>
    <t>MAGNA-SIRGAS / Neiva urban gridUnable to translate coordinate system EPSG:6261 into PROJ.4 format.</t>
  </si>
  <si>
    <t>MAGNA-SIRGAS / Pasto urban gridUnable to translate coordinate system EPSG:6262 into PROJ.4 format.</t>
  </si>
  <si>
    <t>MAGNA-SIRGAS / Pereira urban gridUnable to translate coordinate system EPSG:6263 into PROJ.4 format.</t>
  </si>
  <si>
    <t>MAGNA-SIRGAS / Popayan urban gridUnable to translate coordinate system EPSG:6264 into PROJ.4 format.</t>
  </si>
  <si>
    <t>MAGNA-SIRGAS / Puerto Carreno urban gridUnable to translate coordinate system EPSG:6265 into PROJ.4 format.</t>
  </si>
  <si>
    <t>MAGNA-SIRGAS / Quibdo urban gridUnable to translate coordinate system EPSG:6266 into PROJ.4 format.</t>
  </si>
  <si>
    <t>MAGNA-SIRGAS / Riohacha urban gridUnable to translate coordinate system EPSG:6267 into PROJ.4 format.</t>
  </si>
  <si>
    <t>MAGNA-SIRGAS / San Andres urban gridUnable to translate coordinate system EPSG:6268 into PROJ.4 format.</t>
  </si>
  <si>
    <t>MAGNA-SIRGAS / San Jose del Guaviare urban gridUnable to translate coordinate system EPSG:6269 into PROJ.4 format.</t>
  </si>
  <si>
    <t>MAGNA-SIRGAS / Santa Marta urban gridUnable to translate coordinate system EPSG:6270 into PROJ.4 format.</t>
  </si>
  <si>
    <t>MAGNA-SIRGAS / Sucre urban gridUnable to translate coordinate system EPSG:6271 into PROJ.4 format.</t>
  </si>
  <si>
    <t>MAGNA-SIRGAS / Tunja urban gridUnable to translate coordinate system EPSG:6272 into PROJ.4 format.</t>
  </si>
  <si>
    <t>MAGNA-SIRGAS / Valledupar urban gridUnable to translate coordinate system EPSG:6273 into PROJ.4 format.</t>
  </si>
  <si>
    <t>MAGNA-SIRGAS / Villavicencio urban gridUnable to translate coordinate system EPSG:6274 into PROJ.4 format.</t>
  </si>
  <si>
    <t>MAGNA-SIRGAS / Yopal urban gridUnable to translate coordinate system EPSG:6275 into PROJ.4 format.</t>
  </si>
  <si>
    <t>NAD83(CORS96) / Puerto Rico and Virgin Is.</t>
  </si>
  <si>
    <t>CGRS93 / Cyprus Local Transverse Mercator</t>
  </si>
  <si>
    <t>Macedonia State Coordinate System zone 7</t>
  </si>
  <si>
    <t>NAD83(2011) / UTM zone 59N</t>
  </si>
  <si>
    <t>NAD83(2011) / UTM zone 60N</t>
  </si>
  <si>
    <t>NAD83(2011) / UTM zone 1N</t>
  </si>
  <si>
    <t>NAD83(2011) / UTM zone 2N</t>
  </si>
  <si>
    <t>NAD83(2011) / UTM zone 3N</t>
  </si>
  <si>
    <t>NAD83(2011) / UTM zone 4N</t>
  </si>
  <si>
    <t>NAD83(2011) / UTM zone 5N</t>
  </si>
  <si>
    <t>NAD83(2011) / UTM zone 6N</t>
  </si>
  <si>
    <t>NAD83(2011) / UTM zone 7N</t>
  </si>
  <si>
    <t>NAD83(2011) / UTM zone 8N</t>
  </si>
  <si>
    <t>NAD83(2011) / UTM zone 9N</t>
  </si>
  <si>
    <t>NAD83(2011) / UTM zone 10N</t>
  </si>
  <si>
    <t>NAD83(2011) / UTM zone 11N</t>
  </si>
  <si>
    <t>NAD83(2011) / UTM zone 12N</t>
  </si>
  <si>
    <t>NAD83(2011) / UTM zone 13N</t>
  </si>
  <si>
    <t>NAD83(2011) / UTM zone 14N</t>
  </si>
  <si>
    <t>NAD83(2011) / UTM zone 15N</t>
  </si>
  <si>
    <t>NAD83(2011) / UTM zone 16N</t>
  </si>
  <si>
    <t>NAD83(2011) / UTM zone 17N</t>
  </si>
  <si>
    <t>NAD83(2011) / UTM zone 18N</t>
  </si>
  <si>
    <t>NAD83(2011) / UTM zone 19N</t>
  </si>
  <si>
    <t>NAD83(2011) / Conus Albers</t>
  </si>
  <si>
    <t>NAD83(2011) / EPSG Arctic zone 5-29</t>
  </si>
  <si>
    <t>NAD83(2011) / EPSG Arctic zone 5-31</t>
  </si>
  <si>
    <t>NAD83(2011) / EPSG Arctic zone 6-14</t>
  </si>
  <si>
    <t>NAD83(2011) / EPSG Arctic zone 6-16</t>
  </si>
  <si>
    <t>NAD83(2011) / Alabama East</t>
  </si>
  <si>
    <t>NAD83(2011) / Alabama West</t>
  </si>
  <si>
    <t>Mexico ITRF92 / LCC</t>
  </si>
  <si>
    <t>Mexico ITRF2008 / UTM zone 11N</t>
  </si>
  <si>
    <t>Mexico ITRF2008 / UTM zone 12N</t>
  </si>
  <si>
    <t>Mexico ITRF2008 / UTM zone 13N</t>
  </si>
  <si>
    <t>Mexico ITRF2008 / UTM zone 14N</t>
  </si>
  <si>
    <t>Mexico ITRF2008 / UTM zone 15N</t>
  </si>
  <si>
    <t>Mexico ITRF2008 / UTM zone 16N</t>
  </si>
  <si>
    <t>Mexico ITRF2008 / LCC</t>
  </si>
  <si>
    <t>UCS-2000 / Ukraine TM zone 7</t>
  </si>
  <si>
    <t>UCS-2000 / Ukraine TM zone 8</t>
  </si>
  <si>
    <t>UCS-2000 / Ukraine TM zone 9</t>
  </si>
  <si>
    <t>UCS-2000 / Ukraine TM zone 10</t>
  </si>
  <si>
    <t>UCS-2000 / Ukraine TM zone 11</t>
  </si>
  <si>
    <t>UCS-2000 / Ukraine TM zone 12</t>
  </si>
  <si>
    <t>UCS-2000 / Ukraine TM zone 13</t>
  </si>
  <si>
    <t>Cayman Islands National Grid 2011</t>
  </si>
  <si>
    <t>NAD83(2011) / Alaska Albers</t>
  </si>
  <si>
    <t>NAD83(2011) / Alaska zone 1</t>
  </si>
  <si>
    <t>NAD83(2011) / Alaska zone 2</t>
  </si>
  <si>
    <t>NAD83(2011) / Alaska zone 3</t>
  </si>
  <si>
    <t>NAD83(2011) / Alaska zone 4</t>
  </si>
  <si>
    <t>NAD83(2011) / Alaska zone 5</t>
  </si>
  <si>
    <t>NAD83(2011) / Alaska zone 6</t>
  </si>
  <si>
    <t>NAD83(2011) / Alaska zone 7</t>
  </si>
  <si>
    <t>NAD83(2011) / Alaska zone 8</t>
  </si>
  <si>
    <t>NAD83(2011) / Alaska zone 9</t>
  </si>
  <si>
    <t>NAD83(2011) / Alaska zone 10</t>
  </si>
  <si>
    <t>NAD83(2011) / Arizona Central</t>
  </si>
  <si>
    <t>NAD83(2011) / Arizona Central (ft)</t>
  </si>
  <si>
    <t>NAD83(2011) / Arizona East</t>
  </si>
  <si>
    <t>NAD83(2011) / Arizona East (ft)</t>
  </si>
  <si>
    <t>NAD83(2011) / Arizona West</t>
  </si>
  <si>
    <t>NAD83(2011) / Arizona West (ft)</t>
  </si>
  <si>
    <t>NAD83(2011) / Arkansas North</t>
  </si>
  <si>
    <t>NAD83(2011) / Arkansas North (ftUS)</t>
  </si>
  <si>
    <t>NAD83(2011) / Arkansas South</t>
  </si>
  <si>
    <t>NAD83(2011) / Arkansas South (ftUS)</t>
  </si>
  <si>
    <t>NAD83(2011) / California Albers</t>
  </si>
  <si>
    <t>NAD83(2011) / California zone 1</t>
  </si>
  <si>
    <t>NAD83(2011) / California zone 1 (ftUS)</t>
  </si>
  <si>
    <t>NAD83(2011) / California zone 2</t>
  </si>
  <si>
    <t>NAD83(2011) / California zone 2 (ftUS)</t>
  </si>
  <si>
    <t>NAD83(2011) / California zone 3</t>
  </si>
  <si>
    <t>NAD83(2011) / California zone 3 (ftUS)</t>
  </si>
  <si>
    <t>NAD83(2011) / California zone 4</t>
  </si>
  <si>
    <t>NAD83(2011) / California zone 4 (ftUS)</t>
  </si>
  <si>
    <t>NAD83(2011) / California zone 5</t>
  </si>
  <si>
    <t>NAD83(2011) / California zone 5 (ftUS)</t>
  </si>
  <si>
    <t>NAD83(2011) / California zone 6</t>
  </si>
  <si>
    <t>NAD83(2011) / California zone 6 (ftUS)</t>
  </si>
  <si>
    <t>NAD83(2011) / Colorado Central</t>
  </si>
  <si>
    <t>NAD83(2011) / Colorado Central (ftUS)</t>
  </si>
  <si>
    <t>NAD83(2011) / Colorado North</t>
  </si>
  <si>
    <t>NAD83(2011) / Colorado North (ftUS)</t>
  </si>
  <si>
    <t>NAD83(2011) / Colorado South</t>
  </si>
  <si>
    <t>NAD83(2011) / Colorado South (ftUS)</t>
  </si>
  <si>
    <t>NAD83(2011) / Connecticut</t>
  </si>
  <si>
    <t>NAD83(2011) / Connecticut (ftUS)</t>
  </si>
  <si>
    <t>NAD83(2011) / Delaware</t>
  </si>
  <si>
    <t>NAD83(2011) / Delaware (ftUS)</t>
  </si>
  <si>
    <t>NAD83(2011) / Florida East</t>
  </si>
  <si>
    <t>NAD83(2011) / Florida East (ftUS)</t>
  </si>
  <si>
    <t>NAD83(2011) / Florida GDL Albers</t>
  </si>
  <si>
    <t>NAD83(2011) / Florida North</t>
  </si>
  <si>
    <t>NAD83(2011) / Florida North (ftUS)</t>
  </si>
  <si>
    <t>NAD83(2011) / Florida West</t>
  </si>
  <si>
    <t>NAD83(2011) / Florida West (ftUS)</t>
  </si>
  <si>
    <t>NAD83(2011) / Georgia East</t>
  </si>
  <si>
    <t>NAD83(2011) / Georgia East (ftUS)</t>
  </si>
  <si>
    <t>NAD83(2011) / Georgia West</t>
  </si>
  <si>
    <t>NAD83(2011) / Georgia West (ftUS)</t>
  </si>
  <si>
    <t>NAD83(2011) / Idaho Central</t>
  </si>
  <si>
    <t>NAD83(2011) / Idaho Central (ftUS)</t>
  </si>
  <si>
    <t>NAD83(2011) / Idaho East</t>
  </si>
  <si>
    <t>NAD83(2011) / Idaho East (ftUS)</t>
  </si>
  <si>
    <t>NAD83(2011) / Idaho West</t>
  </si>
  <si>
    <t>NAD83(2011) / Idaho West (ftUS)</t>
  </si>
  <si>
    <t>NAD83(2011) / Illinois East</t>
  </si>
  <si>
    <t>NAD83(2011) / Illinois East (ftUS)</t>
  </si>
  <si>
    <t>NAD83(2011) / Illinois West</t>
  </si>
  <si>
    <t>NAD83(2011) / Illinois West (ftUS)</t>
  </si>
  <si>
    <t>NAD83(2011) / Indiana East</t>
  </si>
  <si>
    <t>NAD83(2011) / Indiana East (ftUS)</t>
  </si>
  <si>
    <t>NAD83(2011) / Indiana West</t>
  </si>
  <si>
    <t>NAD83(2011) / Indiana West (ftUS)</t>
  </si>
  <si>
    <t>NAD83(2011) / Iowa North</t>
  </si>
  <si>
    <t>NAD83(2011) / Iowa North (ftUS)</t>
  </si>
  <si>
    <t>NAD83(2011) / Iowa South</t>
  </si>
  <si>
    <t>NAD83(2011) / Iowa South (ftUS)</t>
  </si>
  <si>
    <t>NAD83(2011) / Kansas North</t>
  </si>
  <si>
    <t>NAD83(2011) / Kansas North (ftUS)</t>
  </si>
  <si>
    <t>NAD83(2011) / Kansas South</t>
  </si>
  <si>
    <t>NAD83(2011) / Kansas South (ftUS)</t>
  </si>
  <si>
    <t>NAD83(2011) / Kentucky North</t>
  </si>
  <si>
    <t>NAD83(2011) / Kentucky North (ftUS)</t>
  </si>
  <si>
    <t>NAD83(2011) / Kentucky Single Zone</t>
  </si>
  <si>
    <t>NAD83(2011) / Kentucky Single Zone (ftUS)</t>
  </si>
  <si>
    <t>NAD83(2011) / Kentucky South</t>
  </si>
  <si>
    <t>NAD83(2011) / Kentucky South (ftUS)</t>
  </si>
  <si>
    <t>NAD83(2011) / Louisiana North</t>
  </si>
  <si>
    <t>NAD83(2011) / Louisiana North (ftUS)</t>
  </si>
  <si>
    <t>NAD83(2011) / Louisiana South</t>
  </si>
  <si>
    <t>NAD83(2011) / Louisiana South (ftUS)</t>
  </si>
  <si>
    <t>NAD83(2011) / Maine CS2000 Central</t>
  </si>
  <si>
    <t>NAD83(2011) / Maine CS2000 East</t>
  </si>
  <si>
    <t>NAD83(2011) / Maine CS2000 West</t>
  </si>
  <si>
    <t>NAD83(2011) / Maine East</t>
  </si>
  <si>
    <t>NAD83(2011) / Maine East (ftUS)</t>
  </si>
  <si>
    <t>NAD83(2011) / Maine West</t>
  </si>
  <si>
    <t>NAD83(2011) / Maine West (ftUS)</t>
  </si>
  <si>
    <t>NAD83(2011) / Maryland</t>
  </si>
  <si>
    <t>NAD83(2011) / Maryland (ftUS)</t>
  </si>
  <si>
    <t>NAD83(2011) / Massachusetts Island</t>
  </si>
  <si>
    <t>NAD83(2011) / Massachusetts Island (ftUS)</t>
  </si>
  <si>
    <t>NAD83(2011) / Massachusetts Mainland</t>
  </si>
  <si>
    <t>NAD83(2011) / Massachusetts Mainland (ftUS)</t>
  </si>
  <si>
    <t>NAD83(2011) / Michigan Central</t>
  </si>
  <si>
    <t>NAD83(2011) / Michigan Central (ft)</t>
  </si>
  <si>
    <t>NAD83(2011) / Michigan North</t>
  </si>
  <si>
    <t>NAD83(2011) / Michigan North (ft)</t>
  </si>
  <si>
    <t>NAD83(2011) / Michigan Oblique Mercator</t>
  </si>
  <si>
    <t>NAD83(2011) / Michigan South</t>
  </si>
  <si>
    <t>NAD83(2011) / Michigan South (ft)</t>
  </si>
  <si>
    <t>NAD83(2011) / Minnesota Central</t>
  </si>
  <si>
    <t>NAD83(2011) / Minnesota Central (ftUS)</t>
  </si>
  <si>
    <t>NAD83(2011) / Minnesota North</t>
  </si>
  <si>
    <t>NAD83(2011) / Minnesota North (ftUS)</t>
  </si>
  <si>
    <t>NAD83(2011) / Minnesota South</t>
  </si>
  <si>
    <t>NAD83(2011) / Minnesota South (ftUS)</t>
  </si>
  <si>
    <t>NAD83(2011) / Mississippi East</t>
  </si>
  <si>
    <t>NAD83(2011) / Mississippi East (ftUS)</t>
  </si>
  <si>
    <t>NAD83(2011) / Mississippi TM</t>
  </si>
  <si>
    <t>NAD83(2011) / Mississippi West</t>
  </si>
  <si>
    <t>NAD83(2011) / Mississippi West (ftUS)</t>
  </si>
  <si>
    <t>NAD83(2011) / Missouri Central</t>
  </si>
  <si>
    <t>NAD83(2011) / Missouri East</t>
  </si>
  <si>
    <t>NAD83(2011) / Missouri West</t>
  </si>
  <si>
    <t>NAD83(2011) / Montana</t>
  </si>
  <si>
    <t>NAD83(2011) / Montana (ft)</t>
  </si>
  <si>
    <t>NAD83(2011) / Nebraska</t>
  </si>
  <si>
    <t>NAD83(2011) / Nebraska (ftUS) (deprecated)</t>
  </si>
  <si>
    <t>NAD83(2011) / Nevada Central</t>
  </si>
  <si>
    <t>NAD83(2011) / Nevada Central (ftUS)</t>
  </si>
  <si>
    <t>NAD83(2011) / Nevada East</t>
  </si>
  <si>
    <t>NAD83(2011) / Nevada East (ftUS)</t>
  </si>
  <si>
    <t>NAD83(2011) / Nevada West</t>
  </si>
  <si>
    <t>NAD83(2011) / Nevada West (ftUS)</t>
  </si>
  <si>
    <t>NAD83(2011) / New Hampshire</t>
  </si>
  <si>
    <t>NAD83(2011) / New Hampshire (ftUS)</t>
  </si>
  <si>
    <t>NAD83(2011) / New Jersey</t>
  </si>
  <si>
    <t>NAD83(2011) / New Jersey (ftUS)</t>
  </si>
  <si>
    <t>NAD83(2011) / New Mexico Central</t>
  </si>
  <si>
    <t>NAD83(2011) / New Mexico Central (ftUS)</t>
  </si>
  <si>
    <t>NAD83(2011) / New Mexico East</t>
  </si>
  <si>
    <t>NAD83(2011) / New Mexico East (ftUS)</t>
  </si>
  <si>
    <t>NAD83(2011) / New Mexico West</t>
  </si>
  <si>
    <t>NAD83(2011) / New Mexico West (ftUS)</t>
  </si>
  <si>
    <t>NAD83(2011) / New York Central</t>
  </si>
  <si>
    <t>NAD83(2011) / New York Central (ftUS)</t>
  </si>
  <si>
    <t>NAD83(2011) / New York East</t>
  </si>
  <si>
    <t>NAD83(2011) / New York East (ftUS)</t>
  </si>
  <si>
    <t>NAD83(2011) / New York Long Island</t>
  </si>
  <si>
    <t>NAD83(2011) / New York Long Island (ftUS)</t>
  </si>
  <si>
    <t>NAD83(2011) / New York West</t>
  </si>
  <si>
    <t>NAD83(2011) / New York West (ftUS)</t>
  </si>
  <si>
    <t>NAD83(2011) / North Carolina</t>
  </si>
  <si>
    <t>NAD83(2011) / North Carolina (ftUS)</t>
  </si>
  <si>
    <t>NAD83(2011) / North Dakota North</t>
  </si>
  <si>
    <t>NAD83(2011) / North Dakota North (ft)</t>
  </si>
  <si>
    <t>NAD83(2011) / North Dakota South</t>
  </si>
  <si>
    <t>NAD83(2011) / North Dakota South (ft)</t>
  </si>
  <si>
    <t>NAD83(2011) / Ohio North</t>
  </si>
  <si>
    <t>NAD83(2011) / Ohio North (ftUS)</t>
  </si>
  <si>
    <t>NAD83(2011) / Ohio South</t>
  </si>
  <si>
    <t>NAD83(2011) / Ohio South (ftUS)</t>
  </si>
  <si>
    <t>NAD83(2011) / Oklahoma North</t>
  </si>
  <si>
    <t>NAD83(2011) / Oklahoma North (ftUS)</t>
  </si>
  <si>
    <t>NAD83(2011) / Oklahoma South</t>
  </si>
  <si>
    <t>NAD83(2011) / Oklahoma South (ftUS)</t>
  </si>
  <si>
    <t>NAD83(2011) / Oregon LCC (m)</t>
  </si>
  <si>
    <t>NAD83(2011) / Oregon GIC Lambert (ft)</t>
  </si>
  <si>
    <t>NAD83(2011) / Oregon North</t>
  </si>
  <si>
    <t>NAD83(2011) / Oregon North (ft)</t>
  </si>
  <si>
    <t>NAD83(2011) / Oregon South</t>
  </si>
  <si>
    <t>NAD83(2011) / Oregon South (ft)</t>
  </si>
  <si>
    <t>NAD83(2011) / Pennsylvania North</t>
  </si>
  <si>
    <t>NAD83(2011) / Pennsylvania North (ftUS)</t>
  </si>
  <si>
    <t>NAD83(2011) / Pennsylvania South</t>
  </si>
  <si>
    <t>NAD83(2011) / Pennsylvania South (ftUS)</t>
  </si>
  <si>
    <t>NAD83(2011) / Puerto Rico and Virgin Is.</t>
  </si>
  <si>
    <t>NAD83(2011) / Rhode Island</t>
  </si>
  <si>
    <t>NAD83(2011) / Rhode Island (ftUS)</t>
  </si>
  <si>
    <t>NAD83(2011) / South Carolina</t>
  </si>
  <si>
    <t>NAD83(2011) / South Carolina (ft)</t>
  </si>
  <si>
    <t>NAD83(2011) / South Dakota North</t>
  </si>
  <si>
    <t>NAD83(2011) / South Dakota North (ftUS)</t>
  </si>
  <si>
    <t>NAD83(2011) / South Dakota South</t>
  </si>
  <si>
    <t>NAD83(2011) / South Dakota South (ftUS)</t>
  </si>
  <si>
    <t>NAD83(2011) / Tennessee</t>
  </si>
  <si>
    <t>NAD83(2011) / Tennessee (ftUS)</t>
  </si>
  <si>
    <t>NAD83(2011) / Texas Central</t>
  </si>
  <si>
    <t>NAD83(2011) / Texas Central (ftUS)</t>
  </si>
  <si>
    <t>NAD83(2011) / Texas Centric Albers Equal Area</t>
  </si>
  <si>
    <t>NAD83(2011) / Texas Centric Lambert Conformal</t>
  </si>
  <si>
    <t>NAD83(2011) / Texas North</t>
  </si>
  <si>
    <t>NAD83(2011) / Texas North (ftUS)</t>
  </si>
  <si>
    <t>NAD83(2011) / Texas North Central</t>
  </si>
  <si>
    <t>NAD83(2011) / Texas North Central (ftUS)</t>
  </si>
  <si>
    <t>NAD83(2011) / Texas South</t>
  </si>
  <si>
    <t>NAD83(2011) / Texas South (ftUS)</t>
  </si>
  <si>
    <t>NAD83(2011) / Texas South Central</t>
  </si>
  <si>
    <t>NAD83(2011) / Texas South Central (ftUS)</t>
  </si>
  <si>
    <t>NAD83(2011) / Vermont</t>
  </si>
  <si>
    <t>NAD83(2011) / Vermont (ftUS)</t>
  </si>
  <si>
    <t>NAD83(2011) / Virginia Lambert</t>
  </si>
  <si>
    <t>NAD83(2011) / Virginia North</t>
  </si>
  <si>
    <t>NAD83(2011) / Virginia North (ftUS)</t>
  </si>
  <si>
    <t>NAD83(2011) / Virginia South</t>
  </si>
  <si>
    <t>NAD83(2011) / Virginia South (ftUS)</t>
  </si>
  <si>
    <t>NAD83(2011) / Washington North</t>
  </si>
  <si>
    <t>NAD83(2011) / Washington North (ftUS)</t>
  </si>
  <si>
    <t>NAD83(2011) / Washington South</t>
  </si>
  <si>
    <t>NAD83(2011) / Washington South (ftUS)</t>
  </si>
  <si>
    <t>NAD83(2011) / West Virginia North</t>
  </si>
  <si>
    <t>NAD83(2011) / West Virginia North (ftUS)</t>
  </si>
  <si>
    <t>NAD83(2011) / West Virginia South</t>
  </si>
  <si>
    <t>NAD83(2011) / West Virginia South (ftUS)</t>
  </si>
  <si>
    <t>NAD83(2011) / Wisconsin Central (deprecated)</t>
  </si>
  <si>
    <t>NAD83(2011) / Wisconsin Central (ftUS)</t>
  </si>
  <si>
    <t>NAD83(2011) / Wisconsin North</t>
  </si>
  <si>
    <t>NAD83(2011) / Wisconsin North (ftUS)</t>
  </si>
  <si>
    <t>NAD83(2011) / Wisconsin South</t>
  </si>
  <si>
    <t>NAD83(2011) / Wisconsin South (ftUS)</t>
  </si>
  <si>
    <t>NAD83(2011) / Wisconsin Transverse Mercator</t>
  </si>
  <si>
    <t>NAD83(2011) / Wyoming East</t>
  </si>
  <si>
    <t>NAD83(2011) / Wyoming East (ftUS)</t>
  </si>
  <si>
    <t>NAD83(2011) / Wyoming East Central</t>
  </si>
  <si>
    <t>NAD83(2011) / Wyoming East Central (ftUS)</t>
  </si>
  <si>
    <t>NAD83(2011) / Wyoming West</t>
  </si>
  <si>
    <t>NAD83(2011) / Wyoming West (ftUS)</t>
  </si>
  <si>
    <t>NAD83(2011) / Wyoming West Central</t>
  </si>
  <si>
    <t>NAD83(2011) / Wyoming West Central (ftUS)</t>
  </si>
  <si>
    <t>NAD83(2011) / Utah Central</t>
  </si>
  <si>
    <t>NAD83(2011) / Utah North</t>
  </si>
  <si>
    <t>NAD83(2011) / Utah South</t>
  </si>
  <si>
    <t>NAD83(CSRS) / Quebec Lambert</t>
  </si>
  <si>
    <t>NAD83 / Quebec Albers</t>
  </si>
  <si>
    <t>NAD83(CSRS) / Quebec Albers</t>
  </si>
  <si>
    <t>NAD83(2011) / Utah Central (ftUS)</t>
  </si>
  <si>
    <t>NAD83(2011) / Utah North (ftUS)</t>
  </si>
  <si>
    <t>NAD83(2011) / Utah South (ftUS)</t>
  </si>
  <si>
    <t>NAD83(PA11) / Hawaii zone 1</t>
  </si>
  <si>
    <t>NAD83(PA11) / Hawaii zone 2</t>
  </si>
  <si>
    <t>NAD83(PA11) / Hawaii zone 3</t>
  </si>
  <si>
    <t>NAD83(PA11) / Hawaii zone 4</t>
  </si>
  <si>
    <t>NAD83(PA11) / Hawaii zone 5</t>
  </si>
  <si>
    <t>NAD83(PA11) / Hawaii zone 3 (ftUS)</t>
  </si>
  <si>
    <t>NAD83(PA11) / UTM zone 4N</t>
  </si>
  <si>
    <t>NAD83(PA11) / UTM zone 5N</t>
  </si>
  <si>
    <t>NAD83(PA11) / UTM zone 2S</t>
  </si>
  <si>
    <t>NAD83(MA11) / Guam Map Grid</t>
  </si>
  <si>
    <t>Karbala 1979 / Iraq National Grid</t>
  </si>
  <si>
    <t>JGD2011 / Japan Plane Rectangular CS I</t>
  </si>
  <si>
    <t>JGD2011 / Japan Plane Rectangular CS II</t>
  </si>
  <si>
    <t>JGD2011 / Japan Plane Rectangular CS III</t>
  </si>
  <si>
    <t>JGD2011 / Japan Plane Rectangular CS IV</t>
  </si>
  <si>
    <t>JGD2011 / Japan Plane Rectangular CS V</t>
  </si>
  <si>
    <t>JGD2011 / Japan Plane Rectangular CS VI</t>
  </si>
  <si>
    <t>JGD2011 / Japan Plane Rectangular CS VII</t>
  </si>
  <si>
    <t>JGD2011 / Japan Plane Rectangular CS VIII</t>
  </si>
  <si>
    <t>JGD2011 / Japan Plane Rectangular CS IX</t>
  </si>
  <si>
    <t>JGD2011 / Japan Plane Rectangular CS X</t>
  </si>
  <si>
    <t>JGD2011 / Japan Plane Rectangular CS XI</t>
  </si>
  <si>
    <t>JGD2011 / Japan Plane Rectangular CS XII</t>
  </si>
  <si>
    <t>JGD2011 / Japan Plane Rectangular CS XIII</t>
  </si>
  <si>
    <t>JGD2011 / Japan Plane Rectangular CS XIV</t>
  </si>
  <si>
    <t>JGD2011 / Japan Plane Rectangular CS XV</t>
  </si>
  <si>
    <t>JGD2011 / Japan Plane Rectangular CS XVI</t>
  </si>
  <si>
    <t>JGD2011 / Japan Plane Rectangular CS XVII</t>
  </si>
  <si>
    <t>JGD2011 / Japan Plane Rectangular CS XVIII</t>
  </si>
  <si>
    <t>JGD2011 / Japan Plane Rectangular CS XIX</t>
  </si>
  <si>
    <t>JGD2011 / UTM zone 51N</t>
  </si>
  <si>
    <t>JGD2011 / UTM zone 52N</t>
  </si>
  <si>
    <t>JGD2011 / UTM zone 53N</t>
  </si>
  <si>
    <t>JGD2011 / UTM zone 54N</t>
  </si>
  <si>
    <t>JGD2011 / UTM zone 55N</t>
  </si>
  <si>
    <t>WGS 84 / TM 60 SW</t>
  </si>
  <si>
    <t>RDN2008 / TM32</t>
  </si>
  <si>
    <t>RDN2008 / TM33</t>
  </si>
  <si>
    <t>RDN2008 / TM34</t>
  </si>
  <si>
    <t>WGS 84 / CIG92</t>
  </si>
  <si>
    <t>GDA94 / CIG94</t>
  </si>
  <si>
    <t>WGS 84 / CKIG92</t>
  </si>
  <si>
    <t>GDA94 / CKIG94</t>
  </si>
  <si>
    <t>GDA94 / MGA zone 41 (deprecated)</t>
  </si>
  <si>
    <t>GDA94 / MGA zone 42 (deprecated)</t>
  </si>
  <si>
    <t>GDA94 / MGA zone 43 (deprecated)</t>
  </si>
  <si>
    <t>GDA94 / MGA zone 44 (deprecated)</t>
  </si>
  <si>
    <t>GDA94 / MGA zone 46</t>
  </si>
  <si>
    <t>GDA94 / MGA zone 47</t>
  </si>
  <si>
    <t>GDA94 / MGA zone 59</t>
  </si>
  <si>
    <t>NAD83(CORS96) / Oregon Baker zone (m)</t>
  </si>
  <si>
    <t>NAD83(CORS96) / Oregon Baker zone (ft)</t>
  </si>
  <si>
    <t>NAD83(2011) / Oregon Baker zone (m)</t>
  </si>
  <si>
    <t>NAD83(2011) / Oregon Baker zone (ft)</t>
  </si>
  <si>
    <t>NAD83(CORS96) / Oregon Bend-Klamath Falls zone (m)</t>
  </si>
  <si>
    <t>NAD83(CORS96) / Oregon Bend-Klamath Falls zone (ft)</t>
  </si>
  <si>
    <t>NAD83(2011) / Oregon Bend-Klamath Falls zone (m)</t>
  </si>
  <si>
    <t>NAD83(2011) / Oregon Bend-Klamath Falls zone (ft)</t>
  </si>
  <si>
    <t>NAD83(CORS96) / Oregon Bend-Redmond-Prineville zone (m)</t>
  </si>
  <si>
    <t>NAD83(CORS96) / Oregon Bend-Redmond-Prineville zone (ft)</t>
  </si>
  <si>
    <t>NAD83(2011) / Oregon Bend-Redmond-Prineville zone (m)</t>
  </si>
  <si>
    <t>NAD83(2011) / Oregon Bend-Redmond-Prineville zone (ft)</t>
  </si>
  <si>
    <t>NAD83(CORS96) / Oregon Bend-Burns zone (m)</t>
  </si>
  <si>
    <t>NAD83(CORS96) / Oregon Bend-Burns zone (ft)</t>
  </si>
  <si>
    <t>NAD83(2011) / Oregon Bend-Burns zone (m)</t>
  </si>
  <si>
    <t>NAD83(2011) / Oregon Bend-Burns zone (ft)</t>
  </si>
  <si>
    <t>NAD83(CORS96) / Oregon Canyonville-Grants Pass zone (m)</t>
  </si>
  <si>
    <t>NAD83(CORS96) / Oregon Canyonville-Grants Pass zone (ft)</t>
  </si>
  <si>
    <t>NAD83(2011) / Oregon Canyonville-Grants Pass zone (m)</t>
  </si>
  <si>
    <t>NAD83(2011) / Oregon Canyonville-Grants Pass zone (ft)</t>
  </si>
  <si>
    <t>NAD83(CORS96) / Oregon Columbia River East zone (m)</t>
  </si>
  <si>
    <t>NAD83(CORS96) / Oregon Columbia River East zone (ft)</t>
  </si>
  <si>
    <t>NAD83(2011) / Oregon Columbia River East zone (m)</t>
  </si>
  <si>
    <t>NAD83(2011) / Oregon Columbia River East zone (ft)</t>
  </si>
  <si>
    <t>NAD83(CORS96) / Oregon Columbia River West zone (m)</t>
  </si>
  <si>
    <t>NAD83(CORS96) / Oregon Columbia River West zone (ft)</t>
  </si>
  <si>
    <t>NAD83(2011) / Oregon Columbia River West zone (m)</t>
  </si>
  <si>
    <t>NAD83(2011) / Oregon Columbia River West zone (ft)</t>
  </si>
  <si>
    <t>NAD83(CORS96) / Oregon Cottage Grove-Canyonville zone (m)</t>
  </si>
  <si>
    <t>NAD83(CORS96) / Oregon Cottage Grove-Canyonville zone (ft)</t>
  </si>
  <si>
    <t>NAD83(2011) / Oregon Cottage Grove-Canyonville zone (m)</t>
  </si>
  <si>
    <t>NAD83(2011) / Oregon Cottage Grove-Canyonville zone (ft)</t>
  </si>
  <si>
    <t>NAD83(CORS96) / Oregon Dufur-Madras zone (m)</t>
  </si>
  <si>
    <t>NAD83(CORS96) / Oregon Dufur-Madras zone (ft)</t>
  </si>
  <si>
    <t>NAD83(2011) / Oregon Dufur-Madras zone (m)</t>
  </si>
  <si>
    <t>NAD83(2011) / Oregon Dufur-Madras zone (ft)</t>
  </si>
  <si>
    <t>NAD83(CORS96) / Oregon Eugene zone (m)</t>
  </si>
  <si>
    <t>NAD83(CORS96) / Oregon Eugene zone (ft)</t>
  </si>
  <si>
    <t>NAD83(2011) / Oregon Eugene zone (m)</t>
  </si>
  <si>
    <t>NAD83(2011) / Oregon Eugene zone (ft)</t>
  </si>
  <si>
    <t>NAD83(CORS96) / Oregon Grants Pass-Ashland zone (m)</t>
  </si>
  <si>
    <t>NAD83(CORS96) / Oregon Grants Pass-Ashland zone (ft)</t>
  </si>
  <si>
    <t>NAD83(2011) / Oregon Grants Pass-Ashland zone (m)</t>
  </si>
  <si>
    <t>NAD83(2011) / Oregon Grants Pass-Ashland zone (ft)</t>
  </si>
  <si>
    <t>NAD83(CORS96) / Oregon Gresham-Warm Springs zone (m)</t>
  </si>
  <si>
    <t>NAD83(CORS96) / Oregon Gresham-Warm Springs zone (ft)</t>
  </si>
  <si>
    <t>NAD83(2011) / Oregon Gresham-Warm Springs zone (m)</t>
  </si>
  <si>
    <t>NAD83(2011) / Oregon Gresham-Warm Springs zone (ft)</t>
  </si>
  <si>
    <t>NAD83(CORS96) / Oregon La Grande zone (m)</t>
  </si>
  <si>
    <t>NAD83(CORS96) / Oregon La Grande zone (ft)</t>
  </si>
  <si>
    <t>NAD83(2011) / Oregon La Grande zone (m)</t>
  </si>
  <si>
    <t>NAD83(2011) / Oregon La Grande zone (ft)</t>
  </si>
  <si>
    <t>NAD83(CORS96) / Oregon Ontario zone (m)</t>
  </si>
  <si>
    <t>NAD83(CORS96) / Oregon Ontario zone (ft)</t>
  </si>
  <si>
    <t>NAD83(2011) / Oregon Ontario zone (m)</t>
  </si>
  <si>
    <t>NAD83(2011) / Oregon Ontario zone (ft)</t>
  </si>
  <si>
    <t>NAD83(CORS96) / Oregon Coast zone (m)</t>
  </si>
  <si>
    <t>NAD83(CORS96) / Oregon Coast zone (ft)</t>
  </si>
  <si>
    <t>NAD83(2011) / Oregon Coast zone (m)</t>
  </si>
  <si>
    <t>NAD83(2011) / Oregon Coast zone (ft)</t>
  </si>
  <si>
    <t>NAD83(CORS96) / Oregon Pendleton zone (m)</t>
  </si>
  <si>
    <t>NAD83(CORS96) / Oregon Pendleton zone (ft)</t>
  </si>
  <si>
    <t>NAD83(2011) / Oregon Pendleton zone (m)</t>
  </si>
  <si>
    <t>NAD83(2011) / Oregon Pendleton zone (ft)</t>
  </si>
  <si>
    <t>NAD83(CORS96) / Oregon Pendleton-La Grande zone (m)</t>
  </si>
  <si>
    <t>NAD83(CORS96) / Oregon Pendleton-La Grande zone (ft)</t>
  </si>
  <si>
    <t>NAD83(2011) / Oregon Pendleton-La Grande zone (m)</t>
  </si>
  <si>
    <t>NAD83(2011) / Oregon Pendleton-La Grande zone (ft)</t>
  </si>
  <si>
    <t>NAD83(CORS96) / Oregon Portland zone (m)</t>
  </si>
  <si>
    <t>NAD83(CORS96) / Oregon Portland zone (ft)</t>
  </si>
  <si>
    <t>NAD83(2011) / Oregon Portland zone (m)</t>
  </si>
  <si>
    <t>NAD83(2011) / Oregon Portland zone (ft)</t>
  </si>
  <si>
    <t>NAD83(CORS96) / Oregon Salem zone (m)</t>
  </si>
  <si>
    <t>NAD83(CORS96) / Oregon Salem zone (ft)</t>
  </si>
  <si>
    <t>NAD83(2011) / Oregon Salem zone (m)</t>
  </si>
  <si>
    <t>NAD83(2011) / Oregon Salem zone (ft)</t>
  </si>
  <si>
    <t>NAD83(CORS96) / Oregon Santiam Pass zone (m)</t>
  </si>
  <si>
    <t>NAD83(CORS96) / Oregon Santiam Pass zone (ft)</t>
  </si>
  <si>
    <t>NAD83(2011) / Oregon Santiam Pass zone (m)</t>
  </si>
  <si>
    <t>NAD83(2011) / Oregon Santiam Pass (ft)</t>
  </si>
  <si>
    <t>NAD83(CORS96) / Oregon LCC (m)</t>
  </si>
  <si>
    <t>NAD83(CORS96) / Oregon GIC Lambert (ft)</t>
  </si>
  <si>
    <t>ETRS89 / Albania TM 2010</t>
  </si>
  <si>
    <t>RDN2008 / Italy zone</t>
  </si>
  <si>
    <t>RDN2008 / Zone 12</t>
  </si>
  <si>
    <t>NAD83(2011) / Wisconsin Central</t>
  </si>
  <si>
    <t>NAD83(2011) / Nebraska (ftUS)</t>
  </si>
  <si>
    <t>NAD83(CORS96) / Oregon North</t>
  </si>
  <si>
    <t>NAD83(CORS96) / Oregon North (ft)</t>
  </si>
  <si>
    <t>NAD83(CORS96) / Oregon South</t>
  </si>
  <si>
    <t>NAD83(CORS96) / Oregon South (ft)</t>
  </si>
  <si>
    <t>South East Island 1943 / UTM zone 40N</t>
  </si>
  <si>
    <t>NAD83 / Kansas LCC</t>
  </si>
  <si>
    <t>NAD83 / Kansas LCC (ftUS)</t>
  </si>
  <si>
    <t>NAD83(2011) / Kansas LCC</t>
  </si>
  <si>
    <t>NAD83(2011) / Kansas LCC (ftUS)</t>
  </si>
  <si>
    <t>WGS 84 / NSIDC EASE-Grid 2.0 North</t>
  </si>
  <si>
    <t>WGS 84 / NSIDC EASE-Grid 2.0 South</t>
  </si>
  <si>
    <t>WGS 84 / NSIDC EASE-Grid 2.0 Global</t>
  </si>
  <si>
    <t>VN-2000 / TM-3 zone 481</t>
  </si>
  <si>
    <t>VN-2000 / TM-3 zone 482</t>
  </si>
  <si>
    <t>VN-2000 / TM-3 zone 491</t>
  </si>
  <si>
    <t>VN-2000 / TM-3 Da Nang zone</t>
  </si>
  <si>
    <t>ETRS89 / Albania LCC 2010</t>
  </si>
  <si>
    <t>NAD27 / Michigan NorthUnable to translate coordinate system EPSG:6966 into PROJ.4 format.</t>
  </si>
  <si>
    <t>Israeli Grid 05</t>
  </si>
  <si>
    <t>Israeli Grid 05/12</t>
  </si>
  <si>
    <t>NAD83(2011) / San Francisco CS13 (deprecated)</t>
  </si>
  <si>
    <t>NAD83(2011) / San Francisco CS13 (ftUS) (deprecated)</t>
  </si>
  <si>
    <t>Nahrwan 1934 / UTM zone 37N</t>
  </si>
  <si>
    <t>Nahrwan 1934 / UTM zone 38N</t>
  </si>
  <si>
    <t>Nahrwan 1934 / UTM zone 39N</t>
  </si>
  <si>
    <t>NAD83(2011) / IaRCS zone 1</t>
  </si>
  <si>
    <t>NAD83(2011) / IaRCS zone 2</t>
  </si>
  <si>
    <t>NAD83(2011) / IaRCS zone 3</t>
  </si>
  <si>
    <t>NAD83(2011) / IaRCS zone 4</t>
  </si>
  <si>
    <t>NAD83(2011) / IaRCS zone 5</t>
  </si>
  <si>
    <t>NAD83(2011) / IaRCS zone 6</t>
  </si>
  <si>
    <t>NAD83(2011) / IaRCS zone 7</t>
  </si>
  <si>
    <t>NAD83(2011) / IaRCS zone 8</t>
  </si>
  <si>
    <t>NAD83(2011) / IaRCS zone 9</t>
  </si>
  <si>
    <t>NAD83(2011) / IaRCS zone 10</t>
  </si>
  <si>
    <t>NAD83(2011) / IaRCS zone 11</t>
  </si>
  <si>
    <t>NAD83(2011) / IaRCS zone 12</t>
  </si>
  <si>
    <t>NAD83(2011) / IaRCS zone 13</t>
  </si>
  <si>
    <t>NAD83(2011) / IaRCS zone 14</t>
  </si>
  <si>
    <t>RGTAAF07 / UTM zone 37S</t>
  </si>
  <si>
    <t>RGTAAF07 / UTM zone 38S</t>
  </si>
  <si>
    <t>RGTAAF07 / UTM zone 39S</t>
  </si>
  <si>
    <t>RGTAAF07 / UTM zone 40S</t>
  </si>
  <si>
    <t>RGTAAF07 / UTM zone 41S</t>
  </si>
  <si>
    <t>RGTAAF07 / UTM zone 42S</t>
  </si>
  <si>
    <t>RGTAAF07 / UTM zone 43S</t>
  </si>
  <si>
    <t>RGTAAF07 / UTM zone 44S</t>
  </si>
  <si>
    <t>RGTAAF07 / Terre Adelie Polar StereographicUnable to translate coordinate system EPSG:7082 into PROJ.4 format.</t>
  </si>
  <si>
    <t>NAD83(2011) / RMTCRS St Mary (m)</t>
  </si>
  <si>
    <t>NAD83(2011) / RMTCRS Blackfeet (m)</t>
  </si>
  <si>
    <t>NAD83(2011) / RMTCRS Milk River (m)</t>
  </si>
  <si>
    <t>NAD83(2011) / RMTCRS Fort Belknap (m)</t>
  </si>
  <si>
    <t>NAD83(2011) / RMTCRS Fort Peck Assiniboine (m)</t>
  </si>
  <si>
    <t>NAD83(2011) / RMTCRS Fort Peck Sioux (m)</t>
  </si>
  <si>
    <t>NAD83(2011) / RMTCRS Crow (m)</t>
  </si>
  <si>
    <t>NAD83(2011) / RMTCRS Bobcat (m)</t>
  </si>
  <si>
    <t>NAD83(2011) / RMTCRS Billings (m)</t>
  </si>
  <si>
    <t>NAD83(2011) / RMTCRS Wind River (m)</t>
  </si>
  <si>
    <t>NAD83(2011) / RMTCRS St Mary (ft)</t>
  </si>
  <si>
    <t>NAD83(2011) / RMTCRS Blackfeet (ft)</t>
  </si>
  <si>
    <t>NAD83(2011) / RMTCRS Milk River (ft)</t>
  </si>
  <si>
    <t>NAD83(2011) / RMTCRS Fort Belknap (ft)</t>
  </si>
  <si>
    <t>NAD83(2011) / RMTCRS Fort Peck Assiniboine (ft)</t>
  </si>
  <si>
    <t>NAD83(2011) / RMTCRS Fort Peck Sioux (ft)</t>
  </si>
  <si>
    <t>NAD83(2011) / RMTCRS Crow (ft)</t>
  </si>
  <si>
    <t>NAD83(2011) / RMTCRS Bobcat (ft)</t>
  </si>
  <si>
    <t>NAD83(2011) / RMTCRS Billings (ft)</t>
  </si>
  <si>
    <t>NAD83(2011) / RMTCRS Wind River (ftUS)</t>
  </si>
  <si>
    <t>NAD83(2011) / San Francisco CS13</t>
  </si>
  <si>
    <t>NAD83(2011) / San Francisco CS13 (ftUS)</t>
  </si>
  <si>
    <t>Palestine 1923 / Palestine Grid modified</t>
  </si>
  <si>
    <t>NAD83(2011) / InGCS Adams (m)</t>
  </si>
  <si>
    <t>NAD83(2011) / InGCS Adams (ftUS)</t>
  </si>
  <si>
    <t>NAD83(2011) / InGCS Allen (m)</t>
  </si>
  <si>
    <t>NAD83(2011) / InGCS Allen (ftUS)</t>
  </si>
  <si>
    <t>NAD83(2011) / InGCS Bartholomew (m)</t>
  </si>
  <si>
    <t>NAD83(2011) / InGCS Bartholomew (ftUS)</t>
  </si>
  <si>
    <t>NAD83(2011) / InGCS Benton (m)</t>
  </si>
  <si>
    <t>NAD83(2011) / InGCS Benton (ftUS)</t>
  </si>
  <si>
    <t>NAD83(2011) / InGCS Blackford-Delaware (m)</t>
  </si>
  <si>
    <t>NAD83(2011) / InGCS Blackford-Delaware (ftUS)</t>
  </si>
  <si>
    <t>NAD83(2011) / InGCS Boone-Hendricks (m)</t>
  </si>
  <si>
    <t>NAD83(2011) / InGCS Boone-Hendricks (ftUS)</t>
  </si>
  <si>
    <t>NAD83(2011) / InGCS Brown (m)</t>
  </si>
  <si>
    <t>NAD83(2011) / InGCS Brown (ftUS)</t>
  </si>
  <si>
    <t>NAD83(2011) / InGCS Carroll (m)</t>
  </si>
  <si>
    <t>NAD83(2011) / InGCS Carroll (ftUS)</t>
  </si>
  <si>
    <t>NAD83(2011) / InGCS Cass (m)</t>
  </si>
  <si>
    <t>NAD83(2011) / InGCS Cass (ftUS)</t>
  </si>
  <si>
    <t>NAD83(2011) / InGCS Clark-Floyd-Scott (m)</t>
  </si>
  <si>
    <t>NAD83(2011) / InGCS Clark-Floyd-Scott (ftUS)</t>
  </si>
  <si>
    <t>NAD83(2011) / InGCS Clay (m)</t>
  </si>
  <si>
    <t>NAD83(2011) / InGCS Clay (ftUS)</t>
  </si>
  <si>
    <t>NAD83(2011) / InGCS Clinton (m)</t>
  </si>
  <si>
    <t>NAD83(2011) / InGCS Clinton (ftUS)</t>
  </si>
  <si>
    <t>NAD83(2011) / InGCS Crawford-Lawrence-Orange (m)</t>
  </si>
  <si>
    <t>NAD83(2011) / InGCS Crawford-Lawrence-Orange (ftUS)</t>
  </si>
  <si>
    <t>NAD83(2011) / InGCS Daviess-Greene (m)</t>
  </si>
  <si>
    <t>NAD83(2011) / InGCS Daviess-Greene (ftUS)</t>
  </si>
  <si>
    <t>NAD83(2011) / InGCS Dearborn-Ohio-Switzerland (m)</t>
  </si>
  <si>
    <t>NAD83(2011) / InGCS Dearborn-Ohio-Switzerland (ftUS)</t>
  </si>
  <si>
    <t>NAD83(2011) / InGCS Decatur-Rush (m)</t>
  </si>
  <si>
    <t>NAD83(2011) / InGCS Decatur-Rush (ftUS)</t>
  </si>
  <si>
    <t>NAD83(2011) / InGCS DeKalb (m)</t>
  </si>
  <si>
    <t>NAD83(2011) / InGCS DeKalb (ftUS)</t>
  </si>
  <si>
    <t>NAD83(2011) / InGCS Dubois-Martin (m)</t>
  </si>
  <si>
    <t>NAD83(2011) / InGCS Dubois-Martin (ftUS)</t>
  </si>
  <si>
    <t>NAD83(2011) / InGCS Elkhart-Kosciusko-Wabash (m)</t>
  </si>
  <si>
    <t>NAD83(2011) / InGCS Elkhart-Kosciusko-Wabash (ftUS)</t>
  </si>
  <si>
    <t>NAD83(2011) / InGCS Fayette-Franklin-Union (m)</t>
  </si>
  <si>
    <t>NAD83(2011) / InGCS Fayette-Franklin-Union (ftUS)</t>
  </si>
  <si>
    <t>NAD83(2011) / InGCS Fountain-Warren (m)</t>
  </si>
  <si>
    <t>NAD83(2011) / InGCS Fountain-Warren (ftUS)</t>
  </si>
  <si>
    <t>NAD83(2011) / InGCS Fulton-Marshall-St. Joseph (m)</t>
  </si>
  <si>
    <t>NAD83(2011) / InGCS Fulton-Marshall-St. Joseph (ftUS)</t>
  </si>
  <si>
    <t>NAD83(2011) / InGCS Gibson (m)</t>
  </si>
  <si>
    <t>NAD83(2011) / InGCS Gibson (ftUS)</t>
  </si>
  <si>
    <t>NAD83(2011) / InGCS Grant (m)</t>
  </si>
  <si>
    <t>NAD83(2011) / InGCS Grant (ftUS)</t>
  </si>
  <si>
    <t>NAD83(2011) / InGCS Hamilton-Tipton (m)</t>
  </si>
  <si>
    <t>NAD83(2011) / InGCS Hamilton-Tipton (ftUS)</t>
  </si>
  <si>
    <t>NAD83(2011) / InGCS Hancock-Madison (m)</t>
  </si>
  <si>
    <t>NAD83(2011) / InGCS Hancock-Madison (ftUS)</t>
  </si>
  <si>
    <t>NAD83(2011) / InGCS Harrison-Washington (m)</t>
  </si>
  <si>
    <t>NAD83(2011) / InGCS Harrison-Washington (ftUS)</t>
  </si>
  <si>
    <t>NAD83(2011) / InGCS Henry (m)</t>
  </si>
  <si>
    <t>NAD83(2011) / InGCS Henry (ftUS)</t>
  </si>
  <si>
    <t>NAD83(2011) / InGCS Howard-Miami (m)</t>
  </si>
  <si>
    <t>NAD83(2011) / InGCS Howard-Miami (ftUS)</t>
  </si>
  <si>
    <t>NAD83(2011) / InGCS Huntington-Whitley (m)</t>
  </si>
  <si>
    <t>NAD83(2011) / InGCS Huntington-Whitley (ftUS)</t>
  </si>
  <si>
    <t>NAD83(2011) / InGCS Jackson (m)</t>
  </si>
  <si>
    <t>NAD83(2011) / InGCS Jackson (ftUS)</t>
  </si>
  <si>
    <t>NAD83(2011) / InGCS Jasper-Porter (m)</t>
  </si>
  <si>
    <t>NAD83(2011) / InGCS Jasper-Porter (ftUS)</t>
  </si>
  <si>
    <t>NAD83(2011) / InGCS Jay (m)</t>
  </si>
  <si>
    <t>NAD83(2011) / InGCS Jay (ftUS)</t>
  </si>
  <si>
    <t>NAD83(2011) / InGCS Jefferson (m)</t>
  </si>
  <si>
    <t>NAD83(2011) / InGCS Jefferson (ftUS)</t>
  </si>
  <si>
    <t>NAD83(2011) / InGCS Jennings (m)</t>
  </si>
  <si>
    <t>NAD83(2011) / InGCS Jennings (ftUS)</t>
  </si>
  <si>
    <t>NAD83(2011) / InGCS Johnson-Marion (m)</t>
  </si>
  <si>
    <t>NAD83(2011) / InGCS Johnson-Marion (ftUS)</t>
  </si>
  <si>
    <t>NAD83(2011) / InGCS Knox (m)</t>
  </si>
  <si>
    <t>NAD83(2011) / InGCS Knox (ftUS)</t>
  </si>
  <si>
    <t>NAD83(2011) / InGCS LaGrange-Noble (m)</t>
  </si>
  <si>
    <t>NAD83(2011) / InGCS LaGrange-Noble (ftUS)</t>
  </si>
  <si>
    <t>NAD83(2011) / InGCS Lake-Newton (m)</t>
  </si>
  <si>
    <t>NAD83(2011) / InGCS Lake-Newton (ftUS)</t>
  </si>
  <si>
    <t>NAD83(2011) / InGCS LaPorte-Pulaski-Starke (m)</t>
  </si>
  <si>
    <t>NAD83(2011) / InGCS LaPorte-Pulaski-Starke (ftUS)</t>
  </si>
  <si>
    <t>NAD83(2011) / InGCS Monroe-Morgan (m)</t>
  </si>
  <si>
    <t>NAD83(2011) / InGCS Monroe-Morgan (ftUS)</t>
  </si>
  <si>
    <t>NAD83(2011) / InGCS Montgomery-Putnam (m)</t>
  </si>
  <si>
    <t>NAD83(2011) / InGCS Montgomery-Putnam (ftUS)</t>
  </si>
  <si>
    <t>NAD83(2011) / InGCS Owen (m)</t>
  </si>
  <si>
    <t>NAD83(2011) / InGCS Owen (ftUS)</t>
  </si>
  <si>
    <t>NAD83(2011) / InGCS Parke-Vermillion (m)</t>
  </si>
  <si>
    <t>NAD83(2011) / InGCS Parke-Vermillion (ftUS)</t>
  </si>
  <si>
    <t>NAD83(2011) / InGCS Perry (m)</t>
  </si>
  <si>
    <t>NAD83(2011) / InGCS Perry (ftUS)</t>
  </si>
  <si>
    <t>NAD83(2011) / InGCS Pike-Warrick (m)</t>
  </si>
  <si>
    <t>NAD83(2011) / InGCS Pike-Warrick (ftUS)</t>
  </si>
  <si>
    <t>NAD83(2011) / InGCS Posey (m)</t>
  </si>
  <si>
    <t>NAD83(2011) / InGCS Posey (ftUS)</t>
  </si>
  <si>
    <t>NAD83(2011) / InGCS Randolph-Wayne (m)</t>
  </si>
  <si>
    <t>NAD83(2011) / InGCS Randolph-Wayne (ftUS)</t>
  </si>
  <si>
    <t>NAD83(2011) / InGCS Ripley (m)</t>
  </si>
  <si>
    <t>NAD83(2011) / InGCS Ripley (ftUS)</t>
  </si>
  <si>
    <t>NAD83(2011) / InGCS Shelby (m)</t>
  </si>
  <si>
    <t>NAD83(2011) / InGCS Shelby (ftUS)</t>
  </si>
  <si>
    <t>NAD83(2011) / InGCS Spencer (m)</t>
  </si>
  <si>
    <t>NAD83(2011) / InGCS Spencer (ftUS)</t>
  </si>
  <si>
    <t>NAD83(2011) / InGCS Steuben (m)</t>
  </si>
  <si>
    <t>NAD83(2011) / InGCS Steuben (ftUS)</t>
  </si>
  <si>
    <t>NAD83(2011) / InGCS Sullivan (m)</t>
  </si>
  <si>
    <t>NAD83(2011) / InGCS Sullivan (ftUS)</t>
  </si>
  <si>
    <t>NAD83(2011) / InGCS Tippecanoe-White (m)</t>
  </si>
  <si>
    <t>NAD83(2011) / InGCS Tippecanoe-White (ftUS)</t>
  </si>
  <si>
    <t>NAD83(2011) / InGCS Vanderburgh (m)</t>
  </si>
  <si>
    <t>NAD83(2011) / InGCS Vanderburgh (ftUS)</t>
  </si>
  <si>
    <t>NAD83(2011) / InGCS Vigo (m)</t>
  </si>
  <si>
    <t>NAD83(2011) / InGCS Vigo (ftUS)</t>
  </si>
  <si>
    <t>NAD83(2011) / InGCS Wells (m)</t>
  </si>
  <si>
    <t>NAD83(2011) / InGCS Wells (ftUS)</t>
  </si>
  <si>
    <t>ONGD14 / UTM zone 39N</t>
  </si>
  <si>
    <t>ONGD14 / UTM zone 40N</t>
  </si>
  <si>
    <t>ONGD14 / UTM zone 41N</t>
  </si>
  <si>
    <t>NAD83(2011) / WISCRS Adams and Juneau (m)</t>
  </si>
  <si>
    <t>NAD83(2011) / WISCRS Ashland (m)</t>
  </si>
  <si>
    <t>NAD83(2011) / WISCRS Barron (m)</t>
  </si>
  <si>
    <t>NAD83(2011) / WISCRS Bayfield (m)</t>
  </si>
  <si>
    <t>NAD83(2011) / WISCRS Brown (m)</t>
  </si>
  <si>
    <t>NAD83(2011) / WISCRS Buffalo (m)</t>
  </si>
  <si>
    <t>NAD83(2011) / WISCRS Burnett (m)</t>
  </si>
  <si>
    <t>NAD83(2011) / WISCRS Calumet, Fond du Lac, Outagamie and Winnebago (m)</t>
  </si>
  <si>
    <t>NAD83(2011) / WISCRS Chippewa (m)</t>
  </si>
  <si>
    <t>NAD83(2011) / WISCRS Clark (m)</t>
  </si>
  <si>
    <t>NAD83(2011) / WISCRS Columbia (m)</t>
  </si>
  <si>
    <t>NAD83(2011) / WISCRS Crawford (m)</t>
  </si>
  <si>
    <t>NAD83(2011) / WISCRS Dane (m)</t>
  </si>
  <si>
    <t>NAD83(2011) / WISCRS Dodge and Jefferson (m)</t>
  </si>
  <si>
    <t>NAD83(2011) / WISCRS Door (m)</t>
  </si>
  <si>
    <t>NAD83(2011) / WISCRS Douglas (m)</t>
  </si>
  <si>
    <t>NAD83(2011) / WISCRS Dunn (m)</t>
  </si>
  <si>
    <t>NAD83(2011) / WISCRS Eau Claire (m)</t>
  </si>
  <si>
    <t>NAD83(2011) / WISCRS Florence (m)</t>
  </si>
  <si>
    <t>NAD83(2011) / WISCRS Forest (m)</t>
  </si>
  <si>
    <t>NAD83(2011) / WISCRS Grant (m)</t>
  </si>
  <si>
    <t>NAD83(2011) / WISCRS Green and Lafayette (m)</t>
  </si>
  <si>
    <t>NAD83(2011) / WISCRS Green Lake and Marquette (m)</t>
  </si>
  <si>
    <t>NAD83(2011) / WISCRS Iowa (m)</t>
  </si>
  <si>
    <t>NAD83(2011) / WISCRS Iron (m)</t>
  </si>
  <si>
    <t>NAD83(2011) / WISCRS Jackson (m)</t>
  </si>
  <si>
    <t>NAD83(2011) / WISCRS Kenosha, Milwaukee, Ozaukee and Racine (m)</t>
  </si>
  <si>
    <t>NAD83(2011) / WISCRS Kewaunee, Manitowoc and Sheboygan (m)</t>
  </si>
  <si>
    <t>NAD83(2011) / WISCRS La Crosse (m)</t>
  </si>
  <si>
    <t>NAD83(2011) / WISCRS Langlade (m)</t>
  </si>
  <si>
    <t>NAD83(2011) / WISCRS Lincoln (m)</t>
  </si>
  <si>
    <t>NAD83(2011) / WISCRS Marathon (m)</t>
  </si>
  <si>
    <t>NAD83(2011) / WISCRS Marinette (m)</t>
  </si>
  <si>
    <t>NAD83(2011) / WISCRS Menominee (m)</t>
  </si>
  <si>
    <t>NAD83(2011) / WISCRS Monroe (m)</t>
  </si>
  <si>
    <t>NAD83(2011) / WISCRS Oconto (m)</t>
  </si>
  <si>
    <t>NAD83(2011) / WISCRS Oneida (m)</t>
  </si>
  <si>
    <t>NAD83(2011) / WISCRS Pepin and Pierce (m)</t>
  </si>
  <si>
    <t>NAD83(2011) / WISCRS Polk (m)</t>
  </si>
  <si>
    <t>NAD83(2011) / WISCRS Portage (m)</t>
  </si>
  <si>
    <t>NAD83(2011) / WISCRS Price (m)</t>
  </si>
  <si>
    <t>NAD83(2011) / WISCRS Richland (m)</t>
  </si>
  <si>
    <t>NAD83(2011) / WISCRS Rock (m)</t>
  </si>
  <si>
    <t>NAD83(2011) / WISCRS Rusk (m)</t>
  </si>
  <si>
    <t>NAD83(2011) / WISCRS Sauk (m)</t>
  </si>
  <si>
    <t>NAD83(2011) / WISCRS Sawyer (m)</t>
  </si>
  <si>
    <t>NAD83(2011) / WISCRS Shawano (m)</t>
  </si>
  <si>
    <t>NAD83(2011) / WISCRS St. Croix (m)</t>
  </si>
  <si>
    <t>NAD83(2011) / WISCRS Taylor (m)</t>
  </si>
  <si>
    <t>NAD83(2011) / WISCRS Trempealeau (m)</t>
  </si>
  <si>
    <t>NAD83(2011) / WISCRS Vernon (m)</t>
  </si>
  <si>
    <t>NAD83(2011) / WISCRS Vilas (m)</t>
  </si>
  <si>
    <t>NAD83(2011) / WISCRS Walworth (m)</t>
  </si>
  <si>
    <t>NAD83(2011) / WISCRS Washburn (m)</t>
  </si>
  <si>
    <t>NAD83(2011) / WISCRS Washington (m)</t>
  </si>
  <si>
    <t>NAD83(2011) / WISCRS Waukesha (m)</t>
  </si>
  <si>
    <t>NAD83(2011) / WISCRS Waupaca (m)</t>
  </si>
  <si>
    <t>NAD83(2011) / WISCRS Waushara (m)</t>
  </si>
  <si>
    <t>NAD83(2011) / WISCRS Wood (m)</t>
  </si>
  <si>
    <t>NAD83(2011) / WISCRS Adams and Juneau (ftUS)</t>
  </si>
  <si>
    <t>NAD83(2011) / WISCRS Ashland (ftUS)</t>
  </si>
  <si>
    <t>NAD83(2011) / WISCRS Barron (ftUS)</t>
  </si>
  <si>
    <t>NAD83(2011) / WISCRS Bayfield (ftUS)</t>
  </si>
  <si>
    <t>NAD83(2011) / WISCRS Brown (ftUS)</t>
  </si>
  <si>
    <t>NAD83(2011) / WISCRS Buffalo (ftUS)</t>
  </si>
  <si>
    <t>NAD83(2011) / WISCRS Burnett (ftUS)</t>
  </si>
  <si>
    <t>NAD83(2011) / WISCRS Calumet, Fond du Lac, Outagamie and Winnebago (ftUS)</t>
  </si>
  <si>
    <t>NAD83(2011) / WISCRS Chippewa (ftUS)</t>
  </si>
  <si>
    <t>NAD83(2011) / WISCRS Clark (ftUS)</t>
  </si>
  <si>
    <t>NAD83(2011) / WISCRS Columbia (ftUS)</t>
  </si>
  <si>
    <t>NAD83(2011) / WISCRS Crawford (ftUS)</t>
  </si>
  <si>
    <t>NAD83(2011) / WISCRS Dane (ftUS)</t>
  </si>
  <si>
    <t>NAD83(2011) / WISCRS Dodge and Jefferson (ftUS)</t>
  </si>
  <si>
    <t>NAD83(2011) / WISCRS Door (ftUS)</t>
  </si>
  <si>
    <t>NAD83(2011) / WISCRS Douglas (ftUS)</t>
  </si>
  <si>
    <t>NAD83(2011) / WISCRS Dunn (ftUS)</t>
  </si>
  <si>
    <t>NAD83(2011) / WISCRS Eau Claire (ftUS)</t>
  </si>
  <si>
    <t>NAD83(2011) / WISCRS Florence (ftUS)</t>
  </si>
  <si>
    <t>NAD83(2011) / WISCRS Forest (ftUS)</t>
  </si>
  <si>
    <t>NAD83(2011) / WISCRS Grant (ftUS)</t>
  </si>
  <si>
    <t>NAD83(2011) / WISCRS Green and Lafayette (ftUS)</t>
  </si>
  <si>
    <t>NAD83(2011) / WISCRS Green Lake and Marquette (ftUS)</t>
  </si>
  <si>
    <t>NAD83(2011) / WISCRS Iowa (ftUS)</t>
  </si>
  <si>
    <t>NAD83(2011) / WISCRS Iron (ftUS)</t>
  </si>
  <si>
    <t>NAD83(2011) / WISCRS Jackson (ftUS)</t>
  </si>
  <si>
    <t>NAD83(2011) / WISCRS Kenosha, Milwaukee, Ozaukee and Racine (ftUS)</t>
  </si>
  <si>
    <t>NAD83(2011) / WISCRS Kewaunee, Manitowoc and Sheboygan (ftUS)</t>
  </si>
  <si>
    <t>NAD83(2011) / WISCRS La Crosse (ftUS)</t>
  </si>
  <si>
    <t>NAD83(2011) / WISCRS Langlade (ftUS)</t>
  </si>
  <si>
    <t>NAD83(2011) / WISCRS Lincoln (ftUS)</t>
  </si>
  <si>
    <t>NAD83(2011) / WISCRS Marathon (ftUS)</t>
  </si>
  <si>
    <t>NAD83(2011) / WISCRS Marinette (ftUS)</t>
  </si>
  <si>
    <t>NAD83(2011) / WISCRS Menominee (ftUS)</t>
  </si>
  <si>
    <t>NAD83(2011) / WISCRS Monroe (ftUS)</t>
  </si>
  <si>
    <t>NAD83(2011) / WISCRS Oconto (ftUS)</t>
  </si>
  <si>
    <t>NAD83(2011) / WISCRS Oneida (ftUS)</t>
  </si>
  <si>
    <t>NAD83(2011) / WISCRS Pepin and Pierce (ftUS)</t>
  </si>
  <si>
    <t>NAD83(2011) / WISCRS Polk (ftUS)</t>
  </si>
  <si>
    <t>NAD83(2011) / WISCRS Portage (ftUS)</t>
  </si>
  <si>
    <t>NAD83(2011) / WISCRS Price (ftUS)</t>
  </si>
  <si>
    <t>NAD83(2011) / WISCRS Richland (ftUS)</t>
  </si>
  <si>
    <t>NAD83(2011) / WISCRS Rock (ftUS)</t>
  </si>
  <si>
    <t>NAD83(2011) / WISCRS Rusk (ftUS)</t>
  </si>
  <si>
    <t>NAD83(2011) / WISCRS Sauk (ftUS)</t>
  </si>
  <si>
    <t>NAD83(2011) / WISCRS Sawyer (ftUS)</t>
  </si>
  <si>
    <t>NAD83(2011) / WISCRS Shawano (ftUS)</t>
  </si>
  <si>
    <t>NAD83(2011) / WISCRS St. Croix (ftUS)</t>
  </si>
  <si>
    <t>NAD83(2011) / WISCRS Taylor (ftUS)</t>
  </si>
  <si>
    <t>NAD83(2011) / WISCRS Trempealeau (ftUS)</t>
  </si>
  <si>
    <t>NAD83(2011) / WISCRS Vernon (ftUS)</t>
  </si>
  <si>
    <t>NAD83(2011) / WISCRS Vilas (ftUS)</t>
  </si>
  <si>
    <t>NAD83(2011) / WISCRS Walworth (ftUS)</t>
  </si>
  <si>
    <t>NAD83(2011) / WISCRS Washburn (ftUS)</t>
  </si>
  <si>
    <t>NAD83(2011) / WISCRS Washington (ftUS)</t>
  </si>
  <si>
    <t>NAD83(2011) / WISCRS Waukesha (ftUS)</t>
  </si>
  <si>
    <t>NAD83(2011) / WISCRS Waupaca (ftUS)</t>
  </si>
  <si>
    <t>NAD83(2011) / WISCRS Waushara (ftUS)</t>
  </si>
  <si>
    <t>NAD83(2011) / WISCRS Wood (ftUS)</t>
  </si>
  <si>
    <t>Kyrg-06 / zone 1</t>
  </si>
  <si>
    <t>Kyrg-06 / zone 2</t>
  </si>
  <si>
    <t>Kyrg-06 / zone 3</t>
  </si>
  <si>
    <t>Kyrg-06 / zone 4</t>
  </si>
  <si>
    <t>Kyrg-06 / zone 5</t>
  </si>
  <si>
    <t>Pulkovo 1995 / Gauss-Kruger zone 4</t>
  </si>
  <si>
    <t>Pulkovo 1995 / Gauss-Kruger zone 5</t>
  </si>
  <si>
    <t>Pulkovo 1995 / Gauss-Kruger zone 6</t>
  </si>
  <si>
    <t>Pulkovo 1995 / Gauss-Kruger zone 7</t>
  </si>
  <si>
    <t>Pulkovo 1995 / Gauss-Kruger zone 8</t>
  </si>
  <si>
    <t>Pulkovo 1995 / Gauss-Kruger zone 9</t>
  </si>
  <si>
    <t>Pulkovo 1995 / Gauss-Kruger zone 10</t>
  </si>
  <si>
    <t>Pulkovo 1995 / Gauss-Kruger zone 11</t>
  </si>
  <si>
    <t>Pulkovo 1995 / Gauss-Kruger zone 12</t>
  </si>
  <si>
    <t>Pulkovo 1995 / Gauss-Kruger zone 13</t>
  </si>
  <si>
    <t>Pulkovo 1995 / Gauss-Kruger zone 14</t>
  </si>
  <si>
    <t>Pulkovo 1995 / Gauss-Kruger zone 15</t>
  </si>
  <si>
    <t>Pulkovo 1995 / Gauss-Kruger zone 16</t>
  </si>
  <si>
    <t>Pulkovo 1995 / Gauss-Kruger zone 17</t>
  </si>
  <si>
    <t>Pulkovo 1995 / Gauss-Kruger zone 18</t>
  </si>
  <si>
    <t>Pulkovo 1995 / Gauss-Kruger zone 19</t>
  </si>
  <si>
    <t>Pulkovo 1995 / Gauss-Kruger zone 20</t>
  </si>
  <si>
    <t>Pulkovo 1995 / Gauss-Kruger zone 21</t>
  </si>
  <si>
    <t>Pulkovo 1995 / Gauss-Kruger zone 22</t>
  </si>
  <si>
    <t>Pulkovo 1995 / Gauss-Kruger zone 23</t>
  </si>
  <si>
    <t>Pulkovo 1995 / Gauss-Kruger zone 24</t>
  </si>
  <si>
    <t>Pulkovo 1995 / Gauss-Kruger zone 25</t>
  </si>
  <si>
    <t>Pulkovo 1995 / Gauss-Kruger zone 26</t>
  </si>
  <si>
    <t>Pulkovo 1995 / Gauss-Kruger zone 27</t>
  </si>
  <si>
    <t>Pulkovo 1995 / Gauss-Kruger zone 28</t>
  </si>
  <si>
    <t>Pulkovo 1995 / Gauss-Kruger zone 29</t>
  </si>
  <si>
    <t>Pulkovo 1995 / Gauss-Kruger zone 30</t>
  </si>
  <si>
    <t>Pulkovo 1995 / Gauss-Kruger zone 31</t>
  </si>
  <si>
    <t>Pulkovo 1995 / Gauss-Kruger zone 32</t>
  </si>
  <si>
    <t>Pulkovo 1995 / Gauss-Kruger 4N (deprecated)</t>
  </si>
  <si>
    <t>Pulkovo 1995 / Gauss-Kruger 5N (deprecated)</t>
  </si>
  <si>
    <t>Pulkovo 1995 / Gauss-Kruger 6N (deprecated)</t>
  </si>
  <si>
    <t>Pulkovo 1995 / Gauss-Kruger 7N (deprecated)</t>
  </si>
  <si>
    <t>Pulkovo 1995 / Gauss-Kruger 8N (deprecated)</t>
  </si>
  <si>
    <t>Pulkovo 1995 / Gauss-Kruger 9N (deprecated)</t>
  </si>
  <si>
    <t>Pulkovo 1995 / Gauss-Kruger 10N (deprecated)</t>
  </si>
  <si>
    <t>Pulkovo 1995 / Gauss-Kruger 11N (deprecated)</t>
  </si>
  <si>
    <t>Pulkovo 1995 / Gauss-Kruger 12N (deprecated)</t>
  </si>
  <si>
    <t>Pulkovo 1995 / Gauss-Kruger 13N (deprecated)</t>
  </si>
  <si>
    <t>Pulkovo 1995 / Gauss-Kruger 14N (deprecated)</t>
  </si>
  <si>
    <t>Pulkovo 1995 / Gauss-Kruger 15N (deprecated)</t>
  </si>
  <si>
    <t>Pulkovo 1995 / Gauss-Kruger 16N (deprecated)</t>
  </si>
  <si>
    <t>Pulkovo 1995 / Gauss-Kruger 17N (deprecated)</t>
  </si>
  <si>
    <t>Pulkovo 1995 / Gauss-Kruger 18N (deprecated)</t>
  </si>
  <si>
    <t>Pulkovo 1995 / Gauss-Kruger 19N (deprecated)</t>
  </si>
  <si>
    <t>Pulkovo 1995 / Gauss-Kruger 20N (deprecated)</t>
  </si>
  <si>
    <t>Pulkovo 1995 / Gauss-Kruger 21N (deprecated)</t>
  </si>
  <si>
    <t>Pulkovo 1995 / Gauss-Kruger 22N (deprecated)</t>
  </si>
  <si>
    <t>Pulkovo 1995 / Gauss-Kruger 23N (deprecated)</t>
  </si>
  <si>
    <t>Pulkovo 1995 / Gauss-Kruger 24N (deprecated)</t>
  </si>
  <si>
    <t>Pulkovo 1995 / Gauss-Kruger 25N (deprecated)</t>
  </si>
  <si>
    <t>Pulkovo 1995 / Gauss-Kruger 26N (deprecated)</t>
  </si>
  <si>
    <t>Pulkovo 1995 / Gauss-Kruger 27N (deprecated)</t>
  </si>
  <si>
    <t>Pulkovo 1995 / Gauss-Kruger 28N (deprecated)</t>
  </si>
  <si>
    <t>Pulkovo 1995 / Gauss-Kruger 29N (deprecated)</t>
  </si>
  <si>
    <t>Pulkovo 1995 / Gauss-Kruger 30N (deprecated)</t>
  </si>
  <si>
    <t>Pulkovo 1995 / Gauss-Kruger 31N (deprecated)</t>
  </si>
  <si>
    <t>Pulkovo 1995 / Gauss-Kruger 32N (deprecated)</t>
  </si>
  <si>
    <t>Adindan / UTM zone 35N</t>
  </si>
  <si>
    <t>Adindan / UTM zone 36N</t>
  </si>
  <si>
    <t>Adindan / UTM zone 37N</t>
  </si>
  <si>
    <t>Adindan / UTM zone 38N</t>
  </si>
  <si>
    <t>AGD66 / AMG zone 48 (deprecated)</t>
  </si>
  <si>
    <t>AGD66 / AMG zone 49</t>
  </si>
  <si>
    <t>AGD66 / AMG zone 50</t>
  </si>
  <si>
    <t>AGD66 / AMG zone 51</t>
  </si>
  <si>
    <t>AGD66 / AMG zone 52</t>
  </si>
  <si>
    <t>AGD66 / AMG zone 53</t>
  </si>
  <si>
    <t>AGD66 / AMG zone 54</t>
  </si>
  <si>
    <t>AGD66 / AMG zone 55</t>
  </si>
  <si>
    <t>AGD66 / AMG zone 56</t>
  </si>
  <si>
    <t>AGD66 / AMG zone 57</t>
  </si>
  <si>
    <t>AGD66 / AMG zone 58</t>
  </si>
  <si>
    <t>AGD84 / AMG zone 48 (deprecated)</t>
  </si>
  <si>
    <t>AGD84 / AMG zone 49</t>
  </si>
  <si>
    <t>AGD84 / AMG zone 50</t>
  </si>
  <si>
    <t>AGD84 / AMG zone 51</t>
  </si>
  <si>
    <t>AGD84 / AMG zone 52</t>
  </si>
  <si>
    <t>AGD84 / AMG zone 53</t>
  </si>
  <si>
    <t>AGD84 / AMG zone 54</t>
  </si>
  <si>
    <t>AGD84 / AMG zone 55</t>
  </si>
  <si>
    <t>AGD84 / AMG zone 56</t>
  </si>
  <si>
    <t>AGD84 / AMG zone 57 (deprecated)</t>
  </si>
  <si>
    <t>AGD84 / AMG zone 58 (deprecated)</t>
  </si>
  <si>
    <t>Ain el Abd / UTM zone 36N</t>
  </si>
  <si>
    <t>Ain el Abd / UTM zone 37N</t>
  </si>
  <si>
    <t>Ain el Abd / UTM zone 38N</t>
  </si>
  <si>
    <t>Ain el Abd / UTM zone 39N</t>
  </si>
  <si>
    <t>Ain el Abd / UTM zone 40N</t>
  </si>
  <si>
    <t>Ain el Abd / Bahrain Grid</t>
  </si>
  <si>
    <t>Afgooye / UTM zone 38N</t>
  </si>
  <si>
    <t>Afgooye / UTM zone 39N</t>
  </si>
  <si>
    <t>Lisbon (Lisbon) / Portuguese National Grid</t>
  </si>
  <si>
    <t>Lisbon (Lisbon) / Portuguese Grid</t>
  </si>
  <si>
    <t>Aratu / UTM zone 22S</t>
  </si>
  <si>
    <t>Aratu / UTM zone 23S</t>
  </si>
  <si>
    <t>Aratu / UTM zone 24S</t>
  </si>
  <si>
    <t>Arc 1950 / UTM zone 34S</t>
  </si>
  <si>
    <t>Arc 1950 / UTM zone 35S</t>
  </si>
  <si>
    <t>Arc 1950 / UTM zone 36S</t>
  </si>
  <si>
    <t>Arc 1960 / UTM zone 35S</t>
  </si>
  <si>
    <t>Arc 1960 / UTM zone 36S</t>
  </si>
  <si>
    <t>Arc 1960 / UTM zone 37S</t>
  </si>
  <si>
    <t>Arc 1960 / UTM zone 35N</t>
  </si>
  <si>
    <t>Arc 1960 / UTM zone 36N</t>
  </si>
  <si>
    <t>Arc 1960 / UTM zone 37N</t>
  </si>
  <si>
    <t>Batavia (Jakarta) / NEIEZ (deprecated)</t>
  </si>
  <si>
    <t>Batavia / UTM zone 48S</t>
  </si>
  <si>
    <t>Batavia / UTM zone 49S</t>
  </si>
  <si>
    <t>Batavia / UTM zone 50S</t>
  </si>
  <si>
    <t>Barbados 1938 / British West Indies Grid</t>
  </si>
  <si>
    <t>Barbados 1938 / Barbados National Grid</t>
  </si>
  <si>
    <t>Beijing 1954 / Gauss-Kruger zone 13</t>
  </si>
  <si>
    <t>Beijing 1954 / Gauss-Kruger zone 14</t>
  </si>
  <si>
    <t>Beijing 1954 / Gauss-Kruger zone 15</t>
  </si>
  <si>
    <t>Beijing 1954 / Gauss-Kruger zone 16</t>
  </si>
  <si>
    <t>Beijing 1954 / Gauss-Kruger zone 17</t>
  </si>
  <si>
    <t>Beijing 1954 / Gauss-Kruger zone 18</t>
  </si>
  <si>
    <t>Beijing 1954 / Gauss-Kruger zone 19</t>
  </si>
  <si>
    <t>Beijing 1954 / Gauss-Kruger zone 20</t>
  </si>
  <si>
    <t>Beijing 1954 / Gauss-Kruger zone 21</t>
  </si>
  <si>
    <t>Beijing 1954 / Gauss-Kruger zone 22</t>
  </si>
  <si>
    <t>Beijing 1954 / Gauss-Kruger zone 23</t>
  </si>
  <si>
    <t>Beijing 1954 / Gauss-Kruger CM 75E</t>
  </si>
  <si>
    <t>Beijing 1954 / Gauss-Kruger CM 81E</t>
  </si>
  <si>
    <t>Beijing 1954 / Gauss-Kruger CM 87E</t>
  </si>
  <si>
    <t>Beijing 1954 / Gauss-Kruger CM 93E</t>
  </si>
  <si>
    <t>Beijing 1954 / Gauss-Kruger CM 99E</t>
  </si>
  <si>
    <t>Beijing 1954 / Gauss-Kruger CM 105E</t>
  </si>
  <si>
    <t>Beijing 1954 / Gauss-Kruger CM 111E</t>
  </si>
  <si>
    <t>Beijing 1954 / Gauss-Kruger CM 117E</t>
  </si>
  <si>
    <t>Beijing 1954 / Gauss-Kruger CM 123E</t>
  </si>
  <si>
    <t>Beijing 1954 / Gauss-Kruger CM 129E</t>
  </si>
  <si>
    <t>Beijing 1954 / Gauss-Kruger CM 135E</t>
  </si>
  <si>
    <t>Beijing 1954 / Gauss-Kruger 13N (deprecated)</t>
  </si>
  <si>
    <t>Beijing 1954 / Gauss-Kruger 14N (deprecated)</t>
  </si>
  <si>
    <t>Beijing 1954 / Gauss-Kruger 15N (deprecated)</t>
  </si>
  <si>
    <t>Beijing 1954 / Gauss-Kruger 16N (deprecated)</t>
  </si>
  <si>
    <t>Beijing 1954 / Gauss-Kruger 17N (deprecated)</t>
  </si>
  <si>
    <t>Beijing 1954 / Gauss-Kruger 18N (deprecated)</t>
  </si>
  <si>
    <t>Beijing 1954 / Gauss-Kruger 19N (deprecated)</t>
  </si>
  <si>
    <t>Beijing 1954 / Gauss-Kruger 20N (deprecated)</t>
  </si>
  <si>
    <t>Beijing 1954 / Gauss-Kruger 21N (deprecated)</t>
  </si>
  <si>
    <t>Beijing 1954 / Gauss-Kruger 22N (deprecated)</t>
  </si>
  <si>
    <t>Beijing 1954 / Gauss-Kruger 23N (deprecated)</t>
  </si>
  <si>
    <t>Belge 1950 (Brussels) / Belge Lambert 50</t>
  </si>
  <si>
    <t>Bern 1898 (Bern) / LV03C</t>
  </si>
  <si>
    <t>CH1903 / LV03</t>
  </si>
  <si>
    <t>CH1903 / LV03C-G</t>
  </si>
  <si>
    <t>Bogota 1975 / UTM zone 17N (deprecated)</t>
  </si>
  <si>
    <t>Bogota 1975 / UTM zone 18N</t>
  </si>
  <si>
    <t>Bogota 1975 / Colombia West zone (deprecated)</t>
  </si>
  <si>
    <t>Bogota 1975 / Colombia Bogota zone (deprecated)</t>
  </si>
  <si>
    <t>Bogota 1975 / Colombia East Central zone (deprecated)</t>
  </si>
  <si>
    <t>Bogota 1975 / Colombia East (deprecated)</t>
  </si>
  <si>
    <t>Bogota 1975 / Colombia West zone</t>
  </si>
  <si>
    <t>Bogota 1975 / Colombia Bogota zone</t>
  </si>
  <si>
    <t>Bogota 1975 / Colombia East Central zone</t>
  </si>
  <si>
    <t>Bogota 1975 / Colombia East</t>
  </si>
  <si>
    <t>Camacupa / UTM zone 32S</t>
  </si>
  <si>
    <t>Camacupa / UTM zone 33S</t>
  </si>
  <si>
    <t>Camacupa / TM 11.30 SE</t>
  </si>
  <si>
    <t>Camacupa / TM 12 SE</t>
  </si>
  <si>
    <t>POSGAR 98 / Argentina 1</t>
  </si>
  <si>
    <t>POSGAR 98 / Argentina 2</t>
  </si>
  <si>
    <t>POSGAR 98 / Argentina 3</t>
  </si>
  <si>
    <t>POSGAR 98 / Argentina 4</t>
  </si>
  <si>
    <t>POSGAR 98 / Argentina 5</t>
  </si>
  <si>
    <t>POSGAR 98 / Argentina 6</t>
  </si>
  <si>
    <t>POSGAR 98 / Argentina 7</t>
  </si>
  <si>
    <t>POSGAR 94 / Argentina 1</t>
  </si>
  <si>
    <t>POSGAR 94 / Argentina 2</t>
  </si>
  <si>
    <t>POSGAR 94 / Argentina 3</t>
  </si>
  <si>
    <t>POSGAR 94 / Argentina 4</t>
  </si>
  <si>
    <t>POSGAR 94 / Argentina 5</t>
  </si>
  <si>
    <t>POSGAR 94 / Argentina 6</t>
  </si>
  <si>
    <t>POSGAR 94 / Argentina 7</t>
  </si>
  <si>
    <t>Campo Inchauspe / Argentina 1</t>
  </si>
  <si>
    <t>Campo Inchauspe / Argentina 2</t>
  </si>
  <si>
    <t>Campo Inchauspe / Argentina 3</t>
  </si>
  <si>
    <t>Campo Inchauspe / Argentina 4</t>
  </si>
  <si>
    <t>Campo Inchauspe / Argentina 5</t>
  </si>
  <si>
    <t>Campo Inchauspe / Argentina 6</t>
  </si>
  <si>
    <t>Campo Inchauspe / Argentina 7</t>
  </si>
  <si>
    <t>Cape / UTM zone 34S</t>
  </si>
  <si>
    <t>Cape / UTM zone 35S</t>
  </si>
  <si>
    <t>Cape / UTM zone 36S (deprecated)</t>
  </si>
  <si>
    <t>Cape / Lo15</t>
  </si>
  <si>
    <t>Cape / Lo17</t>
  </si>
  <si>
    <t>Cape / Lo19</t>
  </si>
  <si>
    <t>Cape / Lo21</t>
  </si>
  <si>
    <t>Cape / Lo23</t>
  </si>
  <si>
    <t>Cape / Lo25</t>
  </si>
  <si>
    <t>Cape / Lo27</t>
  </si>
  <si>
    <t>Cape / Lo29</t>
  </si>
  <si>
    <t>Cape / Lo31</t>
  </si>
  <si>
    <t>Cape / Lo33</t>
  </si>
  <si>
    <t>Carthage (Paris) / Tunisia Mining GridUnable to translate coordinate system EPSG:22300 into PROJ.4 format.</t>
  </si>
  <si>
    <t>Carthage / UTM zone 32N</t>
  </si>
  <si>
    <t>Carthage / Nord Tunisie</t>
  </si>
  <si>
    <t>Carthage / Sud Tunisie</t>
  </si>
  <si>
    <t>Corrego Alegre 1970-72 / UTM zone 21S</t>
  </si>
  <si>
    <t>Corrego Alegre 1970-72 / UTM zone 22S</t>
  </si>
  <si>
    <t>Corrego Alegre 1970-72 / UTM zone 23S</t>
  </si>
  <si>
    <t>Corrego Alegre 1970-72 / UTM zone 24S</t>
  </si>
  <si>
    <t>Corrego Alegre 1970-72 / UTM zone 25S</t>
  </si>
  <si>
    <t>Deir ez Zor / Levant Zone</t>
  </si>
  <si>
    <t>Deir ez Zor / Syria Lambert</t>
  </si>
  <si>
    <t>Deir ez Zor / Levant Stereographic</t>
  </si>
  <si>
    <t>Douala / UTM zone 32N (deprecated)</t>
  </si>
  <si>
    <t>Egypt 1907 / Blue Belt</t>
  </si>
  <si>
    <t>Egypt 1907 / Red Belt</t>
  </si>
  <si>
    <t>Egypt 1907 / Purple Belt</t>
  </si>
  <si>
    <t>Egypt 1907 / Extended Purple Belt</t>
  </si>
  <si>
    <t>ED50 / UTM zone 28N</t>
  </si>
  <si>
    <t>ED50 / UTM zone 29N</t>
  </si>
  <si>
    <t>ED50 / UTM zone 30N</t>
  </si>
  <si>
    <t>ED50 / UTM zone 31N</t>
  </si>
  <si>
    <t>ED50 / UTM zone 32N</t>
  </si>
  <si>
    <t>ED50 / UTM zone 33N</t>
  </si>
  <si>
    <t>ED50 / UTM zone 34N</t>
  </si>
  <si>
    <t>ED50 / UTM zone 35N</t>
  </si>
  <si>
    <t>ED50 / UTM zone 36N</t>
  </si>
  <si>
    <t>ED50 / UTM zone 37N</t>
  </si>
  <si>
    <t>ED50 / UTM zone 38N</t>
  </si>
  <si>
    <t>ED50 / TM 0 N</t>
  </si>
  <si>
    <t>ED50 / TM 5 NE</t>
  </si>
  <si>
    <t>Fahud / UTM zone 39N</t>
  </si>
  <si>
    <t>Fahud / UTM zone 40N</t>
  </si>
  <si>
    <t>Garoua / UTM zone 33N (deprecated)</t>
  </si>
  <si>
    <t>HD72 / EOV</t>
  </si>
  <si>
    <t>DGN95 / Indonesia TM-3 zone 46.2</t>
  </si>
  <si>
    <t>DGN95 / Indonesia TM-3 zone 47.1</t>
  </si>
  <si>
    <t>DGN95 / Indonesia TM-3 zone 47.2</t>
  </si>
  <si>
    <t>DGN95 / Indonesia TM-3 zone 48.1</t>
  </si>
  <si>
    <t>DGN95 / Indonesia TM-3 zone 48.2</t>
  </si>
  <si>
    <t>DGN95 / Indonesia TM-3 zone 49.1</t>
  </si>
  <si>
    <t>DGN95 / Indonesia TM-3 zone 49.2</t>
  </si>
  <si>
    <t>DGN95 / Indonesia TM-3 zone 50.1</t>
  </si>
  <si>
    <t>DGN95 / Indonesia TM-3 zone 50.2</t>
  </si>
  <si>
    <t>DGN95 / Indonesia TM-3 zone 51.1</t>
  </si>
  <si>
    <t>DGN95 / Indonesia TM-3 zone 51.2</t>
  </si>
  <si>
    <t>DGN95 / Indonesia TM-3 zone 52.1</t>
  </si>
  <si>
    <t>DGN95 / Indonesia TM-3 zone 52.2</t>
  </si>
  <si>
    <t>DGN95 / Indonesia TM-3 zone 53.1</t>
  </si>
  <si>
    <t>DGN95 / Indonesia TM-3 zone 53.2</t>
  </si>
  <si>
    <t>DGN95 / Indonesia TM-3 zone 54.1</t>
  </si>
  <si>
    <t>ID74 / UTM zone 46N</t>
  </si>
  <si>
    <t>ID74 / UTM zone 47N</t>
  </si>
  <si>
    <t>ID74 / UTM zone 48N</t>
  </si>
  <si>
    <t>ID74 / UTM zone 49N</t>
  </si>
  <si>
    <t>ID74 / UTM zone 50N</t>
  </si>
  <si>
    <t>ID74 / UTM zone 51N</t>
  </si>
  <si>
    <t>ID74 / UTM zone 52N</t>
  </si>
  <si>
    <t>ID74 / UTM zone 53N (deprecated)</t>
  </si>
  <si>
    <t>DGN95 / UTM zone 46N</t>
  </si>
  <si>
    <t>DGN95 / UTM zone 47N</t>
  </si>
  <si>
    <t>DGN95 / UTM zone 48N</t>
  </si>
  <si>
    <t>DGN95 / UTM zone 49N</t>
  </si>
  <si>
    <t>DGN95 / UTM zone 50N</t>
  </si>
  <si>
    <t>DGN95 / UTM zone 51N</t>
  </si>
  <si>
    <t>DGN95 / UTM zone 52N</t>
  </si>
  <si>
    <t>DGN95 / UTM zone 47S</t>
  </si>
  <si>
    <t>DGN95 / UTM zone 48S</t>
  </si>
  <si>
    <t>DGN95 / UTM zone 49S</t>
  </si>
  <si>
    <t>DGN95 / UTM zone 50S</t>
  </si>
  <si>
    <t>DGN95 / UTM zone 51S</t>
  </si>
  <si>
    <t>DGN95 / UTM zone 52S</t>
  </si>
  <si>
    <t>DGN95 / UTM zone 53S</t>
  </si>
  <si>
    <t>DGN95 / UTM zone 54S</t>
  </si>
  <si>
    <t>ID74 / UTM zone 46S (deprecated)</t>
  </si>
  <si>
    <t>ID74 / UTM zone 47S</t>
  </si>
  <si>
    <t>ID74 / UTM zone 48S</t>
  </si>
  <si>
    <t>ID74 / UTM zone 49S</t>
  </si>
  <si>
    <t>ID74 / UTM zone 50S</t>
  </si>
  <si>
    <t>ID74 / UTM zone 51S</t>
  </si>
  <si>
    <t>ID74 / UTM zone 52S</t>
  </si>
  <si>
    <t>ID74 / UTM zone 53S</t>
  </si>
  <si>
    <t>ID74 / UTM zone 54S</t>
  </si>
  <si>
    <t>Indian 1954 / UTM zone 46N</t>
  </si>
  <si>
    <t>Indian 1954 / UTM zone 47N</t>
  </si>
  <si>
    <t>Indian 1954 / UTM zone 48N</t>
  </si>
  <si>
    <t>Indian 1975 / UTM zone 47N</t>
  </si>
  <si>
    <t>Indian 1975 / UTM zone 48N</t>
  </si>
  <si>
    <t>Jamaica 1875 / Jamaica (Old Grid)</t>
  </si>
  <si>
    <t>JAD69 / Jamaica National Grid</t>
  </si>
  <si>
    <t>Kalianpur 1937 / UTM zone 45N</t>
  </si>
  <si>
    <t>Kalianpur 1937 / UTM zone 46N</t>
  </si>
  <si>
    <t>Kalianpur 1962 / UTM zone 41N</t>
  </si>
  <si>
    <t>Kalianpur 1962 / UTM zone 42N</t>
  </si>
  <si>
    <t>Kalianpur 1962 / UTM zone 43N</t>
  </si>
  <si>
    <t>Kalianpur 1975 / UTM zone 42N</t>
  </si>
  <si>
    <t>Kalianpur 1975 / UTM zone 43N</t>
  </si>
  <si>
    <t>Kalianpur 1975 / UTM zone 44N</t>
  </si>
  <si>
    <t>Kalianpur 1975 / UTM zone 45N</t>
  </si>
  <si>
    <t>Kalianpur 1975 / UTM zone 46N</t>
  </si>
  <si>
    <t>Kalianpur 1975 / UTM zone 47N</t>
  </si>
  <si>
    <t>Kalianpur 1880 / India zone 0</t>
  </si>
  <si>
    <t>Kalianpur 1880 / India zone I</t>
  </si>
  <si>
    <t>Kalianpur 1880 / India zone IIa</t>
  </si>
  <si>
    <t>Kalianpur 1880 / India zone IIIa</t>
  </si>
  <si>
    <t>Kalianpur 1880 / India zone IVa</t>
  </si>
  <si>
    <t>Kalianpur 1937 / India zone IIb</t>
  </si>
  <si>
    <t>Kalianpur 1962 / India zone I</t>
  </si>
  <si>
    <t>Kalianpur 1962 / India zone IIa</t>
  </si>
  <si>
    <t>Kalianpur 1975 / India zone I</t>
  </si>
  <si>
    <t>Kalianpur 1975 / India zone IIa</t>
  </si>
  <si>
    <t>Kalianpur 1975 / India zone IIb</t>
  </si>
  <si>
    <t>Kalianpur 1975 / India zone IIIa</t>
  </si>
  <si>
    <t>Kalianpur 1880 / India zone IIb</t>
  </si>
  <si>
    <t>Kalianpur 1975 / India zone IVa</t>
  </si>
  <si>
    <t>Kertau 1968 / Singapore Grid</t>
  </si>
  <si>
    <t>Kertau 1968 / UTM zone 47N</t>
  </si>
  <si>
    <t>Kertau 1968 / UTM zone 48N</t>
  </si>
  <si>
    <t>Kertau / R.S.O. Malaya (ch) (deprecated)</t>
  </si>
  <si>
    <t>KOC Lambert</t>
  </si>
  <si>
    <t>La Canoa / UTM zone 18N</t>
  </si>
  <si>
    <t>La Canoa / UTM zone 19N</t>
  </si>
  <si>
    <t>La Canoa / UTM zone 20N</t>
  </si>
  <si>
    <t>PSAD56 / UTM zone 17N</t>
  </si>
  <si>
    <t>PSAD56 / UTM zone 18N</t>
  </si>
  <si>
    <t>PSAD56 / UTM zone 19N</t>
  </si>
  <si>
    <t>PSAD56 / UTM zone 20N</t>
  </si>
  <si>
    <t>PSAD56 / UTM zone 21N</t>
  </si>
  <si>
    <t>PSAD56 / UTM zone 17S</t>
  </si>
  <si>
    <t>PSAD56 / UTM zone 18S</t>
  </si>
  <si>
    <t>PSAD56 / UTM zone 19S</t>
  </si>
  <si>
    <t>PSAD56 / UTM zone 20S</t>
  </si>
  <si>
    <t>PSAD56 / UTM zone 21S</t>
  </si>
  <si>
    <t>PSAD56 / UTM zone 22S</t>
  </si>
  <si>
    <t>PSAD56 / Peru west zone</t>
  </si>
  <si>
    <t>PSAD56 / Peru central zone</t>
  </si>
  <si>
    <t>PSAD56 / Peru east zone</t>
  </si>
  <si>
    <t>Leigon / Ghana Metre Grid</t>
  </si>
  <si>
    <t>Lome / UTM zone 31N</t>
  </si>
  <si>
    <t>Luzon 1911 / Philippines zone I</t>
  </si>
  <si>
    <t>Luzon 1911 / Philippines zone II</t>
  </si>
  <si>
    <t>Luzon 1911 / Philippines zone III</t>
  </si>
  <si>
    <t>Luzon 1911 / Philippines zone IV</t>
  </si>
  <si>
    <t>Luzon 1911 / Philippines zone V</t>
  </si>
  <si>
    <t>Makassar (Jakarta) / NEIEZ (deprecated)</t>
  </si>
  <si>
    <t>ETRS89 / UTM zone 28N</t>
  </si>
  <si>
    <t>ETRS89 / UTM zone 29N</t>
  </si>
  <si>
    <t>ETRS89 / UTM zone 30N</t>
  </si>
  <si>
    <t>ETRS89 / UTM zone 31N</t>
  </si>
  <si>
    <t>ETRS89 / UTM zone 32N</t>
  </si>
  <si>
    <t>ETRS89 / UTM zone 33N</t>
  </si>
  <si>
    <t>ETRS89 / UTM zone 34N</t>
  </si>
  <si>
    <t>ETRS89 / UTM zone 35N</t>
  </si>
  <si>
    <t>ETRS89 / UTM zone 36N</t>
  </si>
  <si>
    <t>ETRS89 / UTM zone 37N</t>
  </si>
  <si>
    <t>ETRS89 / UTM zone 38N (deprecated)</t>
  </si>
  <si>
    <t>ETRS89 / TM Baltic93</t>
  </si>
  <si>
    <t>Malongo 1987 / UTM zone 32S</t>
  </si>
  <si>
    <t>Merchich / Nord Maroc</t>
  </si>
  <si>
    <t>Merchich / Sud Maroc</t>
  </si>
  <si>
    <t>Merchich / Sahara (deprecated)</t>
  </si>
  <si>
    <t>Merchich / Sahara Nord</t>
  </si>
  <si>
    <t>Merchich / Sahara Sud</t>
  </si>
  <si>
    <t>Massawa / UTM zone 37N</t>
  </si>
  <si>
    <t>Minna / UTM zone 31N</t>
  </si>
  <si>
    <t>Minna / UTM zone 32N</t>
  </si>
  <si>
    <t>Minna / Nigeria West Belt</t>
  </si>
  <si>
    <t>Minna / Nigeria Mid Belt</t>
  </si>
  <si>
    <t>Minna / Nigeria East Belt</t>
  </si>
  <si>
    <t>Mhast / UTM zone 32S (deprecated)</t>
  </si>
  <si>
    <t>Monte Mario (Rome) / Italy zone 1 (deprecated)</t>
  </si>
  <si>
    <t>Monte Mario (Rome) / Italy zone 2 (deprecated)</t>
  </si>
  <si>
    <t>M'poraloko / UTM zone 32N</t>
  </si>
  <si>
    <t>M'poraloko / UTM zone 32S</t>
  </si>
  <si>
    <t>NAD27 / UTM zone 1N</t>
  </si>
  <si>
    <t>NAD27 / UTM zone 2N</t>
  </si>
  <si>
    <t>NAD27 / UTM zone 3N</t>
  </si>
  <si>
    <t>NAD27 / UTM zone 4N</t>
  </si>
  <si>
    <t>NAD27 / UTM zone 5N</t>
  </si>
  <si>
    <t>NAD27 / UTM zone 6N</t>
  </si>
  <si>
    <t>NAD27 / UTM zone 7N</t>
  </si>
  <si>
    <t>NAD27 / UTM zone 8N</t>
  </si>
  <si>
    <t>NAD27 / UTM zone 9N</t>
  </si>
  <si>
    <t>NAD27 / UTM zone 10N</t>
  </si>
  <si>
    <t>NAD27 / UTM zone 11N</t>
  </si>
  <si>
    <t>NAD27 / UTM zone 12N</t>
  </si>
  <si>
    <t>NAD27 / UTM zone 13N</t>
  </si>
  <si>
    <t>NAD27 / UTM zone 14N</t>
  </si>
  <si>
    <t>NAD27 / UTM zone 15N</t>
  </si>
  <si>
    <t>NAD27 / UTM zone 16N</t>
  </si>
  <si>
    <t>NAD27 / UTM zone 17N</t>
  </si>
  <si>
    <t>NAD27 / UTM zone 18N</t>
  </si>
  <si>
    <t>NAD27 / UTM zone 19N</t>
  </si>
  <si>
    <t>NAD27 / UTM zone 20N</t>
  </si>
  <si>
    <t>NAD27 / UTM zone 21N</t>
  </si>
  <si>
    <t>NAD27 / UTM zone 22N</t>
  </si>
  <si>
    <t>NAD27 / Alabama East</t>
  </si>
  <si>
    <t>NAD27 / Alabama West</t>
  </si>
  <si>
    <t>NAD27 / Alaska zone 1</t>
  </si>
  <si>
    <t>NAD27 / Alaska zone 2</t>
  </si>
  <si>
    <t>NAD27 / Alaska zone 3</t>
  </si>
  <si>
    <t>NAD27 / Alaska zone 4</t>
  </si>
  <si>
    <t>NAD27 / Alaska zone 5</t>
  </si>
  <si>
    <t>NAD27 / Alaska zone 6</t>
  </si>
  <si>
    <t>NAD27 / Alaska zone 7</t>
  </si>
  <si>
    <t>NAD27 / Alaska zone 8</t>
  </si>
  <si>
    <t>NAD27 / Alaska zone 9</t>
  </si>
  <si>
    <t>NAD27 / Alaska zone 10</t>
  </si>
  <si>
    <t>NAD27 / California zone I</t>
  </si>
  <si>
    <t>NAD27 / California zone II</t>
  </si>
  <si>
    <t>NAD27 / California zone III</t>
  </si>
  <si>
    <t>NAD27 / California zone IV</t>
  </si>
  <si>
    <t>NAD27 / California zone V</t>
  </si>
  <si>
    <t>NAD27 / California zone VI</t>
  </si>
  <si>
    <t>NAD27 / California zone VII (deprecated)</t>
  </si>
  <si>
    <t>NAD27 / Arizona East</t>
  </si>
  <si>
    <t>NAD27 / Arizona Central</t>
  </si>
  <si>
    <t>NAD27 / Arizona West</t>
  </si>
  <si>
    <t>NAD27 / Arkansas North</t>
  </si>
  <si>
    <t>NAD27 / Arkansas South</t>
  </si>
  <si>
    <t>NAD27 / Colorado North</t>
  </si>
  <si>
    <t>NAD27 / Colorado Central</t>
  </si>
  <si>
    <t>NAD27 / Colorado South</t>
  </si>
  <si>
    <t>NAD27 / Connecticut</t>
  </si>
  <si>
    <t>NAD27 / Delaware</t>
  </si>
  <si>
    <t>NAD27 / Florida East</t>
  </si>
  <si>
    <t>NAD27 / Florida West</t>
  </si>
  <si>
    <t>NAD27 / Florida North</t>
  </si>
  <si>
    <t>NAD27 / Georgia East</t>
  </si>
  <si>
    <t>NAD27 / Georgia West</t>
  </si>
  <si>
    <t>NAD27 / Idaho East</t>
  </si>
  <si>
    <t>NAD27 / Idaho Central</t>
  </si>
  <si>
    <t>NAD27 / Idaho West</t>
  </si>
  <si>
    <t>NAD27 / Illinois East</t>
  </si>
  <si>
    <t>NAD27 / Illinois West</t>
  </si>
  <si>
    <t>NAD27 / Indiana East</t>
  </si>
  <si>
    <t>NAD27 / Indiana West</t>
  </si>
  <si>
    <t>NAD27 / Iowa North</t>
  </si>
  <si>
    <t>NAD27 / Iowa South</t>
  </si>
  <si>
    <t>NAD27 / Kansas North</t>
  </si>
  <si>
    <t>NAD27 / Kansas South</t>
  </si>
  <si>
    <t>NAD27 / Kentucky North</t>
  </si>
  <si>
    <t>NAD27 / Kentucky South</t>
  </si>
  <si>
    <t>NAD27 / Louisiana North</t>
  </si>
  <si>
    <t>NAD27 / Louisiana South</t>
  </si>
  <si>
    <t>NAD27 / Maine East</t>
  </si>
  <si>
    <t>NAD27 / Maine West</t>
  </si>
  <si>
    <t>NAD27 / Maryland</t>
  </si>
  <si>
    <t>NAD27 / Massachusetts Mainland</t>
  </si>
  <si>
    <t>NAD27 / Massachusetts Island</t>
  </si>
  <si>
    <t>NAD27 / Minnesota North</t>
  </si>
  <si>
    <t>NAD27 / Minnesota Central</t>
  </si>
  <si>
    <t>NAD27 / Minnesota South</t>
  </si>
  <si>
    <t>NAD27 / Mississippi East</t>
  </si>
  <si>
    <t>NAD27 / Mississippi West</t>
  </si>
  <si>
    <t>NAD27 / Missouri East</t>
  </si>
  <si>
    <t>NAD27 / Missouri Central</t>
  </si>
  <si>
    <t>NAD27 / Missouri West</t>
  </si>
  <si>
    <t>NAD27 / California zone VII</t>
  </si>
  <si>
    <t>NAD Michigan / Michigan East (deprecated)</t>
  </si>
  <si>
    <t>NAD Michigan / Michigan Old Central (deprecated)</t>
  </si>
  <si>
    <t>NAD Michigan / Michigan West (deprecated)</t>
  </si>
  <si>
    <t>NAD Michigan / Michigan North (deprecated)</t>
  </si>
  <si>
    <t>NAD Michigan / Michigan Central (deprecated)</t>
  </si>
  <si>
    <t>NAD Michigan / Michigan South (deprecated)</t>
  </si>
  <si>
    <t>NAD83 / Maine East (ftUS) (deprecated)</t>
  </si>
  <si>
    <t>NAD83 / Maine West (ftUS) (deprecated)</t>
  </si>
  <si>
    <t>NAD83 / Minnesota North (ftUS) (deprecated)</t>
  </si>
  <si>
    <t>NAD83 / Minnesota Central (ftUS) (deprecated)</t>
  </si>
  <si>
    <t>NAD83 / Minnesota South (ftUS) (deprecated)</t>
  </si>
  <si>
    <t>NAD83 / Nebraska (ftUS) (deprecated)</t>
  </si>
  <si>
    <t>NAD83 / West Virginia North (ftUS) (deprecated)</t>
  </si>
  <si>
    <t>NAD83 / West Virginia South (ftUS) (deprecated)</t>
  </si>
  <si>
    <t>NAD83(HARN) / Maine East (ftUS) (deprecated)</t>
  </si>
  <si>
    <t>NAD83(HARN) / Maine West (ftUS) (deprecated)</t>
  </si>
  <si>
    <t>NAD83(HARN) / Minnesota North (ftUS) (deprecated)</t>
  </si>
  <si>
    <t>NAD83(HARN) / Minnesota Central (ftUS) (deprecated)</t>
  </si>
  <si>
    <t>NAD83(HARN) / Minnesota South (ftUS) (deprecated)</t>
  </si>
  <si>
    <t>NAD83(HARN) / Nebraska (ftUS) (deprecated)</t>
  </si>
  <si>
    <t>NAD83(HARN) / West Virginia North (ftUS) (deprecated)</t>
  </si>
  <si>
    <t>NAD83(HARN) / West Virginia South (ftUS) (deprecated)</t>
  </si>
  <si>
    <t>NAD83(NSRS2007) / Maine East (ftUS) (deprecated)</t>
  </si>
  <si>
    <t>NAD83(NSRS2007) / Maine West (ftUS) (deprecated)</t>
  </si>
  <si>
    <t>NAD83(NSRS2007) / Minnesota North (ftUS) (deprecated)</t>
  </si>
  <si>
    <t>NAD83(NSRS2007) / Minnesota Central (ftUS) (deprecated)</t>
  </si>
  <si>
    <t>NAD83(NSRS2007) / Minnesota South (ftUS) (deprecated)</t>
  </si>
  <si>
    <t>NAD83(NSRS2007) / Nebraska (ftUS) (deprecated)</t>
  </si>
  <si>
    <t>NAD83(NSRS2007) / West Virginia North (ftUS) (deprecated)</t>
  </si>
  <si>
    <t>NAD83(NSRS2007) / West Virginia South (ftUS) (deprecated)</t>
  </si>
  <si>
    <t>NAD83 / Maine East (ftUS)</t>
  </si>
  <si>
    <t>NAD83 / Maine West (ftUS)</t>
  </si>
  <si>
    <t>NAD83 / Minnesota North (ftUS)</t>
  </si>
  <si>
    <t>NAD83 / Minnesota Central (ftUS)</t>
  </si>
  <si>
    <t>NAD83 / Minnesota South (ftUS)</t>
  </si>
  <si>
    <t>NAD83 / Nebraska (ftUS)</t>
  </si>
  <si>
    <t>NAD83 / West Virginia North (ftUS)</t>
  </si>
  <si>
    <t>NAD83 / West Virginia South (ftUS)</t>
  </si>
  <si>
    <t>NAD83(HARN) / Maine East (ftUS)</t>
  </si>
  <si>
    <t>NAD83(HARN) / Maine West (ftUS)</t>
  </si>
  <si>
    <t>NAD83(HARN) / Minnesota North (ftUS)</t>
  </si>
  <si>
    <t>NAD83(HARN) / Minnesota Central (ftUS)</t>
  </si>
  <si>
    <t>NAD83(HARN) / Minnesota South (ftUS)</t>
  </si>
  <si>
    <t>NAD83(HARN) / Nebraska (ftUS)</t>
  </si>
  <si>
    <t>NAD83(HARN) / West Virginia North (ftUS)</t>
  </si>
  <si>
    <t>NAD83(HARN) / West Virginia South (ftUS)</t>
  </si>
  <si>
    <t>NAD83(NSRS2007) / Maine East (ftUS)</t>
  </si>
  <si>
    <t>NAD83(NSRS2007) / Maine West (ftUS)</t>
  </si>
  <si>
    <t>NAD83(NSRS2007) / Minnesota North (ftUS)</t>
  </si>
  <si>
    <t>NAD83(NSRS2007) / Minnesota Central (ftUS)</t>
  </si>
  <si>
    <t>NAD83(NSRS2007) / Minnesota South (ftUS)</t>
  </si>
  <si>
    <t>NAD83(NSRS2007) / Nebraska (ftUS)</t>
  </si>
  <si>
    <t>NAD83(NSRS2007) / West Virginia North (ftUS)</t>
  </si>
  <si>
    <t>NAD83(NSRS2007) / West Virginia South (ftUS)</t>
  </si>
  <si>
    <t>NAD83(CSRS) / MTM zone 11</t>
  </si>
  <si>
    <t>NAD83(CSRS) / MTM zone 12</t>
  </si>
  <si>
    <t>NAD83(CSRS) / MTM zone 13</t>
  </si>
  <si>
    <t>NAD83(CSRS) / MTM zone 14</t>
  </si>
  <si>
    <t>NAD83(CSRS) / MTM zone 15</t>
  </si>
  <si>
    <t>NAD83(CSRS) / MTM zone 16</t>
  </si>
  <si>
    <t>NAD83(CSRS) / MTM zone 17</t>
  </si>
  <si>
    <t>NAD83(CSRS) / MTM zone 1</t>
  </si>
  <si>
    <t>NAD83(CSRS) / MTM zone 2</t>
  </si>
  <si>
    <t>NAD83 / UTM zone 1N</t>
  </si>
  <si>
    <t>NAD83 / UTM zone 2N</t>
  </si>
  <si>
    <t>NAD83 / UTM zone 3N</t>
  </si>
  <si>
    <t>NAD83 / UTM zone 4N</t>
  </si>
  <si>
    <t>NAD83 / UTM zone 5N</t>
  </si>
  <si>
    <t>NAD83 / UTM zone 6N</t>
  </si>
  <si>
    <t>NAD83 / UTM zone 7N</t>
  </si>
  <si>
    <t>NAD83 / UTM zone 8N</t>
  </si>
  <si>
    <t>NAD83 / UTM zone 9N</t>
  </si>
  <si>
    <t>NAD83 / UTM zone 10N</t>
  </si>
  <si>
    <t>NAD83 / UTM zone 11N</t>
  </si>
  <si>
    <t>NAD83 / UTM zone 12N</t>
  </si>
  <si>
    <t>NAD83 / UTM zone 13N</t>
  </si>
  <si>
    <t>NAD83 / UTM zone 14N</t>
  </si>
  <si>
    <t>NAD83 / UTM zone 15N</t>
  </si>
  <si>
    <t>NAD83 / UTM zone 16N</t>
  </si>
  <si>
    <t>NAD83 / UTM zone 17N</t>
  </si>
  <si>
    <t>NAD83 / UTM zone 18N</t>
  </si>
  <si>
    <t>NAD83 / UTM zone 19N</t>
  </si>
  <si>
    <t>NAD83 / UTM zone 20N</t>
  </si>
  <si>
    <t>NAD83 / UTM zone 21N</t>
  </si>
  <si>
    <t>NAD83 / UTM zone 22N</t>
  </si>
  <si>
    <t>NAD83 / UTM zone 23N</t>
  </si>
  <si>
    <t>NAD83 / Alabama East</t>
  </si>
  <si>
    <t>NAD83 / Alabama West</t>
  </si>
  <si>
    <t>NAD83 / Alaska zone 1</t>
  </si>
  <si>
    <t>NAD83 / Alaska zone 2</t>
  </si>
  <si>
    <t>NAD83 / Alaska zone 3</t>
  </si>
  <si>
    <t>NAD83 / Alaska zone 4</t>
  </si>
  <si>
    <t>NAD83 / Alaska zone 5</t>
  </si>
  <si>
    <t>NAD83 / Alaska zone 6</t>
  </si>
  <si>
    <t>NAD83 / Alaska zone 7</t>
  </si>
  <si>
    <t>NAD83 / Alaska zone 8</t>
  </si>
  <si>
    <t>NAD83 / Alaska zone 9</t>
  </si>
  <si>
    <t>NAD83 / Alaska zone 10</t>
  </si>
  <si>
    <t>NAD83 / California zone 1</t>
  </si>
  <si>
    <t>NAD83 / California zone 2</t>
  </si>
  <si>
    <t>NAD83 / California zone 3</t>
  </si>
  <si>
    <t>NAD83 / California zone 4</t>
  </si>
  <si>
    <t>NAD83 / California zone 5</t>
  </si>
  <si>
    <t>NAD83 / California zone 6</t>
  </si>
  <si>
    <t>NAD83 / Arizona East</t>
  </si>
  <si>
    <t>NAD83 / Arizona Central</t>
  </si>
  <si>
    <t>NAD83 / Arizona West</t>
  </si>
  <si>
    <t>NAD83 / Arkansas North</t>
  </si>
  <si>
    <t>NAD83 / Arkansas South</t>
  </si>
  <si>
    <t>NAD83 / Colorado North</t>
  </si>
  <si>
    <t>NAD83 / Colorado Central</t>
  </si>
  <si>
    <t>NAD83 / Colorado South</t>
  </si>
  <si>
    <t>NAD83 / Connecticut</t>
  </si>
  <si>
    <t>NAD83 / Delaware</t>
  </si>
  <si>
    <t>NAD83 / Florida East</t>
  </si>
  <si>
    <t>NAD83 / Florida West</t>
  </si>
  <si>
    <t>NAD83 / Florida North</t>
  </si>
  <si>
    <t>NAD83 / Hawaii zone 1</t>
  </si>
  <si>
    <t>NAD83 / Hawaii zone 2</t>
  </si>
  <si>
    <t>NAD83 / Hawaii zone 3</t>
  </si>
  <si>
    <t>NAD83 / Hawaii zone 4</t>
  </si>
  <si>
    <t>NAD83 / Hawaii zone 5</t>
  </si>
  <si>
    <t>NAD83 / Georgia East</t>
  </si>
  <si>
    <t>NAD83 / Georgia West</t>
  </si>
  <si>
    <t>NAD83 / Idaho East</t>
  </si>
  <si>
    <t>NAD83 / Idaho Central</t>
  </si>
  <si>
    <t>NAD83 / Idaho West</t>
  </si>
  <si>
    <t>NAD83 / Illinois East</t>
  </si>
  <si>
    <t>NAD83 / Illinois West</t>
  </si>
  <si>
    <t>NAD83 / Indiana East</t>
  </si>
  <si>
    <t>NAD83 / Indiana West</t>
  </si>
  <si>
    <t>NAD83 / Iowa North</t>
  </si>
  <si>
    <t>NAD83 / Iowa South</t>
  </si>
  <si>
    <t>NAD83 / Kansas North</t>
  </si>
  <si>
    <t>NAD83 / Kansas South</t>
  </si>
  <si>
    <t>NAD83 / Kentucky North (deprecated)</t>
  </si>
  <si>
    <t>NAD83 / Kentucky South</t>
  </si>
  <si>
    <t>NAD83 / Louisiana North</t>
  </si>
  <si>
    <t>NAD83 / Louisiana South</t>
  </si>
  <si>
    <t>NAD83 / Maine East</t>
  </si>
  <si>
    <t>NAD83 / Maine West</t>
  </si>
  <si>
    <t>NAD83 / Maryland</t>
  </si>
  <si>
    <t>NAD83 / Massachusetts Mainland</t>
  </si>
  <si>
    <t>NAD83 / Massachusetts Island</t>
  </si>
  <si>
    <t>NAD83 / Michigan North</t>
  </si>
  <si>
    <t>NAD83 / Michigan Central</t>
  </si>
  <si>
    <t>NAD83 / Michigan South</t>
  </si>
  <si>
    <t>NAD83 / Minnesota North</t>
  </si>
  <si>
    <t>NAD83 / Minnesota Central</t>
  </si>
  <si>
    <t>NAD83 / Minnesota South</t>
  </si>
  <si>
    <t>NAD83 / Mississippi East</t>
  </si>
  <si>
    <t>NAD83 / Mississippi West</t>
  </si>
  <si>
    <t>NAD83 / Missouri East</t>
  </si>
  <si>
    <t>NAD83 / Missouri Central</t>
  </si>
  <si>
    <t>NAD83 / Missouri West</t>
  </si>
  <si>
    <t>Nahrwan 1967 / UTM zone 37N (deprecated)</t>
  </si>
  <si>
    <t>Nahrwan 1967 / UTM zone 38N (deprecated)</t>
  </si>
  <si>
    <t>Nahrwan 1967 / UTM zone 39N</t>
  </si>
  <si>
    <t>Nahrwan 1967 / UTM zone 40N</t>
  </si>
  <si>
    <t>Naparima 1972 / UTM zone 20N</t>
  </si>
  <si>
    <t>NZGD49 / New Zealand Map Grid</t>
  </si>
  <si>
    <t>NZGD49 / Mount Eden Circuit</t>
  </si>
  <si>
    <t>NZGD49 / Bay of Plenty Circuit</t>
  </si>
  <si>
    <t>NZGD49 / Poverty Bay Circuit</t>
  </si>
  <si>
    <t>NZGD49 / Hawkes Bay Circuit</t>
  </si>
  <si>
    <t>NZGD49 / Taranaki Circuit</t>
  </si>
  <si>
    <t>NZGD49 / Tuhirangi Circuit</t>
  </si>
  <si>
    <t>NZGD49 / Wanganui Circuit</t>
  </si>
  <si>
    <t>NZGD49 / Wairarapa Circuit</t>
  </si>
  <si>
    <t>NZGD49 / Wellington Circuit</t>
  </si>
  <si>
    <t>NZGD49 / Collingwood Circuit</t>
  </si>
  <si>
    <t>NZGD49 / Nelson Circuit</t>
  </si>
  <si>
    <t>NZGD49 / Karamea Circuit</t>
  </si>
  <si>
    <t>NZGD49 / Buller Circuit</t>
  </si>
  <si>
    <t>NZGD49 / Grey Circuit</t>
  </si>
  <si>
    <t>NZGD49 / Amuri Circuit</t>
  </si>
  <si>
    <t>NZGD49 / Marlborough Circuit</t>
  </si>
  <si>
    <t>NZGD49 / Hokitika Circuit</t>
  </si>
  <si>
    <t>NZGD49 / Okarito Circuit</t>
  </si>
  <si>
    <t>NZGD49 / Jacksons Bay Circuit</t>
  </si>
  <si>
    <t>NZGD49 / Mount Pleasant Circuit</t>
  </si>
  <si>
    <t>NZGD49 / Gawler Circuit</t>
  </si>
  <si>
    <t>NZGD49 / Timaru Circuit</t>
  </si>
  <si>
    <t>NZGD49 / Lindis Peak Circuit</t>
  </si>
  <si>
    <t>NZGD49 / Mount Nicholas Circuit</t>
  </si>
  <si>
    <t>NZGD49 / Mount York Circuit</t>
  </si>
  <si>
    <t>NZGD49 / Observation Point Circuit</t>
  </si>
  <si>
    <t>NZGD49 / North Taieri Circuit</t>
  </si>
  <si>
    <t>NZGD49 / Bluff Circuit</t>
  </si>
  <si>
    <t>NZGD49 / UTM zone 58S</t>
  </si>
  <si>
    <t>NZGD49 / UTM zone 59S</t>
  </si>
  <si>
    <t>NZGD49 / UTM zone 60S</t>
  </si>
  <si>
    <t>NZGD49 / North Island Grid</t>
  </si>
  <si>
    <t>NZGD49 / South Island Grid</t>
  </si>
  <si>
    <t>NGO 1948 (Oslo) / NGO zone I</t>
  </si>
  <si>
    <t>NGO 1948 (Oslo) / NGO zone II</t>
  </si>
  <si>
    <t>NGO 1948 (Oslo) / NGO zone III</t>
  </si>
  <si>
    <t>NGO 1948 (Oslo) / NGO zone IV</t>
  </si>
  <si>
    <t>NGO 1948 (Oslo) / NGO zone V</t>
  </si>
  <si>
    <t>NGO 1948 (Oslo) / NGO zone VI</t>
  </si>
  <si>
    <t>NGO 1948 (Oslo) / NGO zone VII</t>
  </si>
  <si>
    <t>NGO 1948 (Oslo) / NGO zone VIII</t>
  </si>
  <si>
    <t>Datum 73 / UTM zone 29N</t>
  </si>
  <si>
    <t>Datum 73 / Modified Portuguese Grid (deprecated)</t>
  </si>
  <si>
    <t>Datum 73 / Modified Portuguese Grid</t>
  </si>
  <si>
    <t>ATF (Paris) / Nord de Guerre</t>
  </si>
  <si>
    <t>NTF (Paris) / Lambert Nord France</t>
  </si>
  <si>
    <t>NTF (Paris) / Lambert Centre France</t>
  </si>
  <si>
    <t>NTF (Paris) / Lambert Sud France</t>
  </si>
  <si>
    <t>NTF (Paris) / Lambert Corse</t>
  </si>
  <si>
    <t>NTF (Paris) / Lambert zone I</t>
  </si>
  <si>
    <t>NTF (Paris) / Lambert zone II</t>
  </si>
  <si>
    <t>NTF (Paris) / Lambert zone III</t>
  </si>
  <si>
    <t>NTF (Paris) / Lambert zone IV</t>
  </si>
  <si>
    <t>NTF (Paris) / France I (deprecated)</t>
  </si>
  <si>
    <t>NTF (Paris) / France II (deprecated)</t>
  </si>
  <si>
    <t>NTF (Paris) / France III (deprecated)</t>
  </si>
  <si>
    <t>NTF (Paris) / France IV (deprecated)</t>
  </si>
  <si>
    <t>NTF (Paris) / Nord France (deprecated)</t>
  </si>
  <si>
    <t>NTF (Paris) / Centre France (deprecated)</t>
  </si>
  <si>
    <t>NTF (Paris) / Sud France (deprecated)</t>
  </si>
  <si>
    <t>NTF (Paris) / Corse (deprecated)</t>
  </si>
  <si>
    <t>OSGB 1936 / British National Grid</t>
  </si>
  <si>
    <t>Palestine 1923 / Palestine Grid</t>
  </si>
  <si>
    <t>Palestine 1923 / Palestine Belt</t>
  </si>
  <si>
    <t>Palestine 1923 / Israeli CS Grid</t>
  </si>
  <si>
    <t>Pointe Noire / UTM zone 32S</t>
  </si>
  <si>
    <t>GDA94 / MGA zone 48</t>
  </si>
  <si>
    <t>GDA94 / MGA zone 49</t>
  </si>
  <si>
    <t>GDA94 / MGA zone 50</t>
  </si>
  <si>
    <t>GDA94 / MGA zone 51</t>
  </si>
  <si>
    <t>GDA94 / MGA zone 52</t>
  </si>
  <si>
    <t>GDA94 / MGA zone 53</t>
  </si>
  <si>
    <t>GDA94 / MGA zone 54</t>
  </si>
  <si>
    <t>GDA94 / MGA zone 55</t>
  </si>
  <si>
    <t>GDA94 / MGA zone 56</t>
  </si>
  <si>
    <t>GDA94 / MGA zone 57</t>
  </si>
  <si>
    <t>GDA94 / MGA zone 58</t>
  </si>
  <si>
    <t>Pulkovo 1942 / Gauss-Kruger zone 2 (deprecated)</t>
  </si>
  <si>
    <t>Pulkovo 1942 / Gauss-Kruger zone 3 (deprecated)</t>
  </si>
  <si>
    <t>Pulkovo 1942 / Gauss-Kruger zone 4</t>
  </si>
  <si>
    <t>Pulkovo 1942 / Gauss-Kruger zone 5</t>
  </si>
  <si>
    <t>Pulkovo 1942 / Gauss-Kruger zone 6</t>
  </si>
  <si>
    <t>Pulkovo 1942 / Gauss-Kruger zone 7</t>
  </si>
  <si>
    <t>Pulkovo 1942 / Gauss-Kruger zone 8</t>
  </si>
  <si>
    <t>Pulkovo 1942 / Gauss-Kruger zone 9</t>
  </si>
  <si>
    <t>Pulkovo 1942 / Gauss-Kruger zone 10</t>
  </si>
  <si>
    <t>Pulkovo 1942 / Gauss-Kruger zone 11</t>
  </si>
  <si>
    <t>Pulkovo 1942 / Gauss-Kruger zone 12</t>
  </si>
  <si>
    <t>Pulkovo 1942 / Gauss-Kruger zone 13</t>
  </si>
  <si>
    <t>Pulkovo 1942 / Gauss-Kruger zone 14</t>
  </si>
  <si>
    <t>Pulkovo 1942 / Gauss-Kruger zone 15</t>
  </si>
  <si>
    <t>Pulkovo 1942 / Gauss-Kruger zone 16</t>
  </si>
  <si>
    <t>Pulkovo 1942 / Gauss-Kruger zone 17</t>
  </si>
  <si>
    <t>Pulkovo 1942 / Gauss-Kruger zone 18</t>
  </si>
  <si>
    <t>Pulkovo 1942 / Gauss-Kruger zone 19</t>
  </si>
  <si>
    <t>Pulkovo 1942 / Gauss-Kruger zone 20</t>
  </si>
  <si>
    <t>Pulkovo 1942 / Gauss-Kruger zone 21</t>
  </si>
  <si>
    <t>Pulkovo 1942 / Gauss-Kruger zone 22</t>
  </si>
  <si>
    <t>Pulkovo 1942 / Gauss-Kruger zone 23</t>
  </si>
  <si>
    <t>Pulkovo 1942 / Gauss-Kruger zone 24</t>
  </si>
  <si>
    <t>Pulkovo 1942 / Gauss-Kruger zone 25</t>
  </si>
  <si>
    <t>Pulkovo 1942 / Gauss-Kruger zone 26</t>
  </si>
  <si>
    <t>Pulkovo 1942 / Gauss-Kruger zone 27</t>
  </si>
  <si>
    <t>Pulkovo 1942 / Gauss-Kruger zone 28</t>
  </si>
  <si>
    <t>Pulkovo 1942 / Gauss-Kruger zone 29</t>
  </si>
  <si>
    <t>Pulkovo 1942 / Gauss-Kruger zone 30</t>
  </si>
  <si>
    <t>Pulkovo 1942 / Gauss-Kruger zone 31</t>
  </si>
  <si>
    <t>Pulkovo 1942 / Gauss-Kruger zone 32</t>
  </si>
  <si>
    <t>Pulkovo 1942 / Gauss-Kruger 2N (deprecated)</t>
  </si>
  <si>
    <t>Pulkovo 1942 / Gauss-Kruger 3N (deprecated)</t>
  </si>
  <si>
    <t>Pulkovo 1942 / Gauss-Kruger 4N (deprecated)</t>
  </si>
  <si>
    <t>Pulkovo 1942 / Gauss-Kruger 5N (deprecated)</t>
  </si>
  <si>
    <t>Pulkovo 1942 / Gauss-Kruger 6N (deprecated)</t>
  </si>
  <si>
    <t>Pulkovo 1942 / Gauss-Kruger 7N (deprecated)</t>
  </si>
  <si>
    <t>Pulkovo 1942 / Gauss-Kruger 8N (deprecated)</t>
  </si>
  <si>
    <t>Pulkovo 1942 / Gauss-Kruger 9N (deprecated)</t>
  </si>
  <si>
    <t>Pulkovo 1942 / Gauss-Kruger 10N (deprecated)</t>
  </si>
  <si>
    <t>Pulkovo 1942 / Gauss-Kruger 11N (deprecated)</t>
  </si>
  <si>
    <t>Pulkovo 1942 / Gauss-Kruger 12N (deprecated)</t>
  </si>
  <si>
    <t>Pulkovo 1942 / Gauss-Kruger 13N (deprecated)</t>
  </si>
  <si>
    <t>Pulkovo 1942 / Gauss-Kruger 14N (deprecated)</t>
  </si>
  <si>
    <t>Pulkovo 1942 / Gauss-Kruger 15N (deprecated)</t>
  </si>
  <si>
    <t>Pulkovo 1942 / Gauss-Kruger 16N (deprecated)</t>
  </si>
  <si>
    <t>Pulkovo 1942 / Gauss-Kruger 17N (deprecated)</t>
  </si>
  <si>
    <t>Pulkovo 1942 / Gauss-Kruger 18N (deprecated)</t>
  </si>
  <si>
    <t>Pulkovo 1942 / Gauss-Kruger 19N (deprecated)</t>
  </si>
  <si>
    <t>Pulkovo 1942 / Gauss-Kruger 20N (deprecated)</t>
  </si>
  <si>
    <t>Pulkovo 1942 / Gauss-Kruger 21N (deprecated)</t>
  </si>
  <si>
    <t>Pulkovo 1942 / Gauss-Kruger 22N (deprecated)</t>
  </si>
  <si>
    <t>Pulkovo 1942 / Gauss-Kruger 23N (deprecated)</t>
  </si>
  <si>
    <t>Pulkovo 1942 / Gauss-Kruger 24N (deprecated)</t>
  </si>
  <si>
    <t>Pulkovo 1942 / Gauss-Kruger 25N (deprecated)</t>
  </si>
  <si>
    <t>Pulkovo 1942 / Gauss-Kruger 26N (deprecated)</t>
  </si>
  <si>
    <t>Pulkovo 1942 / Gauss-Kruger 27N (deprecated)</t>
  </si>
  <si>
    <t>Pulkovo 1942 / Gauss-Kruger 28N (deprecated)</t>
  </si>
  <si>
    <t>Pulkovo 1942 / Gauss-Kruger 29N (deprecated)</t>
  </si>
  <si>
    <t>Pulkovo 1942 / Gauss-Kruger 30N (deprecated)</t>
  </si>
  <si>
    <t>Pulkovo 1942 / Gauss-Kruger 31N (deprecated)</t>
  </si>
  <si>
    <t>Pulkovo 1942 / Gauss-Kruger 32N (deprecated)</t>
  </si>
  <si>
    <t>Qatar 1974 / Qatar National Grid</t>
  </si>
  <si>
    <t>Amersfoort / RD Old</t>
  </si>
  <si>
    <t>Amersfoort / RD New</t>
  </si>
  <si>
    <t>SAD69 / Brazil Polyconic (deprecated)</t>
  </si>
  <si>
    <t>SAD69 / Brazil Polyconic</t>
  </si>
  <si>
    <t>SAD69 / UTM zone 18N (deprecated)</t>
  </si>
  <si>
    <t>SAD69 / UTM zone 19N (deprecated)</t>
  </si>
  <si>
    <t>SAD69 / UTM zone 20N (deprecated)</t>
  </si>
  <si>
    <t>SAD69 / UTM zone 21N (deprecated)</t>
  </si>
  <si>
    <t>SAD69 / UTM zone 22N (deprecated)</t>
  </si>
  <si>
    <t>SAD69 / UTM zone 18N</t>
  </si>
  <si>
    <t>SAD69 / UTM zone 19N</t>
  </si>
  <si>
    <t>SAD69 / UTM zone 20N</t>
  </si>
  <si>
    <t>SAD69 / UTM zone 21N</t>
  </si>
  <si>
    <t>SAD69 / UTM zone 22N</t>
  </si>
  <si>
    <t>SAD69 / UTM zone 17S (deprecated)</t>
  </si>
  <si>
    <t>SAD69 / UTM zone 18S (deprecated)</t>
  </si>
  <si>
    <t>SAD69 / UTM zone 19S (deprecated)</t>
  </si>
  <si>
    <t>SAD69 / UTM zone 20S (deprecated)</t>
  </si>
  <si>
    <t>SAD69 / UTM zone 21S (deprecated)</t>
  </si>
  <si>
    <t>SAD69 / UTM zone 22S (deprecated)</t>
  </si>
  <si>
    <t>SAD69 / UTM zone 23S (deprecated)</t>
  </si>
  <si>
    <t>SAD69 / UTM zone 24S (deprecated)</t>
  </si>
  <si>
    <t>SAD69 / UTM zone 25S (deprecated)</t>
  </si>
  <si>
    <t>SAD69 / UTM zone 17S</t>
  </si>
  <si>
    <t>SAD69 / UTM zone 18S</t>
  </si>
  <si>
    <t>SAD69 / UTM zone 19S</t>
  </si>
  <si>
    <t>SAD69 / UTM zone 20S</t>
  </si>
  <si>
    <t>SAD69 / UTM zone 21S</t>
  </si>
  <si>
    <t>SAD69 / UTM zone 22S</t>
  </si>
  <si>
    <t>SAD69 / UTM zone 23S</t>
  </si>
  <si>
    <t>SAD69 / UTM zone 24S</t>
  </si>
  <si>
    <t>SAD69 / UTM zone 25S</t>
  </si>
  <si>
    <t>Sapper Hill 1943 / UTM zone 20S</t>
  </si>
  <si>
    <t>Sapper Hill 1943 / UTM zone 21S</t>
  </si>
  <si>
    <t>Schwarzeck / UTM zone 33S</t>
  </si>
  <si>
    <t>Schwarzeck / Lo22/11</t>
  </si>
  <si>
    <t>Schwarzeck / Lo22/13</t>
  </si>
  <si>
    <t>Schwarzeck / Lo22/15</t>
  </si>
  <si>
    <t>Schwarzeck / Lo22/17</t>
  </si>
  <si>
    <t>Schwarzeck / Lo22/19</t>
  </si>
  <si>
    <t>Schwarzeck / Lo22/21</t>
  </si>
  <si>
    <t>Schwarzeck / Lo22/23</t>
  </si>
  <si>
    <t>Schwarzeck / Lo22/25</t>
  </si>
  <si>
    <t>Sudan / UTM zone 35N (deprecated)</t>
  </si>
  <si>
    <t>Sudan / UTM zone 36N (deprecated)</t>
  </si>
  <si>
    <t>Tananarive (Paris) / Laborde Grid (deprecated)</t>
  </si>
  <si>
    <t>Tananarive (Paris) / Laborde GridUnable to translate coordinate system EPSG:29701 into PROJ.4 format.</t>
  </si>
  <si>
    <t>Tananarive (Paris) / Laborde Grid approximation</t>
  </si>
  <si>
    <t>Tananarive / UTM zone 38S</t>
  </si>
  <si>
    <t>Tananarive / UTM zone 39S</t>
  </si>
  <si>
    <t>Timbalai 1948 / UTM zone 49N</t>
  </si>
  <si>
    <t>Timbalai 1948 / UTM zone 50N</t>
  </si>
  <si>
    <t>Timbalai 1948 / RSO Borneo (ch)</t>
  </si>
  <si>
    <t>Timbalai 1948 / RSO Borneo (ft)</t>
  </si>
  <si>
    <t>Timbalai 1948 / RSO Borneo (m)</t>
  </si>
  <si>
    <t>TM65 / Irish National Grid (deprecated)</t>
  </si>
  <si>
    <t>OSNI 1952 / Irish National Grid</t>
  </si>
  <si>
    <t>TM65 / Irish Grid</t>
  </si>
  <si>
    <t>TM75 / Irish Grid</t>
  </si>
  <si>
    <t>Tokyo / Japan Plane Rectangular CS I</t>
  </si>
  <si>
    <t>Tokyo / Japan Plane Rectangular CS II</t>
  </si>
  <si>
    <t>Tokyo / Japan Plane Rectangular CS III</t>
  </si>
  <si>
    <t>Tokyo / Japan Plane Rectangular CS IV</t>
  </si>
  <si>
    <t>Tokyo / Japan Plane Rectangular CS V</t>
  </si>
  <si>
    <t>Tokyo / Japan Plane Rectangular CS VI</t>
  </si>
  <si>
    <t>Tokyo / Japan Plane Rectangular CS VII</t>
  </si>
  <si>
    <t>Tokyo / Japan Plane Rectangular CS VIII</t>
  </si>
  <si>
    <t>Tokyo / Japan Plane Rectangular CS IX</t>
  </si>
  <si>
    <t>Tokyo / Japan Plane Rectangular CS X</t>
  </si>
  <si>
    <t>Tokyo / Japan Plane Rectangular CS XI</t>
  </si>
  <si>
    <t>Tokyo / Japan Plane Rectangular CS XII</t>
  </si>
  <si>
    <t>Tokyo / Japan Plane Rectangular CS XIII</t>
  </si>
  <si>
    <t>Tokyo / Japan Plane Rectangular CS XIV</t>
  </si>
  <si>
    <t>Tokyo / Japan Plane Rectangular CS XV</t>
  </si>
  <si>
    <t>Tokyo / Japan Plane Rectangular CS XVI</t>
  </si>
  <si>
    <t>Tokyo / Japan Plane Rectangular CS XVII</t>
  </si>
  <si>
    <t>Tokyo / Japan Plane Rectangular CS XVIII</t>
  </si>
  <si>
    <t>Tokyo / Japan Plane Rectangular CS XIX</t>
  </si>
  <si>
    <t>Trinidad 1903 / Trinidad Grid</t>
  </si>
  <si>
    <t>TC(1948) / UTM zone 39N</t>
  </si>
  <si>
    <t>TC(1948) / UTM zone 40N</t>
  </si>
  <si>
    <t>Voirol 1875 / Nord Algerie (ancienne)</t>
  </si>
  <si>
    <t>Voirol 1875 / Sud Algerie (ancienne)</t>
  </si>
  <si>
    <t>Voirol 1879 / Nord Algerie (ancienne)</t>
  </si>
  <si>
    <t>Voirol 1879 / Sud Algerie (ancienne)</t>
  </si>
  <si>
    <t>Nord Sahara 1959 / UTM zone 29N</t>
  </si>
  <si>
    <t>Nord Sahara 1959 / UTM zone 30N</t>
  </si>
  <si>
    <t>Nord Sahara 1959 / UTM zone 31N</t>
  </si>
  <si>
    <t>Nord Sahara 1959 / UTM zone 32N</t>
  </si>
  <si>
    <t>Nord Sahara 1959 / Nord Algerie</t>
  </si>
  <si>
    <t>Nord Sahara 1959 / Sud Algerie</t>
  </si>
  <si>
    <t>RT38 2.5 gon W (deprecated)</t>
  </si>
  <si>
    <t>Yoff / UTM zone 28N</t>
  </si>
  <si>
    <t>Zanderij / UTM zone 21N</t>
  </si>
  <si>
    <t>Zanderij / TM 54 NW</t>
  </si>
  <si>
    <t>Zanderij / Suriname Old TM</t>
  </si>
  <si>
    <t>Zanderij / Suriname TM</t>
  </si>
  <si>
    <t>MGI (Ferro) / Austria GK West Zone</t>
  </si>
  <si>
    <t>MGI (Ferro) / Austria GK Central Zone</t>
  </si>
  <si>
    <t>MGI (Ferro) / Austria GK East Zone</t>
  </si>
  <si>
    <t>MGI / Austria GK West</t>
  </si>
  <si>
    <t>MGI / Austria GK Central</t>
  </si>
  <si>
    <t>MGI / Austria GK East</t>
  </si>
  <si>
    <t>MGI / Austria GK M28</t>
  </si>
  <si>
    <t>MGI / Austria GK M31</t>
  </si>
  <si>
    <t>MGI / Austria GK M34</t>
  </si>
  <si>
    <t>MGI / 3-degree Gauss zone 5 (deprecated)</t>
  </si>
  <si>
    <t>MGI / 3-degree Gauss zone 6 (deprecated)</t>
  </si>
  <si>
    <t>MGI / 3-degree Gauss zone 7 (deprecated)</t>
  </si>
  <si>
    <t>MGI / 3-degree Gauss zone 8 (deprecated)</t>
  </si>
  <si>
    <t>MGI / Balkans zone 5 (deprecated)</t>
  </si>
  <si>
    <t>MGI / Balkans zone 6 (deprecated)</t>
  </si>
  <si>
    <t>MGI / Balkans zone 7 (deprecated)</t>
  </si>
  <si>
    <t>MGI / Balkans zone 8 (deprecated)</t>
  </si>
  <si>
    <t>MGI (Ferro) / Austria West Zone</t>
  </si>
  <si>
    <t>MGI (Ferro) / Austria Central Zone</t>
  </si>
  <si>
    <t>MGI (Ferro) / Austria East Zone</t>
  </si>
  <si>
    <t>MGI / Austria M28</t>
  </si>
  <si>
    <t>MGI / Austria M31</t>
  </si>
  <si>
    <t>MGI / Austria M34</t>
  </si>
  <si>
    <t>MGI / Austria Lambert</t>
  </si>
  <si>
    <t>MGI (Ferro) / M28</t>
  </si>
  <si>
    <t>MGI (Ferro) / M31</t>
  </si>
  <si>
    <t>MGI (Ferro) / M34</t>
  </si>
  <si>
    <t>MGI (Ferro) / Austria West Zone (deprecated)</t>
  </si>
  <si>
    <t>MGI (Ferro) / Austria Central Zone (deprecated)</t>
  </si>
  <si>
    <t>MGI (Ferro) / Austria East Zone (deprecated)</t>
  </si>
  <si>
    <t>MGI / M28 (deprecated)</t>
  </si>
  <si>
    <t>MGI / M31 (deprecated)</t>
  </si>
  <si>
    <t>MGI / M34 (deprecated)</t>
  </si>
  <si>
    <t>MGI / Austria Lambert (deprecated)</t>
  </si>
  <si>
    <t>Belge 1972 / Belge Lambert 72</t>
  </si>
  <si>
    <t>Belge 1972 / Belgian Lambert 72</t>
  </si>
  <si>
    <t>DHDN / 3-degree Gauss zone 1 (deprecated)</t>
  </si>
  <si>
    <t>DHDN / 3-degree Gauss zone 2 (deprecated)</t>
  </si>
  <si>
    <t>DHDN / 3-degree Gauss zone 3 (deprecated)</t>
  </si>
  <si>
    <t>DHDN / 3-degree Gauss zone 4 (deprecated)</t>
  </si>
  <si>
    <t>DHDN / 3-degree Gauss zone 5 (deprecated)</t>
  </si>
  <si>
    <t>DHDN / 3-degree Gauss-Kruger zone 2</t>
  </si>
  <si>
    <t>DHDN / 3-degree Gauss-Kruger zone 3</t>
  </si>
  <si>
    <t>DHDN / 3-degree Gauss-Kruger zone 4</t>
  </si>
  <si>
    <t>DHDN / 3-degree Gauss-Kruger zone 5</t>
  </si>
  <si>
    <t>Conakry 1905 / UTM zone 28N</t>
  </si>
  <si>
    <t>Conakry 1905 / UTM zone 29N</t>
  </si>
  <si>
    <t>Dealul Piscului 1930 / Stereo 33</t>
  </si>
  <si>
    <t>Dealul Piscului 1970/ Stereo 70 (deprecated)</t>
  </si>
  <si>
    <t>NGN / UTM zone 38N</t>
  </si>
  <si>
    <t>NGN / UTM zone 39N</t>
  </si>
  <si>
    <t>KUDAMS / KTM (deprecated)</t>
  </si>
  <si>
    <t>KUDAMS / KTM</t>
  </si>
  <si>
    <t>SIRGAS 2000 / UTM zone 11N</t>
  </si>
  <si>
    <t>SIRGAS 2000 / UTM zone 12N</t>
  </si>
  <si>
    <t>SIRGAS 2000 / UTM zone 13N</t>
  </si>
  <si>
    <t>SIRGAS 2000 / UTM zone 14N</t>
  </si>
  <si>
    <t>SIRGAS 2000 / UTM zone 15N</t>
  </si>
  <si>
    <t>SIRGAS 2000 / UTM zone 16N</t>
  </si>
  <si>
    <t>SIRGAS 2000 / UTM zone 17N</t>
  </si>
  <si>
    <t>SIRGAS 2000 / UTM zone 18N</t>
  </si>
  <si>
    <t>SIRGAS 2000 / UTM zone 19N</t>
  </si>
  <si>
    <t>SIRGAS 2000 / UTM zone 20N</t>
  </si>
  <si>
    <t>SIRGAS 2000 / UTM zone 21N</t>
  </si>
  <si>
    <t>SIRGAS 2000 / UTM zone 22N</t>
  </si>
  <si>
    <t>SIRGAS 2000 / UTM zone 17S</t>
  </si>
  <si>
    <t>SIRGAS 2000 / UTM zone 18S</t>
  </si>
  <si>
    <t>SIRGAS 2000 / UTM zone 19S</t>
  </si>
  <si>
    <t>SIRGAS 2000 / UTM zone 20S</t>
  </si>
  <si>
    <t>SIRGAS 2000 / UTM zone 21S</t>
  </si>
  <si>
    <t>SIRGAS 2000 / UTM zone 22S</t>
  </si>
  <si>
    <t>SIRGAS 2000 / UTM zone 23S</t>
  </si>
  <si>
    <t>SIRGAS 2000 / UTM zone 24S</t>
  </si>
  <si>
    <t>SIRGAS 2000 / UTM zone 25S</t>
  </si>
  <si>
    <t>SIRGAS 1995 / UTM zone 17N</t>
  </si>
  <si>
    <t>SIRGAS 1995 / UTM zone 18N</t>
  </si>
  <si>
    <t>SIRGAS 1995 / UTM zone 19N</t>
  </si>
  <si>
    <t>SIRGAS 1995 / UTM zone 20N</t>
  </si>
  <si>
    <t>SIRGAS 1995 / UTM zone 21N</t>
  </si>
  <si>
    <t>SIRGAS 1995 / UTM zone 22N</t>
  </si>
  <si>
    <t>SIRGAS 1995 / UTM zone 17S</t>
  </si>
  <si>
    <t>SIRGAS 1995 / UTM zone 18S</t>
  </si>
  <si>
    <t>SIRGAS 1995 / UTM zone 19S</t>
  </si>
  <si>
    <t>SIRGAS 1995 / UTM zone 20S</t>
  </si>
  <si>
    <t>SIRGAS 1995 / UTM zone 21S</t>
  </si>
  <si>
    <t>SIRGAS 1995 / UTM zone 22S</t>
  </si>
  <si>
    <t>SIRGAS 1995 / UTM zone 23S</t>
  </si>
  <si>
    <t>SIRGAS 1995 / UTM zone 24S</t>
  </si>
  <si>
    <t>SIRGAS 1995 / UTM zone 25S</t>
  </si>
  <si>
    <t>NAD27 / Montana North</t>
  </si>
  <si>
    <t>NAD27 / Montana Central</t>
  </si>
  <si>
    <t>NAD27 / Montana South</t>
  </si>
  <si>
    <t>NAD27 / Nebraska North</t>
  </si>
  <si>
    <t>NAD27 / Nebraska South</t>
  </si>
  <si>
    <t>NAD27 / Nevada East</t>
  </si>
  <si>
    <t>NAD27 / Nevada Central</t>
  </si>
  <si>
    <t>NAD27 / Nevada West</t>
  </si>
  <si>
    <t>NAD27 / New Hampshire</t>
  </si>
  <si>
    <t>NAD27 / New Jersey</t>
  </si>
  <si>
    <t>NAD27 / New Mexico East</t>
  </si>
  <si>
    <t>NAD27 / New Mexico Central</t>
  </si>
  <si>
    <t>NAD27 / New Mexico West</t>
  </si>
  <si>
    <t>NAD27 / New York East</t>
  </si>
  <si>
    <t>NAD27 / New York Central</t>
  </si>
  <si>
    <t>NAD27 / New York West</t>
  </si>
  <si>
    <t>NAD27 / New York Long Island (deprecated)</t>
  </si>
  <si>
    <t>NAD27 / North Carolina</t>
  </si>
  <si>
    <t>NAD27 / North Dakota North</t>
  </si>
  <si>
    <t>NAD27 / North Dakota South</t>
  </si>
  <si>
    <t>NAD27 / Ohio North</t>
  </si>
  <si>
    <t>NAD27 / Ohio South</t>
  </si>
  <si>
    <t>NAD27 / Oklahoma North</t>
  </si>
  <si>
    <t>NAD27 / Oklahoma South</t>
  </si>
  <si>
    <t>NAD27 / Oregon North</t>
  </si>
  <si>
    <t>NAD27 / Oregon South</t>
  </si>
  <si>
    <t>NAD27 / Pennsylvania North</t>
  </si>
  <si>
    <t>NAD27 / Pennsylvania South (deprecated)</t>
  </si>
  <si>
    <t>NAD27 / Rhode Island</t>
  </si>
  <si>
    <t>NAD27 / South Carolina North</t>
  </si>
  <si>
    <t>NAD27 / South Carolina South</t>
  </si>
  <si>
    <t>NAD27 / South Dakota North</t>
  </si>
  <si>
    <t>NAD27 / South Dakota South</t>
  </si>
  <si>
    <t>NAD27 / Tennessee (deprecated)</t>
  </si>
  <si>
    <t>NAD27 / Texas North</t>
  </si>
  <si>
    <t>NAD27 / Texas North Central</t>
  </si>
  <si>
    <t>NAD27 / Texas Central</t>
  </si>
  <si>
    <t>NAD27 / Texas South Central</t>
  </si>
  <si>
    <t>NAD27 / Texas South</t>
  </si>
  <si>
    <t>NAD27 / Utah North</t>
  </si>
  <si>
    <t>NAD27 / Utah Central</t>
  </si>
  <si>
    <t>NAD27 / Utah South</t>
  </si>
  <si>
    <t>NAD27 / Vermont</t>
  </si>
  <si>
    <t>NAD27 / Virginia North</t>
  </si>
  <si>
    <t>NAD27 / Virginia South</t>
  </si>
  <si>
    <t>NAD27 / Washington North</t>
  </si>
  <si>
    <t>NAD27 / Washington South</t>
  </si>
  <si>
    <t>NAD27 / West Virginia North</t>
  </si>
  <si>
    <t>NAD27 / West Virginia South</t>
  </si>
  <si>
    <t>NAD27 / Wisconsin North</t>
  </si>
  <si>
    <t>NAD27 / Wisconsin Central</t>
  </si>
  <si>
    <t>NAD27 / Wisconsin South</t>
  </si>
  <si>
    <t>NAD27 / Wyoming East</t>
  </si>
  <si>
    <t>NAD27 / Wyoming East Central</t>
  </si>
  <si>
    <t>NAD27 / Wyoming West Central</t>
  </si>
  <si>
    <t>NAD27 / Wyoming West</t>
  </si>
  <si>
    <t>NAD27 / Guatemala Norte (deprecated)</t>
  </si>
  <si>
    <t>NAD27 / Guatemala Sur (deprecated)</t>
  </si>
  <si>
    <t>NAD27 / BLM 14N (ftUS)</t>
  </si>
  <si>
    <t>NAD27 / BLM 15N (ftUS)</t>
  </si>
  <si>
    <t>NAD27 / BLM 16N (ftUS)</t>
  </si>
  <si>
    <t>NAD27 / BLM 17N (ftUS)</t>
  </si>
  <si>
    <t>NAD27 / BLM 14N (feet) (deprecated)</t>
  </si>
  <si>
    <t>NAD27 / BLM 15N (feet) (deprecated)</t>
  </si>
  <si>
    <t>NAD27 / BLM 16N (feet) (deprecated)</t>
  </si>
  <si>
    <t>NAD27 / BLM 17N (feet) (deprecated)</t>
  </si>
  <si>
    <t>NAD27 / MTM zone 1</t>
  </si>
  <si>
    <t>NAD27 / MTM zone 2</t>
  </si>
  <si>
    <t>NAD27 / MTM zone 3</t>
  </si>
  <si>
    <t>NAD27 / MTM zone 4</t>
  </si>
  <si>
    <t>NAD27 / MTM zone 5</t>
  </si>
  <si>
    <t>NAD27 / MTM zone 6</t>
  </si>
  <si>
    <t>NAD27 / Quebec Lambert</t>
  </si>
  <si>
    <t>NAD27 / Louisiana Offshore</t>
  </si>
  <si>
    <t>NAD83 / Montana</t>
  </si>
  <si>
    <t>NAD83 / Nebraska</t>
  </si>
  <si>
    <t>NAD83 / Nevada East</t>
  </si>
  <si>
    <t>NAD83 / Nevada Central</t>
  </si>
  <si>
    <t>NAD83 / Nevada West</t>
  </si>
  <si>
    <t>NAD83 / New Hampshire</t>
  </si>
  <si>
    <t>NAD83 / New Jersey</t>
  </si>
  <si>
    <t>NAD83 / New Mexico East</t>
  </si>
  <si>
    <t>NAD83 / New Mexico Central</t>
  </si>
  <si>
    <t>NAD83 / New Mexico West</t>
  </si>
  <si>
    <t>NAD83 / New York East</t>
  </si>
  <si>
    <t>NAD83 / New York Central</t>
  </si>
  <si>
    <t>NAD83 / New York West</t>
  </si>
  <si>
    <t>NAD83 / New York Long Island</t>
  </si>
  <si>
    <t>NAD83 / North Carolina</t>
  </si>
  <si>
    <t>NAD83 / North Dakota North</t>
  </si>
  <si>
    <t>NAD83 / North Dakota South</t>
  </si>
  <si>
    <t>NAD83 / Ohio North</t>
  </si>
  <si>
    <t>NAD83 / Ohio South</t>
  </si>
  <si>
    <t>NAD83 / Oklahoma North</t>
  </si>
  <si>
    <t>NAD83 / Oklahoma South</t>
  </si>
  <si>
    <t>NAD83 / Oregon North</t>
  </si>
  <si>
    <t>NAD83 / Oregon South</t>
  </si>
  <si>
    <t>NAD83 / Pennsylvania North</t>
  </si>
  <si>
    <t>NAD83 / Pennsylvania South</t>
  </si>
  <si>
    <t>NAD83 / Rhode Island</t>
  </si>
  <si>
    <t>NAD83 / South Carolina</t>
  </si>
  <si>
    <t>NAD83 / South Dakota North</t>
  </si>
  <si>
    <t>NAD83 / South Dakota South</t>
  </si>
  <si>
    <t>NAD83 / Tennessee</t>
  </si>
  <si>
    <t>NAD83 / Texas North</t>
  </si>
  <si>
    <t>NAD83 / Texas North Central</t>
  </si>
  <si>
    <t>NAD83 / Texas Central</t>
  </si>
  <si>
    <t>NAD83 / Texas South Central</t>
  </si>
  <si>
    <t>NAD83 / Texas South</t>
  </si>
  <si>
    <t>NAD83 / Utah North</t>
  </si>
  <si>
    <t>NAD83 / Utah Central</t>
  </si>
  <si>
    <t>NAD83 / Utah South</t>
  </si>
  <si>
    <t>NAD83 / Vermont</t>
  </si>
  <si>
    <t>NAD83 / Virginia North</t>
  </si>
  <si>
    <t>NAD83 / Virginia South</t>
  </si>
  <si>
    <t>NAD83 / Washington North</t>
  </si>
  <si>
    <t>NAD83 / Washington South</t>
  </si>
  <si>
    <t>NAD83 / West Virginia North</t>
  </si>
  <si>
    <t>NAD83 / West Virginia South</t>
  </si>
  <si>
    <t>NAD83 / Wisconsin North</t>
  </si>
  <si>
    <t>NAD83 / Wisconsin Central</t>
  </si>
  <si>
    <t>NAD83 / Wisconsin South</t>
  </si>
  <si>
    <t>NAD83 / Wyoming East</t>
  </si>
  <si>
    <t>NAD83 / Wyoming East Central</t>
  </si>
  <si>
    <t>NAD83 / Wyoming West Central</t>
  </si>
  <si>
    <t>NAD83 / Wyoming West</t>
  </si>
  <si>
    <t>NAD83 / Puerto Rico &amp; Virgin Is.</t>
  </si>
  <si>
    <t>NAD83 / BLM 14N (ftUS)</t>
  </si>
  <si>
    <t>NAD83 / BLM 15N (ftUS)</t>
  </si>
  <si>
    <t>NAD83 / BLM 16N (ftUS)</t>
  </si>
  <si>
    <t>NAD83 / BLM 17N (ftUS)</t>
  </si>
  <si>
    <t>NAD83 / SCoPQ zone 2 (deprecated)</t>
  </si>
  <si>
    <t>NAD83 / MTM zone 1</t>
  </si>
  <si>
    <t>NAD83 / MTM zone 2</t>
  </si>
  <si>
    <t>NAD83 / MTM zone 3</t>
  </si>
  <si>
    <t>NAD83 / MTM zone 4</t>
  </si>
  <si>
    <t>NAD83 / MTM zone 5</t>
  </si>
  <si>
    <t>NAD83 / MTM zone 6</t>
  </si>
  <si>
    <t>NAD83 / MTM zone 7</t>
  </si>
  <si>
    <t>NAD83 / MTM zone 8</t>
  </si>
  <si>
    <t>NAD83 / MTM zone 9</t>
  </si>
  <si>
    <t>NAD83 / MTM zone 10</t>
  </si>
  <si>
    <t>NAD83 / MTM zone 11</t>
  </si>
  <si>
    <t>NAD83 / MTM zone 12</t>
  </si>
  <si>
    <t>NAD83 / MTM zone 13</t>
  </si>
  <si>
    <t>NAD83 / MTM zone 14</t>
  </si>
  <si>
    <t>NAD83 / MTM zone 15</t>
  </si>
  <si>
    <t>NAD83 / MTM zone 16</t>
  </si>
  <si>
    <t>NAD83 / MTM zone 17</t>
  </si>
  <si>
    <t>NAD83 / Quebec Lambert</t>
  </si>
  <si>
    <t>NAD83 / Louisiana Offshore</t>
  </si>
  <si>
    <t>WGS 72 / UTM zone 1N</t>
  </si>
  <si>
    <t>WGS 72 / UTM zone 2N</t>
  </si>
  <si>
    <t>WGS 72 / UTM zone 3N</t>
  </si>
  <si>
    <t>WGS 72 / UTM zone 4N</t>
  </si>
  <si>
    <t>WGS 72 / UTM zone 5N</t>
  </si>
  <si>
    <t>WGS 72 / UTM zone 6N</t>
  </si>
  <si>
    <t>WGS 72 / UTM zone 7N</t>
  </si>
  <si>
    <t>WGS 72 / UTM zone 8N</t>
  </si>
  <si>
    <t>WGS 72 / UTM zone 9N</t>
  </si>
  <si>
    <t>WGS 72 / UTM zone 10N</t>
  </si>
  <si>
    <t>WGS 72 / UTM zone 11N</t>
  </si>
  <si>
    <t>WGS 72 / UTM zone 12N</t>
  </si>
  <si>
    <t>WGS 72 / UTM zone 13N</t>
  </si>
  <si>
    <t>WGS 72 / UTM zone 14N</t>
  </si>
  <si>
    <t>WGS 72 / UTM zone 15N</t>
  </si>
  <si>
    <t>WGS 72 / UTM zone 16N</t>
  </si>
  <si>
    <t>WGS 72 / UTM zone 17N</t>
  </si>
  <si>
    <t>WGS 72 / UTM zone 18N</t>
  </si>
  <si>
    <t>WGS 72 / UTM zone 19N</t>
  </si>
  <si>
    <t>WGS 72 / UTM zone 20N</t>
  </si>
  <si>
    <t>WGS 72 / UTM zone 21N</t>
  </si>
  <si>
    <t>WGS 72 / UTM zone 22N</t>
  </si>
  <si>
    <t>WGS 72 / UTM zone 23N</t>
  </si>
  <si>
    <t>WGS 72 / UTM zone 24N</t>
  </si>
  <si>
    <t>WGS 72 / UTM zone 25N</t>
  </si>
  <si>
    <t>WGS 72 / UTM zone 26N</t>
  </si>
  <si>
    <t>WGS 72 / UTM zone 27N</t>
  </si>
  <si>
    <t>WGS 72 / UTM zone 28N</t>
  </si>
  <si>
    <t>WGS 72 / UTM zone 29N</t>
  </si>
  <si>
    <t>WGS 72 / UTM zone 30N</t>
  </si>
  <si>
    <t>WGS 72 / UTM zone 31N</t>
  </si>
  <si>
    <t>WGS 72 / UTM zone 32N</t>
  </si>
  <si>
    <t>WGS 72 / UTM zone 33N</t>
  </si>
  <si>
    <t>WGS 72 / UTM zone 34N</t>
  </si>
  <si>
    <t>WGS 72 / UTM zone 35N</t>
  </si>
  <si>
    <t>WGS 72 / UTM zone 36N</t>
  </si>
  <si>
    <t>WGS 72 / UTM zone 37N</t>
  </si>
  <si>
    <t>WGS 72 / UTM zone 38N</t>
  </si>
  <si>
    <t>WGS 72 / UTM zone 39N</t>
  </si>
  <si>
    <t>WGS 72 / UTM zone 40N</t>
  </si>
  <si>
    <t>WGS 72 / UTM zone 41N</t>
  </si>
  <si>
    <t>WGS 72 / UTM zone 42N</t>
  </si>
  <si>
    <t>WGS 72 / UTM zone 43N</t>
  </si>
  <si>
    <t>WGS 72 / UTM zone 44N</t>
  </si>
  <si>
    <t>WGS 72 / UTM zone 45N</t>
  </si>
  <si>
    <t>WGS 72 / UTM zone 46N</t>
  </si>
  <si>
    <t>WGS 72 / UTM zone 47N</t>
  </si>
  <si>
    <t>WGS 72 / UTM zone 48N</t>
  </si>
  <si>
    <t>WGS 72 / UTM zone 49N</t>
  </si>
  <si>
    <t>WGS 72 / UTM zone 50N</t>
  </si>
  <si>
    <t>WGS 72 / UTM zone 51N</t>
  </si>
  <si>
    <t>WGS 72 / UTM zone 52N</t>
  </si>
  <si>
    <t>WGS 72 / UTM zone 53N</t>
  </si>
  <si>
    <t>WGS 72 / UTM zone 54N</t>
  </si>
  <si>
    <t>WGS 72 / UTM zone 55N</t>
  </si>
  <si>
    <t>WGS 72 / UTM zone 56N</t>
  </si>
  <si>
    <t>WGS 72 / UTM zone 57N</t>
  </si>
  <si>
    <t>WGS 72 / UTM zone 58N</t>
  </si>
  <si>
    <t>WGS 72 / UTM zone 59N</t>
  </si>
  <si>
    <t>WGS 72 / UTM zone 60N</t>
  </si>
  <si>
    <t>WGS 72 / UTM zone 1S</t>
  </si>
  <si>
    <t>WGS 72 / UTM zone 2S</t>
  </si>
  <si>
    <t>WGS 72 / UTM zone 3S</t>
  </si>
  <si>
    <t>WGS 72 / UTM zone 4S</t>
  </si>
  <si>
    <t>WGS 72 / UTM zone 5S</t>
  </si>
  <si>
    <t>WGS 72 / UTM zone 6S</t>
  </si>
  <si>
    <t>WGS 72 / UTM zone 7S</t>
  </si>
  <si>
    <t>WGS 72 / UTM zone 8S</t>
  </si>
  <si>
    <t>WGS 72 / UTM zone 9S</t>
  </si>
  <si>
    <t>WGS 72 / UTM zone 10S</t>
  </si>
  <si>
    <t>WGS 72 / UTM zone 11S</t>
  </si>
  <si>
    <t>WGS 72 / UTM zone 12S</t>
  </si>
  <si>
    <t>WGS 72 / UTM zone 13S</t>
  </si>
  <si>
    <t>WGS 72 / UTM zone 14S</t>
  </si>
  <si>
    <t>WGS 72 / UTM zone 15S</t>
  </si>
  <si>
    <t>WGS 72 / UTM zone 16S</t>
  </si>
  <si>
    <t>WGS 72 / UTM zone 17S</t>
  </si>
  <si>
    <t>WGS 72 / UTM zone 18S</t>
  </si>
  <si>
    <t>WGS 72 / UTM zone 19S</t>
  </si>
  <si>
    <t>WGS 72 / UTM zone 20S</t>
  </si>
  <si>
    <t>WGS 72 / UTM zone 21S</t>
  </si>
  <si>
    <t>WGS 72 / UTM zone 22S</t>
  </si>
  <si>
    <t>WGS 72 / UTM zone 23S</t>
  </si>
  <si>
    <t>WGS 72 / UTM zone 24S</t>
  </si>
  <si>
    <t>WGS 72 / UTM zone 25S</t>
  </si>
  <si>
    <t>WGS 72 / UTM zone 26S</t>
  </si>
  <si>
    <t>WGS 72 / UTM zone 27S</t>
  </si>
  <si>
    <t>WGS 72 / UTM zone 28S</t>
  </si>
  <si>
    <t>WGS 72 / UTM zone 29S</t>
  </si>
  <si>
    <t>WGS 72 / UTM zone 30S</t>
  </si>
  <si>
    <t>WGS 72 / UTM zone 31S</t>
  </si>
  <si>
    <t>WGS 72 / UTM zone 32S</t>
  </si>
  <si>
    <t>WGS 72 / UTM zone 33S</t>
  </si>
  <si>
    <t>WGS 72 / UTM zone 34S</t>
  </si>
  <si>
    <t>WGS 72 / UTM zone 35S</t>
  </si>
  <si>
    <t>WGS 72 / UTM zone 36S</t>
  </si>
  <si>
    <t>WGS 72 / UTM zone 37S</t>
  </si>
  <si>
    <t>WGS 72 / UTM zone 38S</t>
  </si>
  <si>
    <t>WGS 72 / UTM zone 39S</t>
  </si>
  <si>
    <t>WGS 72 / UTM zone 40S</t>
  </si>
  <si>
    <t>WGS 72 / UTM zone 41S</t>
  </si>
  <si>
    <t>WGS 72 / UTM zone 42S</t>
  </si>
  <si>
    <t>WGS 72 / UTM zone 43S</t>
  </si>
  <si>
    <t>WGS 72 / UTM zone 44S</t>
  </si>
  <si>
    <t>WGS 72 / UTM zone 45S</t>
  </si>
  <si>
    <t>WGS 72 / UTM zone 46S</t>
  </si>
  <si>
    <t>WGS 72 / UTM zone 47S</t>
  </si>
  <si>
    <t>WGS 72 / UTM zone 48S</t>
  </si>
  <si>
    <t>WGS 72 / UTM zone 49S</t>
  </si>
  <si>
    <t>WGS 72 / UTM zone 50S</t>
  </si>
  <si>
    <t>WGS 72 / UTM zone 51S</t>
  </si>
  <si>
    <t>WGS 72 / UTM zone 52S</t>
  </si>
  <si>
    <t>WGS 72 / UTM zone 53S</t>
  </si>
  <si>
    <t>WGS 72 / UTM zone 54S</t>
  </si>
  <si>
    <t>WGS 72 / UTM zone 55S</t>
  </si>
  <si>
    <t>WGS 72 / UTM zone 56S</t>
  </si>
  <si>
    <t>WGS 72 / UTM zone 57S</t>
  </si>
  <si>
    <t>WGS 72 / UTM zone 58S</t>
  </si>
  <si>
    <t>WGS 72 / UTM zone 59S</t>
  </si>
  <si>
    <t>WGS 72 / UTM zone 60S</t>
  </si>
  <si>
    <t>WGS 72BE / UTM zone 1N</t>
  </si>
  <si>
    <t>WGS 72BE / UTM zone 2N</t>
  </si>
  <si>
    <t>WGS 72BE / UTM zone 3N</t>
  </si>
  <si>
    <t>WGS 72BE / UTM zone 4N</t>
  </si>
  <si>
    <t>WGS 72BE / UTM zone 5N</t>
  </si>
  <si>
    <t>WGS 72BE / UTM zone 6N</t>
  </si>
  <si>
    <t>WGS 72BE / UTM zone 7N</t>
  </si>
  <si>
    <t>WGS 72BE / UTM zone 8N</t>
  </si>
  <si>
    <t>WGS 72BE / UTM zone 9N</t>
  </si>
  <si>
    <t>WGS 72BE / UTM zone 10N</t>
  </si>
  <si>
    <t>WGS 72BE / UTM zone 11N</t>
  </si>
  <si>
    <t>WGS 72BE / UTM zone 12N</t>
  </si>
  <si>
    <t>WGS 72BE / UTM zone 13N</t>
  </si>
  <si>
    <t>WGS 72BE / UTM zone 14N</t>
  </si>
  <si>
    <t>WGS 72BE / UTM zone 15N</t>
  </si>
  <si>
    <t>WGS 72BE / UTM zone 16N</t>
  </si>
  <si>
    <t>WGS 72BE / UTM zone 17N</t>
  </si>
  <si>
    <t>WGS 72BE / UTM zone 18N</t>
  </si>
  <si>
    <t>WGS 72BE / UTM zone 19N</t>
  </si>
  <si>
    <t>WGS 72BE / UTM zone 20N</t>
  </si>
  <si>
    <t>WGS 72BE / UTM zone 21N</t>
  </si>
  <si>
    <t>WGS 72BE / UTM zone 22N</t>
  </si>
  <si>
    <t>WGS 72BE / UTM zone 23N</t>
  </si>
  <si>
    <t>WGS 72BE / UTM zone 24N</t>
  </si>
  <si>
    <t>WGS 72BE / UTM zone 25N</t>
  </si>
  <si>
    <t>WGS 72BE / UTM zone 26N</t>
  </si>
  <si>
    <t>WGS 72BE / UTM zone 27N</t>
  </si>
  <si>
    <t>WGS 72BE / UTM zone 28N</t>
  </si>
  <si>
    <t>WGS 72BE / UTM zone 29N</t>
  </si>
  <si>
    <t>WGS 72BE / UTM zone 30N</t>
  </si>
  <si>
    <t>WGS 72BE / UTM zone 31N</t>
  </si>
  <si>
    <t>WGS 72BE / UTM zone 32N</t>
  </si>
  <si>
    <t>WGS 72BE / UTM zone 33N</t>
  </si>
  <si>
    <t>WGS 72BE / UTM zone 34N</t>
  </si>
  <si>
    <t>WGS 72BE / UTM zone 35N</t>
  </si>
  <si>
    <t>WGS 72BE / UTM zone 36N</t>
  </si>
  <si>
    <t>WGS 72BE / UTM zone 37N</t>
  </si>
  <si>
    <t>WGS 72BE / UTM zone 38N</t>
  </si>
  <si>
    <t>WGS 72BE / UTM zone 39N</t>
  </si>
  <si>
    <t>WGS 72BE / UTM zone 40N</t>
  </si>
  <si>
    <t>WGS 72BE / UTM zone 41N</t>
  </si>
  <si>
    <t>WGS 72BE / UTM zone 42N</t>
  </si>
  <si>
    <t>WGS 72BE / UTM zone 43N</t>
  </si>
  <si>
    <t>WGS 72BE / UTM zone 44N</t>
  </si>
  <si>
    <t>WGS 72BE / UTM zone 45N</t>
  </si>
  <si>
    <t>WGS 72BE / UTM zone 46N</t>
  </si>
  <si>
    <t>WGS 72BE / UTM zone 47N</t>
  </si>
  <si>
    <t>WGS 72BE / UTM zone 48N</t>
  </si>
  <si>
    <t>WGS 72BE / UTM zone 49N</t>
  </si>
  <si>
    <t>WGS 72BE / UTM zone 50N</t>
  </si>
  <si>
    <t>WGS 72BE / UTM zone 51N</t>
  </si>
  <si>
    <t>WGS 72BE / UTM zone 52N</t>
  </si>
  <si>
    <t>WGS 72BE / UTM zone 53N</t>
  </si>
  <si>
    <t>WGS 72BE / UTM zone 54N</t>
  </si>
  <si>
    <t>WGS 72BE / UTM zone 55N</t>
  </si>
  <si>
    <t>WGS 72BE / UTM zone 56N</t>
  </si>
  <si>
    <t>WGS 72BE / UTM zone 57N</t>
  </si>
  <si>
    <t>WGS 72BE / UTM zone 58N</t>
  </si>
  <si>
    <t>WGS 72BE / UTM zone 59N</t>
  </si>
  <si>
    <t>WGS 72BE / UTM zone 60N</t>
  </si>
  <si>
    <t>WGS 72BE / UTM zone 1S</t>
  </si>
  <si>
    <t>WGS 72BE / UTM zone 2S</t>
  </si>
  <si>
    <t>WGS 72BE / UTM zone 3S</t>
  </si>
  <si>
    <t>WGS 72BE / UTM zone 4S</t>
  </si>
  <si>
    <t>WGS 72BE / UTM zone 5S</t>
  </si>
  <si>
    <t>WGS 72BE / UTM zone 6S</t>
  </si>
  <si>
    <t>WGS 72BE / UTM zone 7S</t>
  </si>
  <si>
    <t>WGS 72BE / UTM zone 8S</t>
  </si>
  <si>
    <t>WGS 72BE / UTM zone 9S</t>
  </si>
  <si>
    <t>WGS 72BE / UTM zone 10S</t>
  </si>
  <si>
    <t>WGS 72BE / UTM zone 11S</t>
  </si>
  <si>
    <t>WGS 72BE / UTM zone 12S</t>
  </si>
  <si>
    <t>WGS 72BE / UTM zone 13S</t>
  </si>
  <si>
    <t>WGS 72BE / UTM zone 14S</t>
  </si>
  <si>
    <t>WGS 72BE / UTM zone 15S</t>
  </si>
  <si>
    <t>WGS 72BE / UTM zone 16S</t>
  </si>
  <si>
    <t>WGS 72BE / UTM zone 17S</t>
  </si>
  <si>
    <t>WGS 72BE / UTM zone 18S</t>
  </si>
  <si>
    <t>WGS 72BE / UTM zone 19S</t>
  </si>
  <si>
    <t>WGS 72BE / UTM zone 20S</t>
  </si>
  <si>
    <t>WGS 72BE / UTM zone 21S</t>
  </si>
  <si>
    <t>WGS 72BE / UTM zone 22S</t>
  </si>
  <si>
    <t>WGS 72BE / UTM zone 23S</t>
  </si>
  <si>
    <t>WGS 72BE / UTM zone 24S</t>
  </si>
  <si>
    <t>WGS 72BE / UTM zone 25S</t>
  </si>
  <si>
    <t>WGS 72BE / UTM zone 26S</t>
  </si>
  <si>
    <t>WGS 72BE / UTM zone 27S</t>
  </si>
  <si>
    <t>WGS 72BE / UTM zone 28S</t>
  </si>
  <si>
    <t>WGS 72BE / UTM zone 29S</t>
  </si>
  <si>
    <t>WGS 72BE / UTM zone 30S</t>
  </si>
  <si>
    <t>WGS 72BE / UTM zone 31S</t>
  </si>
  <si>
    <t>WGS 72BE / UTM zone 32S</t>
  </si>
  <si>
    <t>WGS 72BE / UTM zone 33S</t>
  </si>
  <si>
    <t>WGS 72BE / UTM zone 34S</t>
  </si>
  <si>
    <t>WGS 72BE / UTM zone 35S</t>
  </si>
  <si>
    <t>WGS 72BE / UTM zone 36S</t>
  </si>
  <si>
    <t>WGS 72BE / UTM zone 37S</t>
  </si>
  <si>
    <t>WGS 72BE / UTM zone 38S</t>
  </si>
  <si>
    <t>WGS 72BE / UTM zone 39S</t>
  </si>
  <si>
    <t>WGS 72BE / UTM zone 40S</t>
  </si>
  <si>
    <t>WGS 72BE / UTM zone 41S</t>
  </si>
  <si>
    <t>WGS 72BE / UTM zone 42S</t>
  </si>
  <si>
    <t>WGS 72BE / UTM zone 43S</t>
  </si>
  <si>
    <t>WGS 72BE / UTM zone 44S</t>
  </si>
  <si>
    <t>WGS 72BE / UTM zone 45S</t>
  </si>
  <si>
    <t>WGS 72BE / UTM zone 46S</t>
  </si>
  <si>
    <t>WGS 72BE / UTM zone 47S</t>
  </si>
  <si>
    <t>WGS 72BE / UTM zone 48S</t>
  </si>
  <si>
    <t>WGS 72BE / UTM zone 49S</t>
  </si>
  <si>
    <t>WGS 72BE / UTM zone 50S</t>
  </si>
  <si>
    <t>WGS 72BE / UTM zone 51S</t>
  </si>
  <si>
    <t>WGS 72BE / UTM zone 52S</t>
  </si>
  <si>
    <t>WGS 72BE / UTM zone 53S</t>
  </si>
  <si>
    <t>WGS 72BE / UTM zone 54S</t>
  </si>
  <si>
    <t>WGS 72BE / UTM zone 55S</t>
  </si>
  <si>
    <t>WGS 72BE / UTM zone 56S</t>
  </si>
  <si>
    <t>WGS 72BE / UTM zone 57S</t>
  </si>
  <si>
    <t>WGS 72BE / UTM zone 58S</t>
  </si>
  <si>
    <t>WGS 72BE / UTM zone 59S</t>
  </si>
  <si>
    <t>WGS 72BE / UTM zone 60S</t>
  </si>
  <si>
    <t>WGS 84 / UTM grid system (northern hemisphere)Unable to translate coordinate system EPSG:32600 into PROJ.4 format.</t>
  </si>
  <si>
    <t>WGS 84 / UTM zone 1N</t>
  </si>
  <si>
    <t>WGS 84 / UTM zone 2N</t>
  </si>
  <si>
    <t>WGS 84 / UTM zone 3N</t>
  </si>
  <si>
    <t>WGS 84 / UTM zone 4N</t>
  </si>
  <si>
    <t>WGS 84 / UTM zone 5N</t>
  </si>
  <si>
    <t>WGS 84 / UTM zone 6N</t>
  </si>
  <si>
    <t>WGS 84 / UTM zone 7N</t>
  </si>
  <si>
    <t>WGS 84 / UTM zone 8N</t>
  </si>
  <si>
    <t>WGS 84 / UTM zone 9N</t>
  </si>
  <si>
    <t>WGS 84 / UTM zone 10N</t>
  </si>
  <si>
    <t>WGS 84 / UTM zone 11N</t>
  </si>
  <si>
    <t>WGS 84 / UTM zone 12N</t>
  </si>
  <si>
    <t>WGS 84 / UTM zone 13N</t>
  </si>
  <si>
    <t>WGS 84 / UTM zone 14N</t>
  </si>
  <si>
    <t>WGS 84 / UTM zone 15N</t>
  </si>
  <si>
    <t>WGS 84 / UTM zone 16N</t>
  </si>
  <si>
    <t>WGS 84 / UTM zone 17N</t>
  </si>
  <si>
    <t>WGS 84 / UTM zone 18N</t>
  </si>
  <si>
    <t>WGS 84 / UTM zone 19N</t>
  </si>
  <si>
    <t>WGS 84 / UTM zone 20N</t>
  </si>
  <si>
    <t>WGS 84 / UTM zone 21N</t>
  </si>
  <si>
    <t>WGS 84 / UTM zone 22N</t>
  </si>
  <si>
    <t>WGS 84 / UTM zone 23N</t>
  </si>
  <si>
    <t>WGS 84 / UTM zone 24N</t>
  </si>
  <si>
    <t>WGS 84 / UTM zone 25N</t>
  </si>
  <si>
    <t>WGS 84 / UTM zone 26N</t>
  </si>
  <si>
    <t>WGS 84 / UTM zone 27N</t>
  </si>
  <si>
    <t>WGS 84 / UTM zone 28N</t>
  </si>
  <si>
    <t>WGS 84 / UTM zone 29N</t>
  </si>
  <si>
    <t>WGS 84 / UTM zone 30N</t>
  </si>
  <si>
    <t>WGS 84 / UTM zone 31N</t>
  </si>
  <si>
    <t>WGS 84 / UTM zone 32N</t>
  </si>
  <si>
    <t>WGS 84 / UTM zone 33N</t>
  </si>
  <si>
    <t>WGS 84 / UTM zone 34N</t>
  </si>
  <si>
    <t>WGS 84 / UTM zone 35N</t>
  </si>
  <si>
    <t>WGS 84 / UTM zone 36N</t>
  </si>
  <si>
    <t>WGS 84 / UTM zone 37N</t>
  </si>
  <si>
    <t>WGS 84 / UTM zone 38N</t>
  </si>
  <si>
    <t>WGS 84 / UTM zone 39N</t>
  </si>
  <si>
    <t>WGS 84 / UTM zone 40N</t>
  </si>
  <si>
    <t>WGS 84 / UTM zone 41N</t>
  </si>
  <si>
    <t>WGS 84 / UTM zone 42N</t>
  </si>
  <si>
    <t>WGS 84 / UTM zone 43N</t>
  </si>
  <si>
    <t>WGS 84 / UTM zone 44N</t>
  </si>
  <si>
    <t>WGS 84 / UTM zone 45N</t>
  </si>
  <si>
    <t>WGS 84 / UTM zone 46N</t>
  </si>
  <si>
    <t>WGS 84 / UTM zone 47N</t>
  </si>
  <si>
    <t>WGS 84 / UTM zone 48N</t>
  </si>
  <si>
    <t>WGS 84 / UTM zone 49N</t>
  </si>
  <si>
    <t>WGS 84 / UTM zone 50N</t>
  </si>
  <si>
    <t>WGS 84 / UTM zone 51N</t>
  </si>
  <si>
    <t>WGS 84 / UTM zone 52N</t>
  </si>
  <si>
    <t>WGS 84 / UTM zone 53N</t>
  </si>
  <si>
    <t>WGS 84 / UTM zone 54N</t>
  </si>
  <si>
    <t>WGS 84 / UTM zone 55N</t>
  </si>
  <si>
    <t>WGS 84 / UTM zone 56N</t>
  </si>
  <si>
    <t>WGS 84 / UTM zone 57N</t>
  </si>
  <si>
    <t>WGS 84 / UTM zone 58N</t>
  </si>
  <si>
    <t>WGS 84 / UTM zone 59N</t>
  </si>
  <si>
    <t>WGS 84 / UTM zone 60N</t>
  </si>
  <si>
    <t>WGS 84 / UPS North (N,E)</t>
  </si>
  <si>
    <t>WGS 84 / Plate Carree (deprecated)</t>
  </si>
  <si>
    <t>WGS 84 / World Equidistant Cylindrical (deprecated)</t>
  </si>
  <si>
    <t>WGS 84 / BLM 14N (ftUS)</t>
  </si>
  <si>
    <t>WGS 84 / BLM 15N (ftUS)</t>
  </si>
  <si>
    <t>WGS 84 / BLM 16N (ftUS)</t>
  </si>
  <si>
    <t>WGS 84 / BLM 17N (ftUS)</t>
  </si>
  <si>
    <t>WGS 84 / UTM grid system (southern hemisphere)Unable to translate coordinate system EPSG:32700 into PROJ.4 format.</t>
  </si>
  <si>
    <t>WGS 84 / UTM zone 1S</t>
  </si>
  <si>
    <t>WGS 84 / UTM zone 2S</t>
  </si>
  <si>
    <t>WGS 84 / UTM zone 3S</t>
  </si>
  <si>
    <t>WGS 84 / UTM zone 4S</t>
  </si>
  <si>
    <t>WGS 84 / UTM zone 5S</t>
  </si>
  <si>
    <t>WGS 84 / UTM zone 6S</t>
  </si>
  <si>
    <t>WGS 84 / UTM zone 7S</t>
  </si>
  <si>
    <t>WGS 84 / UTM zone 8S</t>
  </si>
  <si>
    <t>WGS 84 / UTM zone 9S</t>
  </si>
  <si>
    <t>WGS 84 / UTM zone 10S</t>
  </si>
  <si>
    <t>WGS 84 / UTM zone 11S</t>
  </si>
  <si>
    <t>WGS 84 / UTM zone 12S</t>
  </si>
  <si>
    <t>WGS 84 / UTM zone 13S</t>
  </si>
  <si>
    <t>WGS 84 / UTM zone 14S</t>
  </si>
  <si>
    <t>WGS 84 / UTM zone 15S</t>
  </si>
  <si>
    <t>WGS 84 / UTM zone 16S</t>
  </si>
  <si>
    <t>WGS 84 / UTM zone 17S</t>
  </si>
  <si>
    <t>WGS 84 / UTM zone 18S</t>
  </si>
  <si>
    <t>WGS 84 / UTM zone 19S</t>
  </si>
  <si>
    <t>WGS 84 / UTM zone 20S</t>
  </si>
  <si>
    <t>WGS 84 / UTM zone 21S</t>
  </si>
  <si>
    <t>WGS 84 / UTM zone 22S</t>
  </si>
  <si>
    <t>WGS 84 / UTM zone 23S</t>
  </si>
  <si>
    <t>WGS 84 / UTM zone 24S</t>
  </si>
  <si>
    <t>WGS 84 / UTM zone 25S</t>
  </si>
  <si>
    <t>WGS 84 / UTM zone 26S</t>
  </si>
  <si>
    <t>WGS 84 / UTM zone 27S</t>
  </si>
  <si>
    <t>WGS 84 / UTM zone 28S</t>
  </si>
  <si>
    <t>WGS 84 / UTM zone 29S</t>
  </si>
  <si>
    <t>WGS 84 / UTM zone 30S</t>
  </si>
  <si>
    <t>WGS 84 / UTM zone 31S</t>
  </si>
  <si>
    <t>WGS 84 / UTM zone 32S</t>
  </si>
  <si>
    <t>WGS 84 / UTM zone 33S</t>
  </si>
  <si>
    <t>WGS 84 / UTM zone 34S</t>
  </si>
  <si>
    <t>WGS 84 / UTM zone 35S</t>
  </si>
  <si>
    <t>WGS 84 / UTM zone 36S</t>
  </si>
  <si>
    <t>WGS 84 / UTM zone 37S</t>
  </si>
  <si>
    <t>WGS 84 / UTM zone 38S</t>
  </si>
  <si>
    <t>WGS 84 / UTM zone 39S</t>
  </si>
  <si>
    <t>WGS 84 / UTM zone 40S</t>
  </si>
  <si>
    <t>WGS 84 / UTM zone 41S</t>
  </si>
  <si>
    <t>WGS 84 / UTM zone 42S</t>
  </si>
  <si>
    <t>WGS 84 / UTM zone 43S</t>
  </si>
  <si>
    <t>WGS 84 / UTM zone 44S</t>
  </si>
  <si>
    <t>WGS 84 / UTM zone 45S</t>
  </si>
  <si>
    <t>WGS 84 / UTM zone 46S</t>
  </si>
  <si>
    <t>WGS 84 / UTM zone 47S</t>
  </si>
  <si>
    <t>WGS 84 / UTM zone 48S</t>
  </si>
  <si>
    <t>WGS 84 / UTM zone 49S</t>
  </si>
  <si>
    <t>WGS 84 / UTM zone 50S</t>
  </si>
  <si>
    <t>WGS 84 / UTM zone 51S</t>
  </si>
  <si>
    <t>WGS 84 / UTM zone 52S</t>
  </si>
  <si>
    <t>WGS 84 / UTM zone 53S</t>
  </si>
  <si>
    <t>WGS 84 / UTM zone 54S</t>
  </si>
  <si>
    <t>WGS 84 / UTM zone 55S</t>
  </si>
  <si>
    <t>WGS 84 / UTM zone 56S</t>
  </si>
  <si>
    <t>WGS 84 / UTM zone 57S</t>
  </si>
  <si>
    <t>WGS 84 / UTM zone 58S</t>
  </si>
  <si>
    <t>WGS 84 / UTM zone 59S</t>
  </si>
  <si>
    <t>WGS 84 / UTM zone 60S</t>
  </si>
  <si>
    <t>WGS 84 / UPS South (N,E)</t>
  </si>
  <si>
    <t>WGS 84 / TM 36 SE</t>
  </si>
  <si>
    <t>WGS 84 (geocentric)</t>
  </si>
  <si>
    <t>ITRF88 (geocentric)</t>
  </si>
  <si>
    <t>ITRF89 (geocentric)</t>
  </si>
  <si>
    <t>ITRF90 (geocentric)</t>
  </si>
  <si>
    <t>ITRF91 (geocentric)</t>
  </si>
  <si>
    <t>ITRF92 (geocentric)</t>
  </si>
  <si>
    <t>ITRF93 (geocentric)</t>
  </si>
  <si>
    <t>ITRF94 (geocentric)</t>
  </si>
  <si>
    <t>ITRF96 (geocentric)</t>
  </si>
  <si>
    <t>ITRF97 (geocentric)</t>
  </si>
  <si>
    <t>Australian Antarctic (geocentric)</t>
  </si>
  <si>
    <t>EST97 (geocentric)</t>
  </si>
  <si>
    <t>CHTRF95 (geocentric)</t>
  </si>
  <si>
    <t>ETRS89 (geocentric)</t>
  </si>
  <si>
    <t>GDA94 (geocentric)</t>
  </si>
  <si>
    <t>Hartebeesthoek94 (geocentric)</t>
  </si>
  <si>
    <t>IRENET95 (geocentric)</t>
  </si>
  <si>
    <t>JGD2000 (geocentric)</t>
  </si>
  <si>
    <t>LKS94 (ETRS89) (geocentric)</t>
  </si>
  <si>
    <t>Moznet (geocentric)</t>
  </si>
  <si>
    <t>NAD83(CSRS) (geocentric)</t>
  </si>
  <si>
    <t>NAD83(HARN) (geocentric)</t>
  </si>
  <si>
    <t>NZGD2000 (geocentric)</t>
  </si>
  <si>
    <t>POSGAR 98 (geocentric)</t>
  </si>
  <si>
    <t>REGVEN (geocentric)</t>
  </si>
  <si>
    <t>RGF93 (geocentric)</t>
  </si>
  <si>
    <t>RGFG95 (geocentric)</t>
  </si>
  <si>
    <t>RGR92 (geocentric)</t>
  </si>
  <si>
    <t>SIRGAS (geocentric)</t>
  </si>
  <si>
    <t>SWEREF99 (geocentric)</t>
  </si>
  <si>
    <t>Yemen NGN96 (geocentric)</t>
  </si>
  <si>
    <t>RGNC 1991 (geocentric)</t>
  </si>
  <si>
    <t>RRAF 1991 (geocentric)</t>
  </si>
  <si>
    <t>ITRF2000 (geocentric)</t>
  </si>
  <si>
    <t>ISN93 (geocentric)</t>
  </si>
  <si>
    <t>LKS92 (geocentric)</t>
  </si>
  <si>
    <t>ITRF2005</t>
  </si>
  <si>
    <t>ITRF88</t>
  </si>
  <si>
    <t>ITRF89</t>
  </si>
  <si>
    <t>ITRF90</t>
  </si>
  <si>
    <t>ITRF91</t>
  </si>
  <si>
    <t>ITRF92</t>
  </si>
  <si>
    <t>ITRF93</t>
  </si>
  <si>
    <t>ITRF94</t>
  </si>
  <si>
    <t>ITRF96</t>
  </si>
  <si>
    <t>ITRF97</t>
  </si>
  <si>
    <t>ITRF2000</t>
  </si>
  <si>
    <t>ITRF2008</t>
  </si>
  <si>
    <t>IGS08</t>
  </si>
  <si>
    <t>KKJ / Finland Uniform Coordinate System + N60 height</t>
  </si>
  <si>
    <t>ETRS89 / TM35FIN(N,E) + N60 height</t>
  </si>
  <si>
    <t>ETRS89 / TM35FIN(N,E) + N2000 height</t>
  </si>
  <si>
    <t>ETRS89 / DKTM1 + DVR90 height</t>
  </si>
  <si>
    <t>ETRS89 / DKTM2 + DVR90 height</t>
  </si>
  <si>
    <t>ETRS89 / DKTM3 + DVR90 height</t>
  </si>
  <si>
    <t>ETRS89 / DKTM4 + DVR90 height</t>
  </si>
  <si>
    <t>ETRS89 / Faroe TM + FVR09 height</t>
  </si>
  <si>
    <t>NAD83 + NAVD88 height</t>
  </si>
  <si>
    <t>NAD83(HARN) + NAVD88 height</t>
  </si>
  <si>
    <t>NAD83(NSRS2007) + NAVD88 height</t>
  </si>
  <si>
    <t>ETRS89 / UTM zone 31N + DHHN92 height</t>
  </si>
  <si>
    <t>ETRS89 / UTM zone 32N + DHHN92 height</t>
  </si>
  <si>
    <t>ETRS89 / UTM zone 33N + DHHN92 height</t>
  </si>
  <si>
    <t>FEH2010 / Fehmarnbelt TM + FCSVR10 height</t>
  </si>
  <si>
    <t>SWEREF99 + RH2000 height</t>
  </si>
  <si>
    <t>RGF93 / Lambert-93 + NGF-IGN69 height</t>
  </si>
  <si>
    <t>RGF93 / Lambert-93 + NGF-IGN78 height</t>
  </si>
  <si>
    <t>NTF (Paris) / Lambert zone I + NGF-IGN69 height</t>
  </si>
  <si>
    <t>NTF (Paris) / Lambert zone IV + NGF-IGN78 height</t>
  </si>
  <si>
    <t>DB_REF / 3-degree Gauss-Kruger zone 2 (E-N) + DHHN92 height</t>
  </si>
  <si>
    <t>DB_REF / 3-degree Gauss-Kruger zone 3 (E-N) + DHHN92 height</t>
  </si>
  <si>
    <t>DB_REF / 3-degree Gauss-Kruger zone 4 (E-N) + DHHN92 height</t>
  </si>
  <si>
    <t>DB_REF / 3-degree Gauss-Kruger zone 5 (E-N) + DHHN92 height</t>
  </si>
  <si>
    <t>SWEREF99 TM + RH2000 height</t>
  </si>
  <si>
    <t>SWEREF99 12 00 + RH2000 height</t>
  </si>
  <si>
    <t>SWEREF99 13 30 + RH2000 height</t>
  </si>
  <si>
    <t>SWEREF99 15 00 + RH2000 height</t>
  </si>
  <si>
    <t>SWEREF99 16 30 + RH2000 height</t>
  </si>
  <si>
    <t>SWEREF99 18 00 + RH2000 height</t>
  </si>
  <si>
    <t>SWEREF99 14 15 + RH2000 height</t>
  </si>
  <si>
    <t>SWEREF99 15 45 + RH2000 height</t>
  </si>
  <si>
    <t>SWEREF99 17 15 + RH2000 height</t>
  </si>
  <si>
    <t>SWEREF99 18 45 + RH2000 height</t>
  </si>
  <si>
    <t>SWEREF99 20 15 + RH2000 height</t>
  </si>
  <si>
    <t>SWEREF99 21 45 + RH2000 height</t>
  </si>
  <si>
    <t>SWEREF99 23 15 + RH2000 height</t>
  </si>
  <si>
    <t>ETRS89 + NN2000 height</t>
  </si>
  <si>
    <t>ETRS89 / NTM zone 5 + NN2000 height</t>
  </si>
  <si>
    <t>ETRS89 / NTM zone 6 + NN2000 height</t>
  </si>
  <si>
    <t>ETRS89 / NTM zone 7 + NN2000 height</t>
  </si>
  <si>
    <t>ETRS89 / NTM zone 8 + NN2000 height</t>
  </si>
  <si>
    <t>ETRS89 / NTM zone 9 + NN2000 height</t>
  </si>
  <si>
    <t>ETRS89 / NTM zone 10 + NN2000 height</t>
  </si>
  <si>
    <t>ETRS89 / NTM zone 11 + NN2000 height</t>
  </si>
  <si>
    <t>ETRS89 / NTM zone 12 + NN2000 height</t>
  </si>
  <si>
    <t>ETRS89 / NTM zone 13 + NN2000 height</t>
  </si>
  <si>
    <t>ETRS89 / NTM zone 14 + NN2000 height</t>
  </si>
  <si>
    <t>ETRS89 / NTM zone 15 + NN2000 height</t>
  </si>
  <si>
    <t>ETRS89 / NTM zone 16 + NN2000 height</t>
  </si>
  <si>
    <t>ETRS89 / NTM zone 17 + NN2000 height</t>
  </si>
  <si>
    <t>ETRS89 / NTM zone 18 + NN2000 height</t>
  </si>
  <si>
    <t>ETRS89 / NTM zone 19 + NN2000 height</t>
  </si>
  <si>
    <t>ETRS89 / NTM zone 20 + NN2000 height</t>
  </si>
  <si>
    <t>ETRS89 / NTM zone 21 + NN2000 height</t>
  </si>
  <si>
    <t>ETRS89 / NTM zone 22 + NN2000 height</t>
  </si>
  <si>
    <t>ETRS89 / NTM zone 23 + NN2000 height</t>
  </si>
  <si>
    <t>ETRS89 / NTM zone 24 + NN2000 height</t>
  </si>
  <si>
    <t>ETRS89 / NTM zone 25 + NN2000 height</t>
  </si>
  <si>
    <t>ETRS89 / NTM zone 26 + NN2000 height</t>
  </si>
  <si>
    <t>ETRS89 / NTM zone 27 + NN2000 height</t>
  </si>
  <si>
    <t>ETRS89 / NTM zone 28 + NN2000 height</t>
  </si>
  <si>
    <t>ETRS89 / NTM zone 29 + NN2000 height</t>
  </si>
  <si>
    <t>ETRS89 / NTM zone 30 + NN2000 height</t>
  </si>
  <si>
    <t>ETRS89 / UTM zone 31 + NN2000 height</t>
  </si>
  <si>
    <t>ETRS89 / UTM zone 32 + NN2000 height</t>
  </si>
  <si>
    <t>ETRS89 / UTM zone 33 + NN2000 height</t>
  </si>
  <si>
    <t>ETRS89 / UTM zone 34 + NN2000 height</t>
  </si>
  <si>
    <t>ETRS89 / UTM zone 35 + NN2000 height</t>
  </si>
  <si>
    <t>ETRS89 / UTM zone 36 + NN2000 height</t>
  </si>
  <si>
    <t>ETRS89 + NN54 height</t>
  </si>
  <si>
    <t>ETRS89 / NTM zone 5 + NN54 height</t>
  </si>
  <si>
    <t>ETRS89 / NTM zone 6 + NN54 height</t>
  </si>
  <si>
    <t>ETRS89 / NTM zone 7 + NN54 height</t>
  </si>
  <si>
    <t>ETRS89 / NTM zone 8 + NN54 height</t>
  </si>
  <si>
    <t>ETRS89 / NTM zone 9 + NN54 height</t>
  </si>
  <si>
    <t>ETRS89 / NTM zone 10 + NN54 height</t>
  </si>
  <si>
    <t>ETRS89 / NTM zone 11 + NN54 height</t>
  </si>
  <si>
    <t>ETRS89 / NTM zone 12 + NN54 height</t>
  </si>
  <si>
    <t>ETRS89 / NTM zone 13 + NN54 height</t>
  </si>
  <si>
    <t>ETRS89 / NTM zone 14 + NN54 height</t>
  </si>
  <si>
    <t>ETRS89 / NTM zone 15 + NN54 height</t>
  </si>
  <si>
    <t>ETRS89 / NTM zone 16 + NN54 height</t>
  </si>
  <si>
    <t>ETRS89 / NTM zone 17 + NN54 height</t>
  </si>
  <si>
    <t>ETRS89 / NTM zone 18 + NN54 height</t>
  </si>
  <si>
    <t>ETRS89 / NTM zone 19 + NN54 height</t>
  </si>
  <si>
    <t>ETRS89 / NTM zone 20 + NN54 height</t>
  </si>
  <si>
    <t>ETRS89 / NTM zone 21 + NN54 height</t>
  </si>
  <si>
    <t>ETRS89 / NTM zone 22 + NN54 height</t>
  </si>
  <si>
    <t>ETRS89 / NTM zone 23 + NN54 height</t>
  </si>
  <si>
    <t>ETRS89 / NTM zone 24 + NN54 height</t>
  </si>
  <si>
    <t>ETRS89 / NTM zone 25 + NN54 height</t>
  </si>
  <si>
    <t>ETRS89 / NTM zone 26 + NN54 height</t>
  </si>
  <si>
    <t>ETRS89 / NTM zone 27 + NN54 height</t>
  </si>
  <si>
    <t>ETRS89 / NTM zone 28 + NN54 height</t>
  </si>
  <si>
    <t>ETRS89 / NTM zone 29 + NN54 height</t>
  </si>
  <si>
    <t>ETRS89 / NTM zone 30 + NN54 height</t>
  </si>
  <si>
    <t>ETRS89 / UTM zone 31 + NN54 height</t>
  </si>
  <si>
    <t>ETRS89 / UTM zone 32 + NN54 height</t>
  </si>
  <si>
    <t>ETRS89 / UTM zone 33 + NN54 height</t>
  </si>
  <si>
    <t>ETRS89 / UTM zone 34 + NN54 height</t>
  </si>
  <si>
    <t>ETRS89 / UTM zone 35 + NN54 height</t>
  </si>
  <si>
    <t>ETRS89 / UTM zone 36 + NN54 height</t>
  </si>
  <si>
    <t>Belge 1972 / Belgian Lambert 72 + Ostend height</t>
  </si>
  <si>
    <t>NAD83(2011) + NAVD88 height</t>
  </si>
  <si>
    <t>NAD83(CSRS) + CGVD2013 height</t>
  </si>
  <si>
    <t>NAD83(CSRS) / UTM zone 7N + CGVD2013 height</t>
  </si>
  <si>
    <t>NAD83(CSRS) / UTM zone 8N + CGVD2013 height</t>
  </si>
  <si>
    <t>NAD83(CSRS) / UTM zone 9N + CGVD2013 height</t>
  </si>
  <si>
    <t>NAD83(CSRS) / UTM zone 10N + CGVD2013 height</t>
  </si>
  <si>
    <t>NAD83(CSRS) / UTM zone 11N + CGVD2013 height</t>
  </si>
  <si>
    <t>NAD83(CSRS) / UTM zone 12N + CGVD2013 height</t>
  </si>
  <si>
    <t>NAD83(CSRS) / UTM zone 13N + CGVD2013 height</t>
  </si>
  <si>
    <t>NAD83(CSRS) / UTM zone 14N + CGVD2013 height</t>
  </si>
  <si>
    <t>NAD83(CSRS) / UTM zone 15N + CGVD2013 height</t>
  </si>
  <si>
    <t>NAD83(CSRS) / UTM zone 16N + CGVD2013 height</t>
  </si>
  <si>
    <t>NAD83(CSRS) / UTM zone 17N + CGVD2013 height</t>
  </si>
  <si>
    <t>NAD83(CSRS) / UTM zone 18N + CGVD2013 height</t>
  </si>
  <si>
    <t>NAD83(CSRS) / UTM zone 19N + CGVD2013 height</t>
  </si>
  <si>
    <t>NAD83(CSRS) / UTM zone 20N + CGVD2013 height</t>
  </si>
  <si>
    <t>NAD83(CSRS) / UTM zone 21N + CGVD2013 height</t>
  </si>
  <si>
    <t>NAD83(CSRS) / UTM zone 22N + CGVD2013 height</t>
  </si>
  <si>
    <t>JGD2000 + JGD2000 (vertical) height</t>
  </si>
  <si>
    <t>JGD2011 + JGD2011 (vertical) height</t>
  </si>
  <si>
    <t>Tokyo + JSLD72 height</t>
  </si>
  <si>
    <t>WGS 84 / Pseudo-Mercator +  EGM2008 geoid height</t>
  </si>
  <si>
    <t>WGS 84 / World Mercator +  EGM2008 height</t>
  </si>
  <si>
    <t>SVY21 + SHD height</t>
  </si>
  <si>
    <t>SVY21 / Singapore TM + SHD height</t>
  </si>
  <si>
    <t>NTF (Paris) + NGF IGN69 height</t>
  </si>
  <si>
    <t>NTF (Paris) / France II + NGF Lallemand</t>
  </si>
  <si>
    <t>NTF (Paris) / France II + NGF IGN69</t>
  </si>
  <si>
    <t>NTF (Paris) / France III + NGF IGN69</t>
  </si>
  <si>
    <t>RT90 + RH70 height</t>
  </si>
  <si>
    <t>OSGB 1936 / British National Grid + ODN height</t>
  </si>
  <si>
    <t>NAD27 + NGVD29 height</t>
  </si>
  <si>
    <t>NAD27 / Texas North + NGVD29 height</t>
  </si>
  <si>
    <t>RD/NAP</t>
  </si>
  <si>
    <t>ETRS89 + EVRF2000 height</t>
  </si>
  <si>
    <t>PSHD93</t>
  </si>
  <si>
    <t>NTF (Paris) / Lambert zone II + NGF Lallemand height</t>
  </si>
  <si>
    <t>NTF (Paris) / Lambert zone II + NGF IGN69</t>
  </si>
  <si>
    <t>NTF (Paris) / Lambert zone III + NGF IGN69</t>
  </si>
  <si>
    <t>Tokyo + JSLD69 height</t>
  </si>
  <si>
    <t>Amersfoort / RD New + NAP height</t>
  </si>
  <si>
    <t>ETRS89 / UTM zone 32N + DVR90 height</t>
  </si>
  <si>
    <t>ETRS89 / UTM zone 33N + DVR90 height</t>
  </si>
  <si>
    <t>ETRS89 / Kp2000 Jutland + DVR90 height</t>
  </si>
  <si>
    <t>ETRS89 / Kp2000 Zealand + DVR90 height</t>
  </si>
  <si>
    <t>ETRS89 / Kp2000 Bornholm + DVR90 height</t>
  </si>
  <si>
    <t>NTF (Paris) / Lambert zone II + NGF-IGN69 height</t>
  </si>
  <si>
    <t>NTF (Paris) / Lambert zone III + NGF-IGN69 height</t>
  </si>
  <si>
    <t>ETRS89 + EVRF2007 height</t>
  </si>
  <si>
    <t>Search</t>
  </si>
  <si>
    <t>Options</t>
  </si>
  <si>
    <t>Offset</t>
  </si>
  <si>
    <r>
      <t xml:space="preserve">This bar is searchable: </t>
    </r>
    <r>
      <rPr>
        <sz val="10"/>
        <color theme="0" tint="-0.499984740745262"/>
        <rFont val="Wingdings"/>
        <charset val="2"/>
      </rPr>
      <t>ò</t>
    </r>
    <r>
      <rPr>
        <sz val="10"/>
        <color theme="0" tint="-0.499984740745262"/>
        <rFont val="Calibri"/>
        <family val="2"/>
        <scheme val="minor"/>
      </rPr>
      <t xml:space="preserve"> If unknown leave empty.</t>
    </r>
  </si>
  <si>
    <t>Seed_length</t>
  </si>
  <si>
    <t>Seed_width</t>
  </si>
  <si>
    <t>Inflorescence_length</t>
  </si>
  <si>
    <t>Inflorescence_width</t>
  </si>
  <si>
    <t>http://purl.obolibrary.org/obo/TO_0000149</t>
  </si>
  <si>
    <t>http://purl.obolibrary.org/obo/TO_0000271</t>
  </si>
  <si>
    <t>http://purl.obolibrary.org/obo/TO_0000804</t>
  </si>
  <si>
    <t>measurementDeterminedDate</t>
  </si>
  <si>
    <t>http://rs.tdwg.org/dwc/terms/measurementDeterminedDate</t>
  </si>
  <si>
    <t>genus</t>
  </si>
  <si>
    <t>http://rs.tdwg.org/dwc/terms/genus</t>
  </si>
  <si>
    <t>names</t>
  </si>
  <si>
    <t>basisOfRecord</t>
  </si>
  <si>
    <t>units</t>
  </si>
  <si>
    <t>Staminate_inflorescence_length</t>
  </si>
  <si>
    <t>Pistillate_inflorescence_length</t>
  </si>
  <si>
    <t>stateProvince</t>
  </si>
  <si>
    <t>http://rs.tdwg.org/dwc/terms/stateProvince</t>
  </si>
  <si>
    <t>bibliographicCitation</t>
  </si>
  <si>
    <t>metadata</t>
  </si>
  <si>
    <t>Name (dataset provider):</t>
  </si>
  <si>
    <t>Reference:</t>
  </si>
  <si>
    <t>scientificName</t>
  </si>
  <si>
    <t>http://rs.tdwg.org/dwc/terms/scientificName</t>
  </si>
  <si>
    <t>verbatimSRS:</t>
  </si>
  <si>
    <t>verbatimCoordinateSystem:</t>
  </si>
  <si>
    <t>verbatimSRS</t>
  </si>
  <si>
    <t>verbatimCoordinateSystem</t>
  </si>
  <si>
    <t>habitat</t>
  </si>
  <si>
    <t>http://rs.tdwg.org/dwc/terms/habitat</t>
  </si>
  <si>
    <t>Stem_width</t>
  </si>
  <si>
    <t>Petiole_thickness</t>
  </si>
  <si>
    <t>Peduncle_bract_length</t>
  </si>
  <si>
    <t>Apical_leaflet_angle</t>
  </si>
  <si>
    <t>Apical_leaflet_vein_count</t>
  </si>
  <si>
    <t>Basal_leaflet_angle</t>
  </si>
  <si>
    <t>Basal_leaflet_length</t>
  </si>
  <si>
    <t>Basal_leaflet_width</t>
  </si>
  <si>
    <t>Median_leaflet_length</t>
  </si>
  <si>
    <t>Median_leaflet_width</t>
  </si>
  <si>
    <t>Rachis_thickness</t>
  </si>
  <si>
    <t>Rachilla_count</t>
  </si>
  <si>
    <t>Rachilla_thickness</t>
  </si>
  <si>
    <t>Staminate_rachilla_count</t>
  </si>
  <si>
    <t>Pistillate_rachilla_length</t>
  </si>
  <si>
    <t>Pistillate_rachilla_count</t>
  </si>
  <si>
    <t>Basal_rachilla_length</t>
  </si>
  <si>
    <t>Basal_rachilla_thickness</t>
  </si>
  <si>
    <t>Apical_rachilla_length</t>
  </si>
  <si>
    <t>Apical_rachilla_thickness</t>
  </si>
  <si>
    <t>Median_rachilla_length</t>
  </si>
  <si>
    <t>Fruit_width</t>
  </si>
  <si>
    <t>Seed_count</t>
  </si>
  <si>
    <t>Stamen_count</t>
  </si>
  <si>
    <t>Inflorescence_branch_count</t>
  </si>
  <si>
    <t>Staminate_flower_length</t>
  </si>
  <si>
    <t>Shoot_axis_internode_length</t>
  </si>
  <si>
    <t>http://purl.obolibrary.org/obo/TO_0001035</t>
  </si>
  <si>
    <t>http://top-thesaurus.org/trait#TOP59</t>
  </si>
  <si>
    <t>http://purl.obolibrary.org/obo/TO_0001061</t>
  </si>
  <si>
    <t>http://purl.obolibrary.org/obo/TO_0000954</t>
  </si>
  <si>
    <t>http://purl.obolibrary.org/obo/TO_0002627</t>
  </si>
  <si>
    <t>http://purl.obolibrary.org/obo/TO_0000146</t>
  </si>
  <si>
    <t>http://purl.obolibrary.org/obo/TO_0000445</t>
  </si>
  <si>
    <t>http://purl.obolibrary.org/obo/TO_0000050</t>
  </si>
  <si>
    <t>http://purl.obolibrary.org/obo/TO_0000145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</si>
</sst>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1"/>
      <color theme="1"/>
      <name val="Wingdings"/>
      <charset val="2"/>
    </font>
    <font>
      <u/>
      <sz val="11"/>
      <color theme="10"/>
      <name val="Calibri"/>
      <family val="2"/>
      <scheme val="minor"/>
    </font>
    <font>
      <sz val="11"/>
      <name val="Calibri"/>
      <family val="2"/>
      <scheme val="minor"/>
    </font>
    <font>
      <sz val="11"/>
      <color theme="0"/>
      <name val="Calibri"/>
      <family val="2"/>
      <scheme val="minor"/>
    </font>
    <font>
      <sz val="8"/>
      <color rgb="FF000000"/>
      <name val="Segoe UI"/>
      <family val="2"/>
    </font>
    <font>
      <b/>
      <sz val="11"/>
      <name val="Calibri"/>
      <family val="2"/>
      <scheme val="minor"/>
    </font>
    <font>
      <sz val="10"/>
      <color theme="0" tint="-0.499984740745262"/>
      <name val="Calibri"/>
      <family val="2"/>
      <scheme val="minor"/>
    </font>
    <font>
      <sz val="10"/>
      <color theme="0" tint="-0.499984740745262"/>
      <name val="Wingdings"/>
      <charset val="2"/>
    </font>
    <font>
      <sz val="11"/>
      <color rgb="FF000000"/>
      <name val="Calibri"/>
      <family val="2"/>
    </font>
  </fonts>
  <fills count="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s>
  <borders count="46">
    <border>
      <left/>
      <right/>
      <top/>
      <bottom/>
      <diagonal/>
    </border>
    <border>
      <left/>
      <right/>
      <top style="medium">
        <color theme="4" tint="0.39997558519241921"/>
      </top>
      <bottom/>
      <diagonal/>
    </border>
    <border>
      <left/>
      <right style="medium">
        <color theme="4" tint="0.39997558519241921"/>
      </right>
      <top style="medium">
        <color theme="4" tint="0.39997558519241921"/>
      </top>
      <bottom/>
      <diagonal/>
    </border>
    <border>
      <left style="medium">
        <color theme="4" tint="0.39997558519241921"/>
      </left>
      <right/>
      <top/>
      <bottom/>
      <diagonal/>
    </border>
    <border>
      <left style="medium">
        <color theme="4" tint="0.39997558519241921"/>
      </left>
      <right/>
      <top/>
      <bottom style="medium">
        <color theme="4" tint="0.39997558519241921"/>
      </bottom>
      <diagonal/>
    </border>
    <border>
      <left style="medium">
        <color theme="4" tint="0.39997558519241921"/>
      </left>
      <right/>
      <top style="medium">
        <color theme="4" tint="0.39997558519241921"/>
      </top>
      <bottom style="medium">
        <color theme="4" tint="0.39997558519241921"/>
      </bottom>
      <diagonal/>
    </border>
    <border>
      <left/>
      <right style="medium">
        <color theme="9" tint="0.39997558519241921"/>
      </right>
      <top style="medium">
        <color theme="9" tint="0.39997558519241921"/>
      </top>
      <bottom/>
      <diagonal/>
    </border>
    <border>
      <left style="medium">
        <color theme="9" tint="0.39997558519241921"/>
      </left>
      <right/>
      <top/>
      <bottom/>
      <diagonal/>
    </border>
    <border>
      <left style="medium">
        <color theme="9" tint="0.39997558519241921"/>
      </left>
      <right/>
      <top/>
      <bottom style="medium">
        <color theme="9" tint="0.39997558519241921"/>
      </bottom>
      <diagonal/>
    </border>
    <border>
      <left style="medium">
        <color theme="9" tint="0.39997558519241921"/>
      </left>
      <right/>
      <top style="medium">
        <color theme="9" tint="0.39997558519241921"/>
      </top>
      <bottom style="medium">
        <color theme="9" tint="0.39997558519241921"/>
      </bottom>
      <diagonal/>
    </border>
    <border>
      <left/>
      <right style="medium">
        <color theme="7" tint="0.39997558519241921"/>
      </right>
      <top style="medium">
        <color theme="7" tint="0.39997558519241921"/>
      </top>
      <bottom/>
      <diagonal/>
    </border>
    <border>
      <left style="medium">
        <color theme="7" tint="0.39997558519241921"/>
      </left>
      <right/>
      <top/>
      <bottom/>
      <diagonal/>
    </border>
    <border>
      <left style="medium">
        <color theme="7" tint="0.39997558519241921"/>
      </left>
      <right/>
      <top/>
      <bottom style="medium">
        <color theme="7" tint="0.39997558519241921"/>
      </bottom>
      <diagonal/>
    </border>
    <border>
      <left style="medium">
        <color theme="7" tint="0.39997558519241921"/>
      </left>
      <right/>
      <top style="medium">
        <color theme="7" tint="0.39997558519241921"/>
      </top>
      <bottom style="medium">
        <color theme="7" tint="0.39997558519241921"/>
      </bottom>
      <diagonal/>
    </border>
    <border>
      <left style="medium">
        <color theme="4" tint="0.39997558519241921"/>
      </left>
      <right style="thin">
        <color theme="4" tint="0.39997558519241921"/>
      </right>
      <top style="medium">
        <color theme="4" tint="0.39997558519241921"/>
      </top>
      <bottom style="thin">
        <color theme="4" tint="0.39997558519241921"/>
      </bottom>
      <diagonal/>
    </border>
    <border>
      <left style="thin">
        <color theme="4" tint="0.39997558519241921"/>
      </left>
      <right style="medium">
        <color theme="4" tint="0.39997558519241921"/>
      </right>
      <top style="medium">
        <color theme="4" tint="0.39997558519241921"/>
      </top>
      <bottom style="thin">
        <color theme="4" tint="0.39997558519241921"/>
      </bottom>
      <diagonal/>
    </border>
    <border>
      <left style="medium">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medium">
        <color theme="4" tint="0.39997558519241921"/>
      </right>
      <top style="thin">
        <color theme="4" tint="0.39997558519241921"/>
      </top>
      <bottom style="thin">
        <color theme="4" tint="0.39997558519241921"/>
      </bottom>
      <diagonal/>
    </border>
    <border>
      <left style="medium">
        <color theme="4" tint="0.39997558519241921"/>
      </left>
      <right style="thin">
        <color theme="4" tint="0.39997558519241921"/>
      </right>
      <top style="thin">
        <color theme="4" tint="0.39997558519241921"/>
      </top>
      <bottom style="medium">
        <color theme="4" tint="0.39997558519241921"/>
      </bottom>
      <diagonal/>
    </border>
    <border>
      <left style="thin">
        <color theme="4" tint="0.39997558519241921"/>
      </left>
      <right style="medium">
        <color theme="4" tint="0.39997558519241921"/>
      </right>
      <top style="thin">
        <color theme="4" tint="0.39997558519241921"/>
      </top>
      <bottom style="medium">
        <color theme="4" tint="0.39997558519241921"/>
      </bottom>
      <diagonal/>
    </border>
    <border>
      <left style="medium">
        <color theme="9" tint="0.39997558519241921"/>
      </left>
      <right style="medium">
        <color theme="9" tint="0.39997558519241921"/>
      </right>
      <top style="medium">
        <color theme="9" tint="0.39997558519241921"/>
      </top>
      <bottom style="thin">
        <color theme="9" tint="0.39997558519241921"/>
      </bottom>
      <diagonal/>
    </border>
    <border>
      <left style="medium">
        <color theme="9" tint="0.39997558519241921"/>
      </left>
      <right style="medium">
        <color theme="9" tint="0.39997558519241921"/>
      </right>
      <top style="thin">
        <color theme="9" tint="0.39997558519241921"/>
      </top>
      <bottom style="thin">
        <color theme="9" tint="0.39997558519241921"/>
      </bottom>
      <diagonal/>
    </border>
    <border>
      <left style="medium">
        <color theme="9" tint="0.39997558519241921"/>
      </left>
      <right style="medium">
        <color theme="9" tint="0.39997558519241921"/>
      </right>
      <top style="thin">
        <color theme="9" tint="0.39997558519241921"/>
      </top>
      <bottom style="medium">
        <color theme="9" tint="0.39997558519241921"/>
      </bottom>
      <diagonal/>
    </border>
    <border>
      <left style="medium">
        <color theme="7" tint="0.39997558519241921"/>
      </left>
      <right style="medium">
        <color theme="7" tint="0.39997558519241921"/>
      </right>
      <top style="thin">
        <color theme="7" tint="0.39997558519241921"/>
      </top>
      <bottom style="thin">
        <color theme="7" tint="0.39997558519241921"/>
      </bottom>
      <diagonal/>
    </border>
    <border>
      <left style="medium">
        <color theme="7" tint="0.39997558519241921"/>
      </left>
      <right style="medium">
        <color theme="7" tint="0.39997558519241921"/>
      </right>
      <top style="thin">
        <color theme="7" tint="0.39997558519241921"/>
      </top>
      <bottom style="medium">
        <color theme="7" tint="0.39997558519241921"/>
      </bottom>
      <diagonal/>
    </border>
    <border>
      <left style="medium">
        <color indexed="64"/>
      </left>
      <right/>
      <top/>
      <bottom/>
      <diagonal/>
    </border>
    <border>
      <left style="medium">
        <color theme="5" tint="0.39997558519241921"/>
      </left>
      <right/>
      <top style="medium">
        <color theme="5" tint="0.39997558519241921"/>
      </top>
      <bottom style="medium">
        <color theme="5" tint="0.39997558519241921"/>
      </bottom>
      <diagonal/>
    </border>
    <border>
      <left/>
      <right style="medium">
        <color theme="5" tint="0.39997558519241921"/>
      </right>
      <top style="thin">
        <color theme="5" tint="0.39997558519241921"/>
      </top>
      <bottom style="thin">
        <color theme="5" tint="0.39997558519241921"/>
      </bottom>
      <diagonal/>
    </border>
    <border>
      <left style="medium">
        <color theme="5" tint="0.39997558519241921"/>
      </left>
      <right style="medium">
        <color theme="5" tint="0.39997558519241921"/>
      </right>
      <top/>
      <bottom/>
      <diagonal/>
    </border>
    <border>
      <left style="medium">
        <color theme="5" tint="0.39997558519241921"/>
      </left>
      <right style="medium">
        <color theme="5" tint="0.39997558519241921"/>
      </right>
      <top/>
      <bottom style="medium">
        <color theme="5" tint="0.39997558519241921"/>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theme="5" tint="0.39997558519241921"/>
      </right>
      <top/>
      <bottom style="medium">
        <color theme="5" tint="0.39997558519241921"/>
      </bottom>
      <diagonal/>
    </border>
    <border>
      <left style="medium">
        <color theme="5" tint="0.39997558519241921"/>
      </left>
      <right style="medium">
        <color theme="5" tint="0.39997558519241921"/>
      </right>
      <top style="thin">
        <color theme="5" tint="0.39997558519241921"/>
      </top>
      <bottom style="thin">
        <color theme="5" tint="0.39994506668294322"/>
      </bottom>
      <diagonal/>
    </border>
    <border>
      <left style="medium">
        <color theme="5" tint="0.39997558519241921"/>
      </left>
      <right style="medium">
        <color theme="5" tint="0.39997558519241921"/>
      </right>
      <top style="medium">
        <color theme="5" tint="0.39994506668294322"/>
      </top>
      <bottom style="thin">
        <color theme="5" tint="0.39997558519241921"/>
      </bottom>
      <diagonal/>
    </border>
    <border>
      <left/>
      <right style="medium">
        <color theme="5" tint="0.39997558519241921"/>
      </right>
      <top style="medium">
        <color theme="5" tint="0.39997558519241921"/>
      </top>
      <bottom/>
      <diagonal/>
    </border>
    <border>
      <left style="medium">
        <color theme="7" tint="0.39997558519241921"/>
      </left>
      <right style="medium">
        <color theme="7" tint="0.39997558519241921"/>
      </right>
      <top/>
      <bottom style="thin">
        <color theme="7" tint="0.39997558519241921"/>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style="medium">
        <color theme="7" tint="0.39994506668294322"/>
      </left>
      <right style="medium">
        <color theme="7" tint="0.39997558519241921"/>
      </right>
      <top style="medium">
        <color theme="7" tint="0.39997558519241921"/>
      </top>
      <bottom style="thin">
        <color theme="7" tint="0.39991454817346722"/>
      </bottom>
      <diagonal/>
    </border>
  </borders>
  <cellStyleXfs count="2">
    <xf numFmtId="0" fontId="0" fillId="0" borderId="0"/>
    <xf numFmtId="0" fontId="3" fillId="0" borderId="0" applyNumberFormat="0" applyFill="0" applyBorder="0" applyAlignment="0" applyProtection="0"/>
  </cellStyleXfs>
  <cellXfs count="83">
    <xf numFmtId="0" fontId="0" fillId="0" borderId="0" xfId="0"/>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4" fillId="2" borderId="3" xfId="1" applyFont="1" applyFill="1" applyBorder="1"/>
    <xf numFmtId="0" fontId="0" fillId="2" borderId="3" xfId="0" applyFill="1" applyBorder="1"/>
    <xf numFmtId="0" fontId="0" fillId="2" borderId="4" xfId="0" applyFill="1" applyBorder="1"/>
    <xf numFmtId="0" fontId="1" fillId="2" borderId="5" xfId="0" applyFont="1" applyFill="1" applyBorder="1" applyAlignment="1">
      <alignment horizontal="center"/>
    </xf>
    <xf numFmtId="0" fontId="1" fillId="0" borderId="6" xfId="0" applyFont="1" applyBorder="1" applyAlignment="1">
      <alignment horizontal="center"/>
    </xf>
    <xf numFmtId="0" fontId="4" fillId="3" borderId="7" xfId="1" applyFont="1" applyFill="1" applyBorder="1"/>
    <xf numFmtId="0" fontId="0" fillId="3" borderId="7" xfId="0" applyFill="1" applyBorder="1"/>
    <xf numFmtId="0" fontId="0" fillId="3" borderId="8" xfId="0" applyFill="1" applyBorder="1"/>
    <xf numFmtId="0" fontId="1" fillId="3" borderId="9" xfId="0" applyFont="1" applyFill="1" applyBorder="1" applyAlignment="1">
      <alignment horizontal="center"/>
    </xf>
    <xf numFmtId="0" fontId="1" fillId="0" borderId="10" xfId="0" applyFont="1" applyBorder="1" applyAlignment="1">
      <alignment horizontal="center"/>
    </xf>
    <xf numFmtId="0" fontId="4" fillId="4" borderId="11" xfId="1" applyFont="1" applyFill="1" applyBorder="1"/>
    <xf numFmtId="0" fontId="0" fillId="4" borderId="11" xfId="0" applyFill="1" applyBorder="1"/>
    <xf numFmtId="0" fontId="0" fillId="4" borderId="12" xfId="0" applyFill="1" applyBorder="1"/>
    <xf numFmtId="0" fontId="1" fillId="4" borderId="13" xfId="0" applyFont="1" applyFill="1" applyBorder="1" applyAlignment="1">
      <alignment horizontal="center"/>
    </xf>
    <xf numFmtId="0" fontId="5" fillId="0" borderId="0" xfId="0" applyFont="1" applyFill="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4" fillId="0" borderId="0" xfId="0" applyFont="1" applyFill="1"/>
    <xf numFmtId="0" fontId="0" fillId="0" borderId="27" xfId="0" applyBorder="1"/>
    <xf numFmtId="0" fontId="4" fillId="5" borderId="28" xfId="1" applyFont="1" applyFill="1" applyBorder="1"/>
    <xf numFmtId="0" fontId="0" fillId="5" borderId="28" xfId="0" applyFill="1" applyBorder="1"/>
    <xf numFmtId="0" fontId="0" fillId="5" borderId="29" xfId="0" applyFill="1" applyBorder="1"/>
    <xf numFmtId="0" fontId="1" fillId="5" borderId="26" xfId="0" applyFont="1" applyFill="1" applyBorder="1" applyAlignment="1">
      <alignment horizontal="center"/>
    </xf>
    <xf numFmtId="0" fontId="1" fillId="2" borderId="0" xfId="0" applyFont="1" applyFill="1"/>
    <xf numFmtId="0" fontId="0" fillId="2" borderId="0" xfId="0" applyFill="1"/>
    <xf numFmtId="0" fontId="1" fillId="4" borderId="0" xfId="0" applyFont="1" applyFill="1"/>
    <xf numFmtId="0" fontId="0" fillId="4" borderId="0" xfId="0" applyFill="1"/>
    <xf numFmtId="0" fontId="1" fillId="5" borderId="0" xfId="0" applyFont="1" applyFill="1"/>
    <xf numFmtId="0" fontId="0" fillId="5" borderId="0" xfId="0" applyFill="1"/>
    <xf numFmtId="0" fontId="1" fillId="3" borderId="0" xfId="0" applyFont="1" applyFill="1"/>
    <xf numFmtId="0" fontId="0" fillId="3" borderId="0" xfId="0" applyFill="1"/>
    <xf numFmtId="0" fontId="1" fillId="0" borderId="0" xfId="0" applyFont="1"/>
    <xf numFmtId="0" fontId="1" fillId="0" borderId="30" xfId="0" applyFont="1" applyBorder="1"/>
    <xf numFmtId="0" fontId="1" fillId="0" borderId="25" xfId="0" applyFont="1" applyBorder="1"/>
    <xf numFmtId="0" fontId="0" fillId="0" borderId="31" xfId="0" applyFont="1" applyFill="1" applyBorder="1"/>
    <xf numFmtId="0" fontId="8" fillId="0" borderId="35" xfId="0" applyFont="1" applyBorder="1" applyAlignment="1">
      <alignment horizontal="left"/>
    </xf>
    <xf numFmtId="0" fontId="0" fillId="0" borderId="0" xfId="0" applyFill="1"/>
    <xf numFmtId="0" fontId="0" fillId="0" borderId="36" xfId="0" applyBorder="1"/>
    <xf numFmtId="0" fontId="0" fillId="0" borderId="37" xfId="0" applyBorder="1"/>
    <xf numFmtId="0" fontId="1" fillId="0" borderId="39" xfId="0" applyFont="1" applyBorder="1" applyAlignment="1">
      <alignment horizontal="center"/>
    </xf>
    <xf numFmtId="0" fontId="0" fillId="0" borderId="38" xfId="0" applyBorder="1"/>
    <xf numFmtId="0" fontId="0" fillId="0" borderId="33" xfId="0" applyBorder="1" applyAlignment="1">
      <alignment horizontal="left"/>
    </xf>
    <xf numFmtId="14" fontId="0" fillId="0" borderId="34" xfId="0" applyNumberFormat="1" applyBorder="1" applyAlignment="1">
      <alignment horizontal="left"/>
    </xf>
    <xf numFmtId="0" fontId="0" fillId="0" borderId="34" xfId="0" applyBorder="1" applyAlignment="1">
      <alignment horizontal="left"/>
    </xf>
    <xf numFmtId="0" fontId="0" fillId="0" borderId="35" xfId="0" applyBorder="1" applyAlignment="1">
      <alignment horizontal="left"/>
    </xf>
    <xf numFmtId="0" fontId="0" fillId="0" borderId="0" xfId="0" applyFont="1" applyFill="1"/>
    <xf numFmtId="0" fontId="0" fillId="0" borderId="40" xfId="0" applyBorder="1"/>
    <xf numFmtId="0" fontId="0" fillId="0" borderId="0" xfId="0" applyAlignment="1">
      <alignment vertical="top" wrapText="1"/>
    </xf>
    <xf numFmtId="0" fontId="0" fillId="0" borderId="41" xfId="0" applyFill="1" applyBorder="1"/>
    <xf numFmtId="0" fontId="0" fillId="0" borderId="31" xfId="0" applyFill="1" applyBorder="1"/>
    <xf numFmtId="0" fontId="4" fillId="0" borderId="0" xfId="0" applyFont="1"/>
    <xf numFmtId="0" fontId="0" fillId="0" borderId="43" xfId="0" applyFill="1" applyBorder="1"/>
    <xf numFmtId="0" fontId="0" fillId="0" borderId="44" xfId="0" applyFill="1" applyBorder="1"/>
    <xf numFmtId="0" fontId="0" fillId="2" borderId="31" xfId="0" applyFill="1" applyBorder="1"/>
    <xf numFmtId="0" fontId="0" fillId="4" borderId="31" xfId="0" applyFill="1" applyBorder="1"/>
    <xf numFmtId="0" fontId="0" fillId="5" borderId="31" xfId="0" applyFill="1" applyBorder="1"/>
    <xf numFmtId="0" fontId="0" fillId="3" borderId="31" xfId="0" applyFill="1" applyBorder="1"/>
    <xf numFmtId="0" fontId="0" fillId="3" borderId="32" xfId="0" applyFill="1" applyBorder="1"/>
    <xf numFmtId="0" fontId="1" fillId="0" borderId="45" xfId="0" applyFont="1" applyBorder="1" applyAlignment="1">
      <alignment horizontal="left"/>
    </xf>
    <xf numFmtId="0" fontId="4" fillId="0" borderId="0" xfId="1" applyFont="1"/>
    <xf numFmtId="0" fontId="0" fillId="0" borderId="32" xfId="0" applyFill="1" applyBorder="1"/>
    <xf numFmtId="0" fontId="1" fillId="0" borderId="31" xfId="1" applyFont="1" applyBorder="1" applyAlignment="1">
      <alignment horizontal="left" vertical="center"/>
    </xf>
    <xf numFmtId="0" fontId="0" fillId="0" borderId="35" xfId="0" applyBorder="1" applyAlignment="1">
      <alignment horizontal="center"/>
    </xf>
    <xf numFmtId="0" fontId="0" fillId="0" borderId="31" xfId="0" applyBorder="1" applyAlignment="1">
      <alignment horizontal="center"/>
    </xf>
    <xf numFmtId="0" fontId="0" fillId="0" borderId="42" xfId="0" applyBorder="1" applyAlignment="1">
      <alignment horizontal="center"/>
    </xf>
    <xf numFmtId="0" fontId="7" fillId="0" borderId="31" xfId="1" applyFont="1" applyBorder="1" applyAlignment="1">
      <alignment horizontal="left" vertical="center"/>
    </xf>
    <xf numFmtId="0" fontId="7" fillId="0" borderId="32" xfId="1" applyFont="1" applyBorder="1" applyAlignment="1">
      <alignment horizontal="left" vertical="center"/>
    </xf>
    <xf numFmtId="0" fontId="0" fillId="0" borderId="32" xfId="0" applyBorder="1" applyAlignment="1">
      <alignment horizontal="center"/>
    </xf>
    <xf numFmtId="0" fontId="0" fillId="0" borderId="0" xfId="0" applyFill="1" applyBorder="1"/>
  </cellXfs>
  <cellStyles count="2">
    <cellStyle name="Hyperlink" xfId="1" builtinId="8"/>
    <cellStyle name="Normal" xfId="0" builtinId="0"/>
  </cellStyles>
  <dxfs count="3">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hyperlink" Target="http://rs.tdwg.org/dwc/terms/FossilSpecimen" TargetMode="External"/><Relationship Id="rId2" Type="http://schemas.openxmlformats.org/officeDocument/2006/relationships/hyperlink" Target="http://rs.tdwg.org/dwc/terms/PreservedSpecimen" TargetMode="External"/><Relationship Id="rId1" Type="http://schemas.openxmlformats.org/officeDocument/2006/relationships/hyperlink" Target="http://rs.tdwg.org/dwc/terms/LivingSpecimen" TargetMode="External"/></Relationships>
</file>

<file path=xl/drawings/drawing1.xml><?xml version="1.0" encoding="utf-8"?>
<xdr:wsDr xmlns:xdr="http://schemas.openxmlformats.org/drawingml/2006/spreadsheetDrawing" xmlns:a="http://schemas.openxmlformats.org/drawingml/2006/main">
  <xdr:twoCellAnchor>
    <xdr:from>
      <xdr:col>0</xdr:col>
      <xdr:colOff>603101</xdr:colOff>
      <xdr:row>16</xdr:row>
      <xdr:rowOff>108767</xdr:rowOff>
    </xdr:from>
    <xdr:to>
      <xdr:col>3</xdr:col>
      <xdr:colOff>0</xdr:colOff>
      <xdr:row>48</xdr:row>
      <xdr:rowOff>77318</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603101" y="3377747"/>
          <a:ext cx="4540399" cy="5851191"/>
          <a:chOff x="593575" y="2855777"/>
          <a:chExt cx="4997600" cy="6102419"/>
        </a:xfrm>
      </xdr:grpSpPr>
      <xdr:sp macro="" textlink="">
        <xdr:nvSpPr>
          <xdr:cNvPr id="2" name="Tekstvak 1">
            <a:extLst>
              <a:ext uri="{FF2B5EF4-FFF2-40B4-BE49-F238E27FC236}">
                <a16:creationId xmlns:a16="http://schemas.microsoft.com/office/drawing/2014/main" id="{00000000-0008-0000-0000-000002000000}"/>
              </a:ext>
            </a:extLst>
          </xdr:cNvPr>
          <xdr:cNvSpPr txBox="1"/>
        </xdr:nvSpPr>
        <xdr:spPr>
          <a:xfrm>
            <a:off x="593575" y="2855777"/>
            <a:ext cx="4997599" cy="192898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mn-lt"/>
              </a:rPr>
              <a:t>Fill</a:t>
            </a:r>
            <a:r>
              <a:rPr lang="en-GB" sz="1100" b="1" baseline="0">
                <a:latin typeface="+mn-lt"/>
              </a:rPr>
              <a:t> in form quantative traits</a:t>
            </a:r>
          </a:p>
          <a:p>
            <a:r>
              <a:rPr lang="en-GB" sz="1100" b="0" baseline="0">
                <a:latin typeface="+mn-lt"/>
              </a:rPr>
              <a:t>This form is used to standardize the terms present in your measurement dataset. Quantative trait names are as defined in the Plant Ontology (PO),  Occurrence and Taxon follow the Biodiversity Information Standards (TDWG).  Every standardized term can be clicked for a detailed description. </a:t>
            </a:r>
          </a:p>
          <a:p>
            <a:endParaRPr lang="en-GB" sz="1100" b="0" baseline="0">
              <a:latin typeface="+mn-lt"/>
            </a:endParaRPr>
          </a:p>
          <a:p>
            <a:r>
              <a:rPr lang="en-GB" sz="1100" b="0" baseline="0">
                <a:latin typeface="+mn-lt"/>
              </a:rPr>
              <a:t>If a term used in your dataset is also described by one of the standardized terms here, fill in the </a:t>
            </a:r>
            <a:r>
              <a:rPr lang="en-GB" sz="1100" b="1" baseline="0">
                <a:latin typeface="+mn-lt"/>
              </a:rPr>
              <a:t>exact </a:t>
            </a:r>
            <a:r>
              <a:rPr lang="en-GB" sz="1100" b="0" baseline="0">
                <a:latin typeface="+mn-lt"/>
              </a:rPr>
              <a:t>term as it is used in your database in the "Fill in </a:t>
            </a:r>
            <a:r>
              <a:rPr lang="en-GB" sz="1100" b="0" baseline="0">
                <a:latin typeface="Wingdings" panose="05000000000000000000" pitchFamily="2" charset="2"/>
              </a:rPr>
              <a:t>ò</a:t>
            </a:r>
            <a:r>
              <a:rPr lang="en-GB" sz="1100" b="0" baseline="0">
                <a:latin typeface="+mn-lt"/>
              </a:rPr>
              <a:t>" column. If a term from your dataset is not described here, fill in a descriptive name and the </a:t>
            </a:r>
            <a:r>
              <a:rPr lang="en-GB" sz="1100" b="1" baseline="0">
                <a:latin typeface="+mn-lt"/>
              </a:rPr>
              <a:t>exact </a:t>
            </a:r>
            <a:r>
              <a:rPr lang="en-GB" sz="1100" b="0" baseline="0">
                <a:latin typeface="+mn-lt"/>
              </a:rPr>
              <a:t>term at "..." of the corresponding category.</a:t>
            </a:r>
            <a:endParaRPr lang="en-GB" sz="1100" b="0">
              <a:latin typeface="+mn-lt"/>
            </a:endParaRPr>
          </a:p>
        </xdr:txBody>
      </xdr:sp>
      <xdr:sp macro="" textlink="">
        <xdr:nvSpPr>
          <xdr:cNvPr id="5" name="Tekstvak 4">
            <a:extLst>
              <a:ext uri="{FF2B5EF4-FFF2-40B4-BE49-F238E27FC236}">
                <a16:creationId xmlns:a16="http://schemas.microsoft.com/office/drawing/2014/main" id="{00000000-0008-0000-0000-000005000000}"/>
              </a:ext>
            </a:extLst>
          </xdr:cNvPr>
          <xdr:cNvSpPr txBox="1"/>
        </xdr:nvSpPr>
        <xdr:spPr>
          <a:xfrm>
            <a:off x="595615" y="4929357"/>
            <a:ext cx="4993519" cy="1223560"/>
          </a:xfrm>
          <a:prstGeom prst="rect">
            <a:avLst/>
          </a:prstGeom>
          <a:solidFill>
            <a:schemeClr val="accent1">
              <a:lumMod val="20000"/>
              <a:lumOff val="80000"/>
            </a:schemeClr>
          </a:solidFill>
          <a:ln w="12700"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mn-lt"/>
              </a:rPr>
              <a:t>Quantative</a:t>
            </a:r>
            <a:r>
              <a:rPr lang="en-GB" sz="1100" b="1" baseline="0">
                <a:latin typeface="+mn-lt"/>
              </a:rPr>
              <a:t> traits</a:t>
            </a:r>
          </a:p>
          <a:p>
            <a:r>
              <a:rPr lang="en-GB" sz="1100" b="0" baseline="0">
                <a:latin typeface="+mn-lt"/>
              </a:rPr>
              <a:t>Fill in all terms in your dataset that describe a </a:t>
            </a:r>
            <a:r>
              <a:rPr lang="en-GB" sz="1100" b="1" baseline="0">
                <a:latin typeface="+mn-lt"/>
              </a:rPr>
              <a:t>quantative </a:t>
            </a:r>
            <a:r>
              <a:rPr lang="en-GB" sz="1100" b="0" baseline="0">
                <a:latin typeface="+mn-lt"/>
              </a:rPr>
              <a:t>trait (so no qualitative traits). The first "Fill in </a:t>
            </a:r>
            <a:r>
              <a:rPr lang="en-GB" sz="1100" b="0" baseline="0">
                <a:latin typeface="Wingdings" panose="05000000000000000000" pitchFamily="2" charset="2"/>
              </a:rPr>
              <a:t>ò</a:t>
            </a:r>
            <a:r>
              <a:rPr lang="en-GB" sz="1100" b="0" baseline="0">
                <a:latin typeface="+mn-lt"/>
              </a:rPr>
              <a:t>" column should include the </a:t>
            </a:r>
            <a:r>
              <a:rPr lang="en-GB" sz="1100" b="1" baseline="0">
                <a:latin typeface="+mn-lt"/>
              </a:rPr>
              <a:t>exact </a:t>
            </a:r>
            <a:r>
              <a:rPr lang="en-GB" sz="1100" b="0" baseline="0">
                <a:latin typeface="+mn-lt"/>
              </a:rPr>
              <a:t>term used in your dataset. The second one should include the unit of measurement of the corresponding trait. Possible units are: mm, cm, m, </a:t>
            </a:r>
            <a:r>
              <a:rPr lang="en-NL" sz="1100" b="0" baseline="0">
                <a:latin typeface="+mn-lt"/>
              </a:rPr>
              <a:t>count</a:t>
            </a:r>
            <a:r>
              <a:rPr lang="en-GB" sz="1100" b="0" baseline="0">
                <a:latin typeface="+mn-lt"/>
              </a:rPr>
              <a:t>, </a:t>
            </a:r>
            <a:r>
              <a:rPr lang="en-NL" sz="1100" b="0" baseline="0">
                <a:latin typeface="+mn-lt"/>
              </a:rPr>
              <a:t>degrees</a:t>
            </a:r>
            <a:r>
              <a:rPr lang="en-GB" sz="1100" b="0" baseline="0">
                <a:latin typeface="+mn-lt"/>
              </a:rPr>
              <a:t>, etc. </a:t>
            </a:r>
          </a:p>
        </xdr:txBody>
      </xdr:sp>
      <xdr:sp macro="" textlink="">
        <xdr:nvSpPr>
          <xdr:cNvPr id="6" name="Tekstvak 5">
            <a:extLst>
              <a:ext uri="{FF2B5EF4-FFF2-40B4-BE49-F238E27FC236}">
                <a16:creationId xmlns:a16="http://schemas.microsoft.com/office/drawing/2014/main" id="{00000000-0008-0000-0000-000006000000}"/>
              </a:ext>
            </a:extLst>
          </xdr:cNvPr>
          <xdr:cNvSpPr txBox="1"/>
        </xdr:nvSpPr>
        <xdr:spPr>
          <a:xfrm>
            <a:off x="601737" y="8133704"/>
            <a:ext cx="4986749" cy="824492"/>
          </a:xfrm>
          <a:prstGeom prst="rect">
            <a:avLst/>
          </a:prstGeom>
          <a:solidFill>
            <a:schemeClr val="accent6">
              <a:lumMod val="20000"/>
              <a:lumOff val="80000"/>
            </a:schemeClr>
          </a:solidFill>
          <a:ln w="12700" cmpd="sng">
            <a:solidFill>
              <a:schemeClr val="accent6">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latin typeface="+mn-lt"/>
              </a:rPr>
              <a:t>Occurrence</a:t>
            </a:r>
          </a:p>
          <a:p>
            <a:r>
              <a:rPr lang="en-GB" sz="1100" b="0" baseline="0">
                <a:latin typeface="+mn-lt"/>
              </a:rPr>
              <a:t>Fill in all terms in your dataset that describe the </a:t>
            </a:r>
            <a:r>
              <a:rPr lang="en-GB" sz="1100" b="1" baseline="0">
                <a:latin typeface="+mn-lt"/>
              </a:rPr>
              <a:t>occurrence </a:t>
            </a:r>
            <a:r>
              <a:rPr lang="en-GB" sz="1100" b="0" baseline="0">
                <a:latin typeface="+mn-lt"/>
              </a:rPr>
              <a:t>of your measurement or specimen. </a:t>
            </a:r>
            <a:r>
              <a:rPr lang="en-GB" sz="1100" b="0" baseline="0">
                <a:solidFill>
                  <a:schemeClr val="dk1"/>
                </a:solidFill>
                <a:effectLst/>
                <a:latin typeface="+mn-lt"/>
                <a:ea typeface="+mn-ea"/>
                <a:cs typeface="+mn-cs"/>
              </a:rPr>
              <a:t>The "Fill in </a:t>
            </a:r>
            <a:r>
              <a:rPr lang="en-GB" sz="1100" b="0" baseline="0">
                <a:solidFill>
                  <a:schemeClr val="dk1"/>
                </a:solidFill>
                <a:effectLst/>
                <a:latin typeface="Wingdings" panose="05000000000000000000" pitchFamily="2" charset="2"/>
                <a:ea typeface="+mn-ea"/>
                <a:cs typeface="+mn-cs"/>
              </a:rPr>
              <a:t>ò</a:t>
            </a:r>
            <a:r>
              <a:rPr lang="en-GB" sz="1100" b="0" baseline="0">
                <a:solidFill>
                  <a:schemeClr val="dk1"/>
                </a:solidFill>
                <a:effectLst/>
                <a:latin typeface="+mn-lt"/>
                <a:ea typeface="+mn-ea"/>
                <a:cs typeface="+mn-cs"/>
              </a:rPr>
              <a:t>" column should include the </a:t>
            </a:r>
            <a:r>
              <a:rPr lang="en-GB" sz="1100" b="1" baseline="0">
                <a:solidFill>
                  <a:schemeClr val="dk1"/>
                </a:solidFill>
                <a:effectLst/>
                <a:latin typeface="+mn-lt"/>
                <a:ea typeface="+mn-ea"/>
                <a:cs typeface="+mn-cs"/>
              </a:rPr>
              <a:t>exact </a:t>
            </a:r>
            <a:r>
              <a:rPr lang="en-GB" sz="1100" b="0" baseline="0">
                <a:solidFill>
                  <a:schemeClr val="dk1"/>
                </a:solidFill>
                <a:effectLst/>
                <a:latin typeface="+mn-lt"/>
                <a:ea typeface="+mn-ea"/>
                <a:cs typeface="+mn-cs"/>
              </a:rPr>
              <a:t>term used in your dataset.</a:t>
            </a:r>
            <a:endParaRPr lang="en-GB" sz="1100" b="0" baseline="0">
              <a:latin typeface="+mn-lt"/>
            </a:endParaRPr>
          </a:p>
        </xdr:txBody>
      </xdr:sp>
      <xdr:sp macro="" textlink="">
        <xdr:nvSpPr>
          <xdr:cNvPr id="7" name="Tekstvak 6">
            <a:extLst>
              <a:ext uri="{FF2B5EF4-FFF2-40B4-BE49-F238E27FC236}">
                <a16:creationId xmlns:a16="http://schemas.microsoft.com/office/drawing/2014/main" id="{00000000-0008-0000-0000-000007000000}"/>
              </a:ext>
            </a:extLst>
          </xdr:cNvPr>
          <xdr:cNvSpPr txBox="1"/>
        </xdr:nvSpPr>
        <xdr:spPr>
          <a:xfrm>
            <a:off x="597655" y="6271600"/>
            <a:ext cx="4993519" cy="824492"/>
          </a:xfrm>
          <a:prstGeom prst="rect">
            <a:avLst/>
          </a:prstGeom>
          <a:solidFill>
            <a:schemeClr val="accent4">
              <a:lumMod val="20000"/>
              <a:lumOff val="80000"/>
            </a:schemeClr>
          </a:solidFill>
          <a:ln w="12700" cmpd="sng">
            <a:solidFill>
              <a:schemeClr val="accent4">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latin typeface="+mn-lt"/>
              </a:rPr>
              <a:t>Taxon</a:t>
            </a:r>
          </a:p>
          <a:p>
            <a:r>
              <a:rPr lang="en-GB" sz="1100" b="0" baseline="0">
                <a:latin typeface="+mn-lt"/>
              </a:rPr>
              <a:t>Fill in all terms in your dataset that describe the </a:t>
            </a:r>
            <a:r>
              <a:rPr lang="en-GB" sz="1100" b="1" baseline="0">
                <a:latin typeface="+mn-lt"/>
              </a:rPr>
              <a:t>Taxon </a:t>
            </a:r>
            <a:r>
              <a:rPr lang="en-GB" sz="1100" b="0" baseline="0">
                <a:latin typeface="+mn-lt"/>
              </a:rPr>
              <a:t>of the measured species. </a:t>
            </a:r>
            <a:r>
              <a:rPr lang="en-GB" sz="1100" b="0" baseline="0">
                <a:solidFill>
                  <a:schemeClr val="dk1"/>
                </a:solidFill>
                <a:effectLst/>
                <a:latin typeface="+mn-lt"/>
                <a:ea typeface="+mn-ea"/>
                <a:cs typeface="+mn-cs"/>
              </a:rPr>
              <a:t>The "Fill in </a:t>
            </a:r>
            <a:r>
              <a:rPr lang="en-GB" sz="1100" b="0" baseline="0">
                <a:solidFill>
                  <a:schemeClr val="dk1"/>
                </a:solidFill>
                <a:effectLst/>
                <a:latin typeface="Wingdings" panose="05000000000000000000" pitchFamily="2" charset="2"/>
                <a:ea typeface="+mn-ea"/>
                <a:cs typeface="+mn-cs"/>
              </a:rPr>
              <a:t>ò</a:t>
            </a:r>
            <a:r>
              <a:rPr lang="en-GB" sz="1100" b="0" baseline="0">
                <a:solidFill>
                  <a:schemeClr val="dk1"/>
                </a:solidFill>
                <a:effectLst/>
                <a:latin typeface="+mn-lt"/>
                <a:ea typeface="+mn-ea"/>
                <a:cs typeface="+mn-cs"/>
              </a:rPr>
              <a:t>" column should include the </a:t>
            </a:r>
            <a:r>
              <a:rPr lang="en-GB" sz="1100" b="1" baseline="0">
                <a:solidFill>
                  <a:schemeClr val="dk1"/>
                </a:solidFill>
                <a:effectLst/>
                <a:latin typeface="+mn-lt"/>
                <a:ea typeface="+mn-ea"/>
                <a:cs typeface="+mn-cs"/>
              </a:rPr>
              <a:t>exact </a:t>
            </a:r>
            <a:r>
              <a:rPr lang="en-GB" sz="1100" b="0" baseline="0">
                <a:solidFill>
                  <a:schemeClr val="dk1"/>
                </a:solidFill>
                <a:effectLst/>
                <a:latin typeface="+mn-lt"/>
                <a:ea typeface="+mn-ea"/>
                <a:cs typeface="+mn-cs"/>
              </a:rPr>
              <a:t>term used in your dataset.</a:t>
            </a:r>
            <a:endParaRPr lang="en-GB" sz="1100" b="0" baseline="0">
              <a:latin typeface="+mn-lt"/>
            </a:endParaRPr>
          </a:p>
        </xdr:txBody>
      </xdr:sp>
      <xdr:sp macro="" textlink="">
        <xdr:nvSpPr>
          <xdr:cNvPr id="9" name="Tekstvak 8">
            <a:extLst>
              <a:ext uri="{FF2B5EF4-FFF2-40B4-BE49-F238E27FC236}">
                <a16:creationId xmlns:a16="http://schemas.microsoft.com/office/drawing/2014/main" id="{00000000-0008-0000-0000-000009000000}"/>
              </a:ext>
            </a:extLst>
          </xdr:cNvPr>
          <xdr:cNvSpPr txBox="1"/>
        </xdr:nvSpPr>
        <xdr:spPr>
          <a:xfrm>
            <a:off x="599695" y="7202652"/>
            <a:ext cx="4991480" cy="824492"/>
          </a:xfrm>
          <a:prstGeom prst="rect">
            <a:avLst/>
          </a:prstGeom>
          <a:solidFill>
            <a:schemeClr val="accent2">
              <a:lumMod val="20000"/>
              <a:lumOff val="80000"/>
            </a:schemeClr>
          </a:solidFill>
          <a:ln w="12700" cmpd="sng">
            <a:solidFill>
              <a:schemeClr val="accent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latin typeface="+mn-lt"/>
              </a:rPr>
              <a:t>Measurement or Fact</a:t>
            </a:r>
          </a:p>
          <a:p>
            <a:r>
              <a:rPr lang="en-GB" sz="1100" b="0" baseline="0">
                <a:latin typeface="+mn-lt"/>
              </a:rPr>
              <a:t>Fill in all terms in your dataset that describe the </a:t>
            </a:r>
            <a:r>
              <a:rPr lang="en-GB" sz="1100" b="1" baseline="0">
                <a:latin typeface="+mn-lt"/>
              </a:rPr>
              <a:t>measurement or fact </a:t>
            </a:r>
            <a:r>
              <a:rPr lang="en-GB" sz="1100" b="0" baseline="0">
                <a:latin typeface="+mn-lt"/>
              </a:rPr>
              <a:t>of the measured species. </a:t>
            </a:r>
            <a:r>
              <a:rPr lang="en-GB" sz="1100" b="0" baseline="0">
                <a:solidFill>
                  <a:schemeClr val="dk1"/>
                </a:solidFill>
                <a:effectLst/>
                <a:latin typeface="+mn-lt"/>
                <a:ea typeface="+mn-ea"/>
                <a:cs typeface="+mn-cs"/>
              </a:rPr>
              <a:t>The "Fill in </a:t>
            </a:r>
            <a:r>
              <a:rPr lang="en-GB" sz="1100" b="0" baseline="0">
                <a:solidFill>
                  <a:schemeClr val="dk1"/>
                </a:solidFill>
                <a:effectLst/>
                <a:latin typeface="Wingdings" panose="05000000000000000000" pitchFamily="2" charset="2"/>
                <a:ea typeface="+mn-ea"/>
                <a:cs typeface="+mn-cs"/>
              </a:rPr>
              <a:t>ò</a:t>
            </a:r>
            <a:r>
              <a:rPr lang="en-GB" sz="1100" b="0" baseline="0">
                <a:solidFill>
                  <a:schemeClr val="dk1"/>
                </a:solidFill>
                <a:effectLst/>
                <a:latin typeface="+mn-lt"/>
                <a:ea typeface="+mn-ea"/>
                <a:cs typeface="+mn-cs"/>
              </a:rPr>
              <a:t>" column should include the </a:t>
            </a:r>
            <a:r>
              <a:rPr lang="en-GB" sz="1100" b="1" baseline="0">
                <a:solidFill>
                  <a:schemeClr val="dk1"/>
                </a:solidFill>
                <a:effectLst/>
                <a:latin typeface="+mn-lt"/>
                <a:ea typeface="+mn-ea"/>
                <a:cs typeface="+mn-cs"/>
              </a:rPr>
              <a:t>exact </a:t>
            </a:r>
            <a:r>
              <a:rPr lang="en-GB" sz="1100" b="0" baseline="0">
                <a:solidFill>
                  <a:schemeClr val="dk1"/>
                </a:solidFill>
                <a:effectLst/>
                <a:latin typeface="+mn-lt"/>
                <a:ea typeface="+mn-ea"/>
                <a:cs typeface="+mn-cs"/>
              </a:rPr>
              <a:t>term used in your dataset.</a:t>
            </a:r>
            <a:endParaRPr lang="en-GB" sz="1100" b="0" baseline="0">
              <a:latin typeface="+mn-lt"/>
            </a:endParaRPr>
          </a:p>
        </xdr:txBody>
      </xdr:sp>
    </xdr:grpSp>
    <xdr:clientData/>
  </xdr:twoCellAnchor>
  <xdr:twoCellAnchor>
    <xdr:from>
      <xdr:col>1</xdr:col>
      <xdr:colOff>1490798</xdr:colOff>
      <xdr:row>10</xdr:row>
      <xdr:rowOff>146902</xdr:rowOff>
    </xdr:from>
    <xdr:to>
      <xdr:col>2</xdr:col>
      <xdr:colOff>1180480</xdr:colOff>
      <xdr:row>15</xdr:row>
      <xdr:rowOff>38101</xdr:rowOff>
    </xdr:to>
    <xdr:grpSp>
      <xdr:nvGrpSpPr>
        <xdr:cNvPr id="12" name="Groep 11">
          <a:extLst>
            <a:ext uri="{FF2B5EF4-FFF2-40B4-BE49-F238E27FC236}">
              <a16:creationId xmlns:a16="http://schemas.microsoft.com/office/drawing/2014/main" id="{00000000-0008-0000-0000-00000C000000}"/>
            </a:ext>
          </a:extLst>
        </xdr:cNvPr>
        <xdr:cNvGrpSpPr/>
      </xdr:nvGrpSpPr>
      <xdr:grpSpPr>
        <a:xfrm>
          <a:off x="2100398" y="2303362"/>
          <a:ext cx="1449902" cy="813219"/>
          <a:chOff x="9482018" y="1310642"/>
          <a:chExt cx="1140262" cy="929641"/>
        </a:xfrm>
      </xdr:grpSpPr>
      <mc:AlternateContent xmlns:mc="http://schemas.openxmlformats.org/markup-compatibility/2006">
        <mc:Choice xmlns:a14="http://schemas.microsoft.com/office/drawing/2010/main" Requires="a14">
          <xdr:grpSp>
            <xdr:nvGrpSpPr>
              <xdr:cNvPr id="10" name="Groep 9">
                <a:extLst>
                  <a:ext uri="{FF2B5EF4-FFF2-40B4-BE49-F238E27FC236}">
                    <a16:creationId xmlns:a16="http://schemas.microsoft.com/office/drawing/2014/main" id="{00000000-0008-0000-0000-00000A000000}"/>
                  </a:ext>
                </a:extLst>
              </xdr:cNvPr>
              <xdr:cNvGrpSpPr/>
            </xdr:nvGrpSpPr>
            <xdr:grpSpPr>
              <a:xfrm>
                <a:off x="9715500" y="1310642"/>
                <a:ext cx="906780" cy="929641"/>
                <a:chOff x="9715500" y="1310642"/>
                <a:chExt cx="906780" cy="929641"/>
              </a:xfrm>
            </xdr:grpSpPr>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9715500" y="1310642"/>
                  <a:ext cx="906780" cy="4114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NL" sz="800" b="0" i="0" u="none" strike="noStrike" baseline="0">
                      <a:solidFill>
                        <a:srgbClr val="000000"/>
                      </a:solidFill>
                      <a:latin typeface="Segoe UI"/>
                      <a:cs typeface="Segoe UI"/>
                    </a:rPr>
                    <a:t>LivingSpecimen</a:t>
                  </a:r>
                </a:p>
              </xdr:txBody>
            </xdr:sp>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9715500" y="1828802"/>
                  <a:ext cx="906780" cy="41148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NL" sz="800" b="0" i="0" u="none" strike="noStrike" baseline="0">
                      <a:solidFill>
                        <a:srgbClr val="000000"/>
                      </a:solidFill>
                      <a:latin typeface="Segoe UI"/>
                      <a:cs typeface="Segoe UI"/>
                    </a:rPr>
                    <a:t>FossilSpecimen</a:t>
                  </a:r>
                </a:p>
              </xdr:txBody>
            </xdr:sp>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9715500" y="1569723"/>
                  <a:ext cx="906780" cy="4114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NL" sz="800" b="0" i="0" u="none" strike="noStrike" baseline="0">
                      <a:solidFill>
                        <a:srgbClr val="000000"/>
                      </a:solidFill>
                      <a:latin typeface="Segoe UI"/>
                      <a:cs typeface="Segoe UI"/>
                    </a:rPr>
                    <a:t>PreservedSpecimen</a:t>
                  </a:r>
                </a:p>
              </xdr:txBody>
            </xdr:sp>
          </xdr:grpSp>
        </mc:Choice>
        <mc:Fallback/>
      </mc:AlternateContent>
      <xdr:sp macro="" textlink="">
        <xdr:nvSpPr>
          <xdr:cNvPr id="11" name="Tekstvak 10">
            <a:hlinkClick xmlns:r="http://schemas.openxmlformats.org/officeDocument/2006/relationships" r:id="rId1"/>
            <a:extLst>
              <a:ext uri="{FF2B5EF4-FFF2-40B4-BE49-F238E27FC236}">
                <a16:creationId xmlns:a16="http://schemas.microsoft.com/office/drawing/2014/main" id="{00000000-0008-0000-0000-00000B000000}"/>
              </a:ext>
            </a:extLst>
          </xdr:cNvPr>
          <xdr:cNvSpPr txBox="1"/>
        </xdr:nvSpPr>
        <xdr:spPr>
          <a:xfrm>
            <a:off x="9482018" y="1391220"/>
            <a:ext cx="198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t>
            </a:r>
          </a:p>
        </xdr:txBody>
      </xdr:sp>
      <xdr:sp macro="" textlink="">
        <xdr:nvSpPr>
          <xdr:cNvPr id="21" name="Tekstvak 20">
            <a:hlinkClick xmlns:r="http://schemas.openxmlformats.org/officeDocument/2006/relationships" r:id="rId2"/>
            <a:extLst>
              <a:ext uri="{FF2B5EF4-FFF2-40B4-BE49-F238E27FC236}">
                <a16:creationId xmlns:a16="http://schemas.microsoft.com/office/drawing/2014/main" id="{00000000-0008-0000-0000-000015000000}"/>
              </a:ext>
            </a:extLst>
          </xdr:cNvPr>
          <xdr:cNvSpPr txBox="1"/>
        </xdr:nvSpPr>
        <xdr:spPr>
          <a:xfrm>
            <a:off x="9482018" y="1650302"/>
            <a:ext cx="198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t>
            </a:r>
          </a:p>
        </xdr:txBody>
      </xdr:sp>
      <xdr:sp macro="" textlink="">
        <xdr:nvSpPr>
          <xdr:cNvPr id="22" name="Tekstvak 21">
            <a:hlinkClick xmlns:r="http://schemas.openxmlformats.org/officeDocument/2006/relationships" r:id="rId3"/>
            <a:extLst>
              <a:ext uri="{FF2B5EF4-FFF2-40B4-BE49-F238E27FC236}">
                <a16:creationId xmlns:a16="http://schemas.microsoft.com/office/drawing/2014/main" id="{00000000-0008-0000-0000-000016000000}"/>
              </a:ext>
            </a:extLst>
          </xdr:cNvPr>
          <xdr:cNvSpPr txBox="1"/>
        </xdr:nvSpPr>
        <xdr:spPr>
          <a:xfrm>
            <a:off x="9482018" y="1909383"/>
            <a:ext cx="198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t>
            </a:r>
          </a:p>
        </xdr:txBody>
      </xdr:sp>
    </xdr:grpSp>
    <xdr:clientData/>
  </xdr:twoCellAnchor>
  <mc:AlternateContent xmlns:mc="http://schemas.openxmlformats.org/markup-compatibility/2006">
    <mc:Choice xmlns:a14="http://schemas.microsoft.com/office/drawing/2010/main" Requires="a14">
      <xdr:twoCellAnchor>
        <xdr:from>
          <xdr:col>2</xdr:col>
          <xdr:colOff>36195</xdr:colOff>
          <xdr:row>4</xdr:row>
          <xdr:rowOff>123825</xdr:rowOff>
        </xdr:from>
        <xdr:to>
          <xdr:col>2</xdr:col>
          <xdr:colOff>1884045</xdr:colOff>
          <xdr:row>9</xdr:row>
          <xdr:rowOff>38100</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2406015" y="1183005"/>
              <a:ext cx="1847850" cy="828675"/>
              <a:chOff x="1390650" y="3933823"/>
              <a:chExt cx="1847850" cy="857249"/>
            </a:xfrm>
          </xdr:grpSpPr>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1390650" y="3933823"/>
                <a:ext cx="1847850" cy="4286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NL" sz="1100" b="0" i="0" u="none" strike="noStrike" baseline="0">
                    <a:solidFill>
                      <a:srgbClr val="000000"/>
                    </a:solidFill>
                    <a:latin typeface="Calibri"/>
                    <a:cs typeface="Calibri"/>
                  </a:rPr>
                  <a:t>Decimal degrees</a:t>
                </a:r>
              </a:p>
            </xdr:txBody>
          </xdr:sp>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1390650" y="4148137"/>
                <a:ext cx="1847850" cy="4286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NL" sz="1100" b="0" i="0" u="none" strike="noStrike" baseline="0">
                    <a:solidFill>
                      <a:srgbClr val="000000"/>
                    </a:solidFill>
                    <a:latin typeface="Calibri"/>
                    <a:cs typeface="Calibri"/>
                  </a:rPr>
                  <a:t>Degrees-minutes-seconds</a:t>
                </a:r>
              </a:p>
            </xdr:txBody>
          </xdr:sp>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1390650" y="4362447"/>
                <a:ext cx="1847850" cy="4286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NL" sz="1100" b="0" i="0" u="none" strike="noStrike" baseline="0">
                    <a:solidFill>
                      <a:srgbClr val="000000"/>
                    </a:solidFill>
                    <a:latin typeface="Calibri"/>
                    <a:cs typeface="Calibri"/>
                  </a:rPr>
                  <a:t>UTM</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454C5F-679E-45A9-9FE8-AE44DBD7AE09}" name="Tabel2" displayName="Tabel2" ref="A1:B5514" totalsRowShown="0" headerRowDxfId="2">
  <autoFilter ref="A1:B5514" xr:uid="{496E8A12-582E-447A-96E9-837B11F92D82}"/>
  <tableColumns count="2">
    <tableColumn id="1" xr3:uid="{3CA23324-1B91-4FCE-9C76-AB213667D1B7}" name="Coordinate Projection System"/>
    <tableColumn id="2" xr3:uid="{25BCC319-C145-4011-87D6-BF29F0970E69}" name="Search" dataDxfId="1">
      <calculatedColumnFormula>IF(ISNUMBER(SEARCH(Form!$C$11,Tabel2[[#This Row],[Coordinate Projection System]])),MAX($B$1:B1)+1,0)</calculatedColumnFormula>
    </tableColumn>
  </tableColumns>
  <tableStyleInfo name="TableStyleMedium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1953A1-ECE2-41E5-ABE2-6C2A85F9A707}" name="Table3" displayName="Table3" ref="C1:D5514" totalsRowShown="0" headerRowDxfId="0">
  <autoFilter ref="C1:D5514" xr:uid="{E639EDBC-9E23-457B-A06B-A714DBBDFECD}"/>
  <tableColumns count="2">
    <tableColumn id="1" xr3:uid="{16BF3CB6-6769-42EA-AA73-600358B79790}" name="Options">
      <calculatedColumnFormula>_xlfn.IFNA(INDEX(A2:A5514,MATCH(ROW(C1),B2:B5514,0)),"")</calculatedColumnFormula>
    </tableColumn>
    <tableColumn id="3" xr3:uid="{00B5B0B9-2542-404B-9FBA-6D4CEE46886A}" name="Offset"/>
  </tableColumns>
  <tableStyleInfo name="TableStyleMedium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rs.tdwg.org/dwc/terms/verbatimCoordinateSystem" TargetMode="External"/><Relationship Id="rId1" Type="http://schemas.openxmlformats.org/officeDocument/2006/relationships/hyperlink" Target="http://rs.tdwg.org/dwc/terms/verbatimSRS"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8E9E-818E-4313-868B-8E8FD9CB4628}">
  <sheetPr codeName="Blad1">
    <pageSetUpPr autoPageBreaks="0"/>
  </sheetPr>
  <dimension ref="B1:M55"/>
  <sheetViews>
    <sheetView showGridLines="0" tabSelected="1" zoomScaleNormal="100" workbookViewId="0">
      <selection activeCell="C2" sqref="C2"/>
    </sheetView>
  </sheetViews>
  <sheetFormatPr defaultRowHeight="14.4" x14ac:dyDescent="0.3"/>
  <cols>
    <col min="2" max="2" width="25.6640625" bestFit="1" customWidth="1"/>
    <col min="3" max="3" width="40.44140625" customWidth="1"/>
    <col min="4" max="4" width="8.33203125" customWidth="1"/>
    <col min="5" max="5" width="30.44140625" bestFit="1" customWidth="1"/>
    <col min="6" max="6" width="15.109375" bestFit="1" customWidth="1"/>
    <col min="7" max="7" width="13.6640625" bestFit="1" customWidth="1"/>
    <col min="8" max="8" width="7.6640625" customWidth="1"/>
    <col min="9" max="9" width="28.88671875" bestFit="1" customWidth="1"/>
    <col min="10" max="10" width="11.6640625" customWidth="1"/>
    <col min="11" max="11" width="7" customWidth="1"/>
    <col min="14" max="14" width="17.44140625" bestFit="1" customWidth="1"/>
  </cols>
  <sheetData>
    <row r="1" spans="2:13" ht="39.6" customHeight="1" thickBot="1" x14ac:dyDescent="0.35"/>
    <row r="2" spans="2:13" ht="15" thickBot="1" x14ac:dyDescent="0.35">
      <c r="B2" s="46" t="s">
        <v>5495</v>
      </c>
      <c r="C2" s="55"/>
      <c r="E2" s="8" t="s">
        <v>59</v>
      </c>
      <c r="F2" s="3" t="s">
        <v>60</v>
      </c>
      <c r="G2" s="4" t="s">
        <v>61</v>
      </c>
      <c r="H2" s="1"/>
      <c r="I2" s="18" t="s">
        <v>2</v>
      </c>
      <c r="J2" s="14" t="s">
        <v>0</v>
      </c>
      <c r="L2" s="2"/>
      <c r="M2" s="2"/>
    </row>
    <row r="3" spans="2:13" x14ac:dyDescent="0.3">
      <c r="B3" s="47" t="s">
        <v>63</v>
      </c>
      <c r="C3" s="56"/>
      <c r="E3" s="5" t="str">
        <f>HYPERLINK(URIs!B2,URIs!A2)</f>
        <v>Plant_height</v>
      </c>
      <c r="F3" s="20"/>
      <c r="G3" s="21"/>
      <c r="I3" s="15" t="str">
        <f>HYPERLINK(URIs!E2,URIs!D2)</f>
        <v>scientificName</v>
      </c>
      <c r="J3" s="72"/>
    </row>
    <row r="4" spans="2:13" x14ac:dyDescent="0.3">
      <c r="B4" s="47" t="s">
        <v>62</v>
      </c>
      <c r="C4" s="57"/>
      <c r="E4" s="5" t="str">
        <f>HYPERLINK(URIs!B3,URIs!A3)</f>
        <v>Stem_length</v>
      </c>
      <c r="F4" s="22"/>
      <c r="G4" s="23"/>
      <c r="I4" s="15" t="str">
        <f>HYPERLINK(URIs!E3,URIs!D3)</f>
        <v>genus</v>
      </c>
      <c r="J4" s="60"/>
    </row>
    <row r="5" spans="2:13" x14ac:dyDescent="0.3">
      <c r="B5" s="47" t="s">
        <v>5496</v>
      </c>
      <c r="C5" s="58"/>
      <c r="E5" s="5" t="str">
        <f>HYPERLINK(URIs!B4,URIs!A4)</f>
        <v>Stem_width</v>
      </c>
      <c r="F5" s="22"/>
      <c r="G5" s="23"/>
      <c r="I5" s="15" t="str">
        <f>HYPERLINK(URIs!E4,URIs!D4)</f>
        <v>specificEpithet</v>
      </c>
      <c r="J5" s="60"/>
    </row>
    <row r="6" spans="2:13" x14ac:dyDescent="0.3">
      <c r="B6" s="75" t="s">
        <v>5500</v>
      </c>
      <c r="C6" s="76"/>
      <c r="E6" s="5" t="str">
        <f>HYPERLINK(URIs!B5,URIs!A5)</f>
        <v>Leaf_sheat_length</v>
      </c>
      <c r="F6" s="22"/>
      <c r="G6" s="23"/>
      <c r="I6" s="15" t="str">
        <f>HYPERLINK(URIs!E5,URIs!D5)</f>
        <v>infraspecificEpithet</v>
      </c>
      <c r="J6" s="29"/>
    </row>
    <row r="7" spans="2:13" x14ac:dyDescent="0.3">
      <c r="B7" s="75"/>
      <c r="C7" s="77"/>
      <c r="E7" s="5" t="str">
        <f>HYPERLINK(URIs!B6,URIs!A6)</f>
        <v>Petiole_length</v>
      </c>
      <c r="F7" s="22"/>
      <c r="G7" s="23"/>
      <c r="I7" s="15" t="str">
        <f>HYPERLINK(URIs!E6,URIs!D6)</f>
        <v>originalNameUsage</v>
      </c>
      <c r="J7" s="29"/>
    </row>
    <row r="8" spans="2:13" ht="14.4" customHeight="1" x14ac:dyDescent="0.3">
      <c r="B8" s="75"/>
      <c r="C8" s="77"/>
      <c r="E8" s="5" t="str">
        <f>HYPERLINK(URIs!B7,URIs!A7)</f>
        <v>Petiole_thickness</v>
      </c>
      <c r="F8" s="22"/>
      <c r="G8" s="23"/>
      <c r="I8" s="15" t="str">
        <f>HYPERLINK(URIs!E7,URIs!D7)</f>
        <v>morphotype</v>
      </c>
      <c r="J8" s="29"/>
    </row>
    <row r="9" spans="2:13" x14ac:dyDescent="0.3">
      <c r="B9" s="75"/>
      <c r="C9" s="78"/>
      <c r="E9" s="5" t="str">
        <f>HYPERLINK(URIs!B8,URIs!A8)</f>
        <v>Peduncle_length</v>
      </c>
      <c r="F9" s="22"/>
      <c r="G9" s="23"/>
      <c r="I9" s="15" t="str">
        <f>HYPERLINK(URIs!E8,URIs!D8)</f>
        <v>verbatimTaxonRank</v>
      </c>
      <c r="J9" s="29"/>
    </row>
    <row r="10" spans="2:13" x14ac:dyDescent="0.3">
      <c r="B10" s="75" t="s">
        <v>5499</v>
      </c>
      <c r="C10" s="49" t="s">
        <v>5474</v>
      </c>
      <c r="E10" s="5" t="str">
        <f>HYPERLINK(URIs!B9,URIs!A9)</f>
        <v>Peduncle_width</v>
      </c>
      <c r="F10" s="22"/>
      <c r="G10" s="23"/>
      <c r="I10" s="16" t="s">
        <v>58</v>
      </c>
      <c r="J10" s="29"/>
    </row>
    <row r="11" spans="2:13" ht="14.4" customHeight="1" x14ac:dyDescent="0.3">
      <c r="B11" s="75"/>
      <c r="C11" s="48"/>
      <c r="E11" s="5" t="str">
        <f>HYPERLINK(URIs!B10,URIs!A10)</f>
        <v>Distance_scar_bracteole</v>
      </c>
      <c r="F11" s="22"/>
      <c r="G11" s="23"/>
      <c r="I11" s="16" t="s">
        <v>58</v>
      </c>
      <c r="J11" s="29"/>
    </row>
    <row r="12" spans="2:13" ht="14.4" customHeight="1" thickBot="1" x14ac:dyDescent="0.35">
      <c r="B12" s="79" t="s">
        <v>65</v>
      </c>
      <c r="C12" s="76"/>
      <c r="E12" s="5" t="str">
        <f>HYPERLINK(URIs!B11,URIs!A11)</f>
        <v>Prophyll_length</v>
      </c>
      <c r="F12" s="22"/>
      <c r="G12" s="23"/>
      <c r="I12" s="17" t="s">
        <v>58</v>
      </c>
      <c r="J12" s="30"/>
    </row>
    <row r="13" spans="2:13" ht="14.4" customHeight="1" x14ac:dyDescent="0.3">
      <c r="B13" s="79"/>
      <c r="C13" s="77"/>
      <c r="E13" s="5" t="str">
        <f>HYPERLINK(URIs!B12,URIs!A12)</f>
        <v>Peduncle_bract_length</v>
      </c>
      <c r="F13" s="22"/>
      <c r="G13" s="23"/>
    </row>
    <row r="14" spans="2:13" x14ac:dyDescent="0.3">
      <c r="B14" s="79"/>
      <c r="C14" s="77"/>
      <c r="E14" s="5" t="str">
        <f>HYPERLINK(URIs!B13,URIs!A13)</f>
        <v>Apical_leaflet_length</v>
      </c>
      <c r="F14" s="22"/>
      <c r="G14" s="23"/>
    </row>
    <row r="15" spans="2:13" ht="15" thickBot="1" x14ac:dyDescent="0.35">
      <c r="B15" s="80"/>
      <c r="C15" s="81"/>
      <c r="E15" s="5" t="str">
        <f>HYPERLINK(URIs!B14,URIs!A14)</f>
        <v>Apical_leaflet_width</v>
      </c>
      <c r="F15" s="22"/>
      <c r="G15" s="23"/>
    </row>
    <row r="16" spans="2:13" ht="15" thickBot="1" x14ac:dyDescent="0.35">
      <c r="E16" s="5" t="str">
        <f>HYPERLINK(URIs!B15,URIs!A15)</f>
        <v>Apical_leaflet_angle</v>
      </c>
      <c r="F16" s="22"/>
      <c r="G16" s="23"/>
      <c r="I16" s="36" t="s">
        <v>64</v>
      </c>
      <c r="J16" s="53" t="s">
        <v>0</v>
      </c>
    </row>
    <row r="17" spans="5:10" x14ac:dyDescent="0.3">
      <c r="E17" s="5" t="str">
        <f>HYPERLINK(URIs!B16,URIs!A16)</f>
        <v>Apical_leaflet_vein_count</v>
      </c>
      <c r="F17" s="22"/>
      <c r="G17" s="23"/>
      <c r="I17" s="33" t="str">
        <f>HYPERLINK(URIs!H2,URIs!G2)</f>
        <v>measurementDeterminedDate</v>
      </c>
      <c r="J17" s="54"/>
    </row>
    <row r="18" spans="5:10" x14ac:dyDescent="0.3">
      <c r="E18" s="5" t="str">
        <f>HYPERLINK(URIs!B17,URIs!A17)</f>
        <v>Basal_leaflet_angle</v>
      </c>
      <c r="F18" s="22"/>
      <c r="G18" s="23"/>
      <c r="I18" s="33" t="str">
        <f>HYPERLINK(URIs!H3,URIs!G3)</f>
        <v>measurementDeterminedBy</v>
      </c>
      <c r="J18" s="32"/>
    </row>
    <row r="19" spans="5:10" x14ac:dyDescent="0.3">
      <c r="E19" s="5" t="str">
        <f>HYPERLINK(URIs!B18,URIs!A18)</f>
        <v>Basal_leaflet_length</v>
      </c>
      <c r="F19" s="22"/>
      <c r="G19" s="23"/>
      <c r="I19" s="34" t="s">
        <v>58</v>
      </c>
      <c r="J19" s="32"/>
    </row>
    <row r="20" spans="5:10" x14ac:dyDescent="0.3">
      <c r="E20" s="5" t="str">
        <f>HYPERLINK(URIs!B19,URIs!A19)</f>
        <v>Basal_leaflet_width</v>
      </c>
      <c r="F20" s="22"/>
      <c r="G20" s="23"/>
      <c r="I20" s="34" t="s">
        <v>58</v>
      </c>
      <c r="J20" s="52"/>
    </row>
    <row r="21" spans="5:10" ht="15" thickBot="1" x14ac:dyDescent="0.35">
      <c r="E21" s="5" t="str">
        <f>HYPERLINK(URIs!B20,URIs!A20)</f>
        <v>Median_leaflet_length</v>
      </c>
      <c r="F21" s="22"/>
      <c r="G21" s="23"/>
      <c r="I21" s="35" t="s">
        <v>58</v>
      </c>
      <c r="J21" s="51"/>
    </row>
    <row r="22" spans="5:10" x14ac:dyDescent="0.3">
      <c r="E22" s="5" t="str">
        <f>HYPERLINK(URIs!B21,URIs!A21)</f>
        <v>Median_leaflet_width</v>
      </c>
      <c r="F22" s="22"/>
      <c r="G22" s="23"/>
    </row>
    <row r="23" spans="5:10" x14ac:dyDescent="0.3">
      <c r="E23" s="5" t="str">
        <f>HYPERLINK(URIs!B22,URIs!A22)</f>
        <v>Leaflet_number</v>
      </c>
      <c r="F23" s="22"/>
      <c r="G23" s="23"/>
    </row>
    <row r="24" spans="5:10" ht="15" thickBot="1" x14ac:dyDescent="0.35">
      <c r="E24" s="5" t="str">
        <f>HYPERLINK(URIs!B23,URIs!A23)</f>
        <v>Rachis_length</v>
      </c>
      <c r="F24" s="22"/>
      <c r="G24" s="23"/>
    </row>
    <row r="25" spans="5:10" ht="15" thickBot="1" x14ac:dyDescent="0.35">
      <c r="E25" s="5" t="str">
        <f>HYPERLINK(URIs!B24,URIs!A24)</f>
        <v>Rachis_thickness</v>
      </c>
      <c r="F25" s="22"/>
      <c r="G25" s="23"/>
      <c r="I25" s="13" t="s">
        <v>1</v>
      </c>
      <c r="J25" s="9" t="s">
        <v>0</v>
      </c>
    </row>
    <row r="26" spans="5:10" x14ac:dyDescent="0.3">
      <c r="E26" s="5" t="str">
        <f>HYPERLINK(URIs!B25,URIs!A25)</f>
        <v>Rachilla_count</v>
      </c>
      <c r="F26" s="22"/>
      <c r="G26" s="23"/>
      <c r="I26" s="10" t="str">
        <f>HYPERLINK(URIs!K2,URIs!J2)</f>
        <v>identificationID</v>
      </c>
      <c r="J26" s="26"/>
    </row>
    <row r="27" spans="5:10" x14ac:dyDescent="0.3">
      <c r="E27" s="5" t="str">
        <f>HYPERLINK(URIs!B26,URIs!A26)</f>
        <v>Rachilla_length</v>
      </c>
      <c r="F27" s="22"/>
      <c r="G27" s="23"/>
      <c r="I27" s="10" t="str">
        <f>HYPERLINK(URIs!K3,URIs!J3)</f>
        <v>recordNumber</v>
      </c>
      <c r="J27" s="27"/>
    </row>
    <row r="28" spans="5:10" x14ac:dyDescent="0.3">
      <c r="E28" s="5" t="str">
        <f>HYPERLINK(URIs!B27,URIs!A27)</f>
        <v>Rachilla_thickness</v>
      </c>
      <c r="F28" s="22"/>
      <c r="G28" s="23"/>
      <c r="I28" s="10" t="str">
        <f>HYPERLINK(URIs!K4,URIs!J4)</f>
        <v>institutionCode</v>
      </c>
      <c r="J28" s="27"/>
    </row>
    <row r="29" spans="5:10" x14ac:dyDescent="0.3">
      <c r="E29" s="5" t="str">
        <f>HYPERLINK(URIs!B28,URIs!A28)</f>
        <v>Staminate_rachilla_length</v>
      </c>
      <c r="F29" s="22"/>
      <c r="G29" s="23"/>
      <c r="I29" s="10" t="str">
        <f>HYPERLINK(URIs!K5,URIs!J5)</f>
        <v>verbatimLatitude</v>
      </c>
      <c r="J29" s="27"/>
    </row>
    <row r="30" spans="5:10" x14ac:dyDescent="0.3">
      <c r="E30" s="5" t="str">
        <f>HYPERLINK(URIs!B29,URIs!A29)</f>
        <v>Staminate_rachilla_count</v>
      </c>
      <c r="F30" s="22"/>
      <c r="G30" s="23"/>
      <c r="I30" s="10" t="str">
        <f>HYPERLINK(URIs!K6,URIs!J6)</f>
        <v>verbatimLongitude</v>
      </c>
      <c r="J30" s="27"/>
    </row>
    <row r="31" spans="5:10" x14ac:dyDescent="0.3">
      <c r="E31" s="5" t="str">
        <f>HYPERLINK(URIs!B30,URIs!A30)</f>
        <v>Pistillate_rachilla_length</v>
      </c>
      <c r="F31" s="22"/>
      <c r="G31" s="23"/>
      <c r="I31" s="10" t="str">
        <f>HYPERLINK(URIs!K7,URIs!J7)</f>
        <v>verbatimElevation</v>
      </c>
      <c r="J31" s="27"/>
    </row>
    <row r="32" spans="5:10" x14ac:dyDescent="0.3">
      <c r="E32" s="5" t="str">
        <f>HYPERLINK(URIs!B31,URIs!A31)</f>
        <v>Pistillate_rachilla_count</v>
      </c>
      <c r="F32" s="22"/>
      <c r="G32" s="23"/>
      <c r="I32" s="10" t="str">
        <f>HYPERLINK(URIs!K8,URIs!J8)</f>
        <v>country</v>
      </c>
      <c r="J32" s="27"/>
    </row>
    <row r="33" spans="5:10" x14ac:dyDescent="0.3">
      <c r="E33" s="5" t="str">
        <f>HYPERLINK(URIs!B32,URIs!A32)</f>
        <v>Basal_rachilla_length</v>
      </c>
      <c r="F33" s="22"/>
      <c r="G33" s="23"/>
      <c r="I33" s="10" t="str">
        <f>HYPERLINK(URIs!K9,URIs!J9)</f>
        <v>stateProvince</v>
      </c>
      <c r="J33" s="27"/>
    </row>
    <row r="34" spans="5:10" x14ac:dyDescent="0.3">
      <c r="E34" s="5" t="str">
        <f>HYPERLINK(URIs!B33,URIs!A33)</f>
        <v>Basal_rachilla_thickness</v>
      </c>
      <c r="F34" s="22"/>
      <c r="G34" s="23"/>
      <c r="I34" s="10" t="str">
        <f>HYPERLINK(URIs!K10,URIs!J10)</f>
        <v>habitat</v>
      </c>
      <c r="J34" s="27"/>
    </row>
    <row r="35" spans="5:10" x14ac:dyDescent="0.3">
      <c r="E35" s="5" t="str">
        <f>HYPERLINK(URIs!B34,URIs!A34)</f>
        <v>Apical_rachilla_length</v>
      </c>
      <c r="F35" s="22"/>
      <c r="G35" s="23"/>
      <c r="I35" s="11" t="s">
        <v>58</v>
      </c>
      <c r="J35" s="27"/>
    </row>
    <row r="36" spans="5:10" x14ac:dyDescent="0.3">
      <c r="E36" s="5" t="str">
        <f>HYPERLINK(URIs!B35,URIs!A35)</f>
        <v>Apical_rachilla_thickness</v>
      </c>
      <c r="F36" s="22"/>
      <c r="G36" s="23"/>
      <c r="I36" s="11" t="s">
        <v>58</v>
      </c>
      <c r="J36" s="27"/>
    </row>
    <row r="37" spans="5:10" ht="15" thickBot="1" x14ac:dyDescent="0.35">
      <c r="E37" s="5" t="str">
        <f>HYPERLINK(URIs!B36,URIs!A36)</f>
        <v>Median_rachilla_length</v>
      </c>
      <c r="F37" s="22"/>
      <c r="G37" s="23"/>
      <c r="I37" s="12" t="s">
        <v>58</v>
      </c>
      <c r="J37" s="28"/>
    </row>
    <row r="38" spans="5:10" x14ac:dyDescent="0.3">
      <c r="E38" s="5" t="str">
        <f>HYPERLINK(URIs!B37,URIs!A37)</f>
        <v>Fruit_length</v>
      </c>
      <c r="F38" s="22"/>
      <c r="G38" s="23"/>
    </row>
    <row r="39" spans="5:10" x14ac:dyDescent="0.3">
      <c r="E39" s="5" t="str">
        <f>HYPERLINK(URIs!B38,URIs!A38)</f>
        <v>Fruit_width</v>
      </c>
      <c r="F39" s="22"/>
      <c r="G39" s="23"/>
    </row>
    <row r="40" spans="5:10" x14ac:dyDescent="0.3">
      <c r="E40" s="5" t="str">
        <f>HYPERLINK(URIs!B39,URIs!A39)</f>
        <v>Seed_length</v>
      </c>
      <c r="F40" s="22"/>
      <c r="G40" s="23"/>
    </row>
    <row r="41" spans="5:10" x14ac:dyDescent="0.3">
      <c r="E41" s="5" t="str">
        <f>HYPERLINK(URIs!B40,URIs!A40)</f>
        <v>Seed_width</v>
      </c>
      <c r="F41" s="22"/>
      <c r="G41" s="23"/>
    </row>
    <row r="42" spans="5:10" x14ac:dyDescent="0.3">
      <c r="E42" s="5" t="str">
        <f>HYPERLINK(URIs!B41,URIs!A41)</f>
        <v>Seed_count</v>
      </c>
      <c r="F42" s="22"/>
      <c r="G42" s="23"/>
    </row>
    <row r="43" spans="5:10" x14ac:dyDescent="0.3">
      <c r="E43" s="5" t="str">
        <f>HYPERLINK(URIs!B42,URIs!A42)</f>
        <v>Stamen_count</v>
      </c>
      <c r="F43" s="22"/>
      <c r="G43" s="23"/>
    </row>
    <row r="44" spans="5:10" x14ac:dyDescent="0.3">
      <c r="E44" s="5" t="str">
        <f>HYPERLINK(URIs!B43,URIs!A43)</f>
        <v>Inflorescence_branch_count</v>
      </c>
      <c r="F44" s="22"/>
      <c r="G44" s="23"/>
    </row>
    <row r="45" spans="5:10" x14ac:dyDescent="0.3">
      <c r="E45" s="5" t="str">
        <f>HYPERLINK(URIs!B44,URIs!A44)</f>
        <v>Inflorescence_length</v>
      </c>
      <c r="F45" s="22"/>
      <c r="G45" s="23"/>
    </row>
    <row r="46" spans="5:10" x14ac:dyDescent="0.3">
      <c r="E46" s="5" t="str">
        <f>HYPERLINK(URIs!B45,URIs!A45)</f>
        <v>Inflorescence_width</v>
      </c>
      <c r="F46" s="22"/>
      <c r="G46" s="23"/>
    </row>
    <row r="47" spans="5:10" x14ac:dyDescent="0.3">
      <c r="E47" s="5" t="str">
        <f>HYPERLINK(URIs!B46,URIs!A46)</f>
        <v>Staminate_inflorescence_length</v>
      </c>
      <c r="F47" s="22"/>
      <c r="G47" s="23"/>
    </row>
    <row r="48" spans="5:10" x14ac:dyDescent="0.3">
      <c r="E48" s="5" t="str">
        <f>HYPERLINK(URIs!B47,URIs!A47)</f>
        <v>Pistillate_inflorescence_length</v>
      </c>
      <c r="F48" s="22"/>
      <c r="G48" s="23"/>
    </row>
    <row r="49" spans="5:7" x14ac:dyDescent="0.3">
      <c r="E49" s="5" t="str">
        <f>HYPERLINK(URIs!B48,URIs!A48)</f>
        <v>Staminate_flower_length</v>
      </c>
      <c r="F49" s="22" t="s">
        <v>32</v>
      </c>
      <c r="G49" s="23"/>
    </row>
    <row r="50" spans="5:7" x14ac:dyDescent="0.3">
      <c r="E50" s="5" t="str">
        <f>HYPERLINK(URIs!B49,URIs!A49)</f>
        <v>Shoot_axis_internode_length</v>
      </c>
      <c r="F50" s="22"/>
      <c r="G50" s="23"/>
    </row>
    <row r="51" spans="5:7" x14ac:dyDescent="0.3">
      <c r="E51" s="5" t="str">
        <f>HYPERLINK(URIs!B50,URIs!A50)</f>
        <v>Leaf_number</v>
      </c>
      <c r="F51" s="22"/>
      <c r="G51" s="23"/>
    </row>
    <row r="52" spans="5:7" x14ac:dyDescent="0.3">
      <c r="E52" s="5" t="str">
        <f>HYPERLINK(URIs!B51,URIs!A51)</f>
        <v>Bracts_number</v>
      </c>
      <c r="F52" s="22"/>
      <c r="G52" s="23"/>
    </row>
    <row r="53" spans="5:7" x14ac:dyDescent="0.3">
      <c r="E53" s="6" t="s">
        <v>58</v>
      </c>
      <c r="F53" s="22"/>
      <c r="G53" s="23"/>
    </row>
    <row r="54" spans="5:7" x14ac:dyDescent="0.3">
      <c r="E54" s="6" t="s">
        <v>58</v>
      </c>
      <c r="F54" s="22"/>
      <c r="G54" s="23"/>
    </row>
    <row r="55" spans="5:7" ht="15" thickBot="1" x14ac:dyDescent="0.35">
      <c r="E55" s="7" t="s">
        <v>58</v>
      </c>
      <c r="F55" s="24"/>
      <c r="G55" s="25"/>
    </row>
  </sheetData>
  <mergeCells count="5">
    <mergeCell ref="B10:B11"/>
    <mergeCell ref="C6:C9"/>
    <mergeCell ref="B6:B9"/>
    <mergeCell ref="B12:B15"/>
    <mergeCell ref="C12:C15"/>
  </mergeCells>
  <dataValidations count="1">
    <dataValidation type="list" allowBlank="1" showInputMessage="1" sqref="C11" xr:uid="{677BA8E8-4254-4CD0-9ED8-35784B0ACF2C}">
      <formula1>CRS</formula1>
    </dataValidation>
  </dataValidations>
  <hyperlinks>
    <hyperlink ref="B10:B11" r:id="rId1" display="verbatimSRS:" xr:uid="{D6E0DE35-2F21-48AC-A7F1-916E43860FA4}"/>
    <hyperlink ref="B6:B9" r:id="rId2" display="verbatimCoordinateSystem:" xr:uid="{1DFAF0FD-6812-402C-B694-F779C4DF87BA}"/>
  </hyperlinks>
  <pageMargins left="0.7" right="0.7" top="0.75" bottom="0.75" header="0.3" footer="0.3"/>
  <pageSetup paperSize="9" orientation="portrait" horizontalDpi="4294967293"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029" r:id="rId6" name="Option Button 5">
              <controlPr defaultSize="0" autoFill="0" autoLine="0" autoPict="0">
                <anchor moveWithCells="1">
                  <from>
                    <xdr:col>2</xdr:col>
                    <xdr:colOff>30480</xdr:colOff>
                    <xdr:row>10</xdr:row>
                    <xdr:rowOff>144780</xdr:rowOff>
                  </from>
                  <to>
                    <xdr:col>2</xdr:col>
                    <xdr:colOff>1181100</xdr:colOff>
                    <xdr:row>12</xdr:row>
                    <xdr:rowOff>144780</xdr:rowOff>
                  </to>
                </anchor>
              </controlPr>
            </control>
          </mc:Choice>
        </mc:AlternateContent>
        <mc:AlternateContent xmlns:mc="http://schemas.openxmlformats.org/markup-compatibility/2006">
          <mc:Choice Requires="x14">
            <control shapeId="1030" r:id="rId7" name="Option Button 6">
              <controlPr defaultSize="0" autoFill="0" autoLine="0" autoPict="0" macro="[0]!OptionButton6_Click">
                <anchor moveWithCells="1">
                  <from>
                    <xdr:col>2</xdr:col>
                    <xdr:colOff>30480</xdr:colOff>
                    <xdr:row>13</xdr:row>
                    <xdr:rowOff>53340</xdr:rowOff>
                  </from>
                  <to>
                    <xdr:col>2</xdr:col>
                    <xdr:colOff>1181100</xdr:colOff>
                    <xdr:row>15</xdr:row>
                    <xdr:rowOff>38100</xdr:rowOff>
                  </to>
                </anchor>
              </controlPr>
            </control>
          </mc:Choice>
        </mc:AlternateContent>
        <mc:AlternateContent xmlns:mc="http://schemas.openxmlformats.org/markup-compatibility/2006">
          <mc:Choice Requires="x14">
            <control shapeId="1031" r:id="rId8" name="Option Button 7">
              <controlPr defaultSize="0" autoFill="0" autoLine="0" autoPict="0">
                <anchor moveWithCells="1">
                  <from>
                    <xdr:col>2</xdr:col>
                    <xdr:colOff>30480</xdr:colOff>
                    <xdr:row>12</xdr:row>
                    <xdr:rowOff>7620</xdr:rowOff>
                  </from>
                  <to>
                    <xdr:col>2</xdr:col>
                    <xdr:colOff>1181100</xdr:colOff>
                    <xdr:row>14</xdr:row>
                    <xdr:rowOff>0</xdr:rowOff>
                  </to>
                </anchor>
              </controlPr>
            </control>
          </mc:Choice>
        </mc:AlternateContent>
        <mc:AlternateContent xmlns:mc="http://schemas.openxmlformats.org/markup-compatibility/2006">
          <mc:Choice Requires="x14">
            <control shapeId="1052" r:id="rId9" name="Check Box 28">
              <controlPr defaultSize="0" autoFill="0" autoLine="0" autoPict="0">
                <anchor moveWithCells="1">
                  <from>
                    <xdr:col>2</xdr:col>
                    <xdr:colOff>38100</xdr:colOff>
                    <xdr:row>4</xdr:row>
                    <xdr:rowOff>121920</xdr:rowOff>
                  </from>
                  <to>
                    <xdr:col>2</xdr:col>
                    <xdr:colOff>1882140</xdr:colOff>
                    <xdr:row>6</xdr:row>
                    <xdr:rowOff>175260</xdr:rowOff>
                  </to>
                </anchor>
              </controlPr>
            </control>
          </mc:Choice>
        </mc:AlternateContent>
        <mc:AlternateContent xmlns:mc="http://schemas.openxmlformats.org/markup-compatibility/2006">
          <mc:Choice Requires="x14">
            <control shapeId="1053" r:id="rId10" name="Check Box 29">
              <controlPr defaultSize="0" autoFill="0" autoLine="0" autoPict="0">
                <anchor moveWithCells="1">
                  <from>
                    <xdr:col>2</xdr:col>
                    <xdr:colOff>38100</xdr:colOff>
                    <xdr:row>5</xdr:row>
                    <xdr:rowOff>144780</xdr:rowOff>
                  </from>
                  <to>
                    <xdr:col>2</xdr:col>
                    <xdr:colOff>1882140</xdr:colOff>
                    <xdr:row>8</xdr:row>
                    <xdr:rowOff>15240</xdr:rowOff>
                  </to>
                </anchor>
              </controlPr>
            </control>
          </mc:Choice>
        </mc:AlternateContent>
        <mc:AlternateContent xmlns:mc="http://schemas.openxmlformats.org/markup-compatibility/2006">
          <mc:Choice Requires="x14">
            <control shapeId="1054" r:id="rId11" name="Check Box 30">
              <controlPr defaultSize="0" autoFill="0" autoLine="0" autoPict="0">
                <anchor moveWithCells="1">
                  <from>
                    <xdr:col>2</xdr:col>
                    <xdr:colOff>38100</xdr:colOff>
                    <xdr:row>6</xdr:row>
                    <xdr:rowOff>175260</xdr:rowOff>
                  </from>
                  <to>
                    <xdr:col>2</xdr:col>
                    <xdr:colOff>1882140</xdr:colOff>
                    <xdr:row>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EE598-58DF-4C11-88B2-5BAC8CB6661F}">
  <sheetPr codeName="Blad3"/>
  <dimension ref="A1:D5514"/>
  <sheetViews>
    <sheetView zoomScale="80" zoomScaleNormal="80" workbookViewId="0">
      <selection activeCell="G14" sqref="G14"/>
    </sheetView>
  </sheetViews>
  <sheetFormatPr defaultRowHeight="14.4" x14ac:dyDescent="0.3"/>
  <cols>
    <col min="1" max="1" width="106.6640625" bestFit="1" customWidth="1"/>
    <col min="3" max="4" width="44.6640625" bestFit="1" customWidth="1"/>
  </cols>
  <sheetData>
    <row r="1" spans="1:4" x14ac:dyDescent="0.3">
      <c r="A1" s="45" t="s">
        <v>70</v>
      </c>
      <c r="B1" s="45" t="s">
        <v>5471</v>
      </c>
      <c r="C1" s="45" t="s">
        <v>5472</v>
      </c>
      <c r="D1" s="45" t="s">
        <v>5473</v>
      </c>
    </row>
    <row r="2" spans="1:4" x14ac:dyDescent="0.3">
      <c r="A2" t="s">
        <v>71</v>
      </c>
      <c r="B2">
        <f>IF(ISNUMBER(SEARCH(Form!$C$11,Tabel2[[#This Row],[Coordinate Projection System]])),MAX($B$1:B1)+1,0)</f>
        <v>1</v>
      </c>
      <c r="C2" t="str">
        <f>_xlfn.IFNA(INDEX(A2:A5514,MATCH(ROW(C1),B2:B5514,0)),"")</f>
        <v>HD1909</v>
      </c>
      <c r="D2" t="str">
        <f ca="1">OFFSET(C2,,,MAX(Tabel2[Search]))</f>
        <v>HD1909</v>
      </c>
    </row>
    <row r="3" spans="1:4" x14ac:dyDescent="0.3">
      <c r="A3" t="s">
        <v>72</v>
      </c>
      <c r="B3">
        <f>IF(ISNUMBER(SEARCH(Form!$C$11,Tabel2[[#This Row],[Coordinate Projection System]])),MAX($B$1:B2)+1,0)</f>
        <v>2</v>
      </c>
      <c r="C3" t="str">
        <f t="shared" ref="C3:C66" si="0">_xlfn.IFNA(INDEX(A3:A5514,MATCH(ROW(C2),B3:B5514,0)),"")</f>
        <v>TWD67</v>
      </c>
    </row>
    <row r="4" spans="1:4" x14ac:dyDescent="0.3">
      <c r="A4" t="s">
        <v>73</v>
      </c>
      <c r="B4">
        <f>IF(ISNUMBER(SEARCH(Form!$C$11,Tabel2[[#This Row],[Coordinate Projection System]])),MAX($B$1:B3)+1,0)</f>
        <v>3</v>
      </c>
      <c r="C4" t="str">
        <f t="shared" si="0"/>
        <v>TWD97</v>
      </c>
    </row>
    <row r="5" spans="1:4" x14ac:dyDescent="0.3">
      <c r="A5" t="s">
        <v>74</v>
      </c>
      <c r="B5">
        <f>IF(ISNUMBER(SEARCH(Form!$C$11,Tabel2[[#This Row],[Coordinate Projection System]])),MAX($B$1:B4)+1,0)</f>
        <v>4</v>
      </c>
      <c r="C5" t="str">
        <f t="shared" si="0"/>
        <v>IGRS</v>
      </c>
    </row>
    <row r="6" spans="1:4" x14ac:dyDescent="0.3">
      <c r="A6" t="s">
        <v>75</v>
      </c>
      <c r="B6">
        <f>IF(ISNUMBER(SEARCH(Form!$C$11,Tabel2[[#This Row],[Coordinate Projection System]])),MAX($B$1:B5)+1,0)</f>
        <v>5</v>
      </c>
      <c r="C6" t="str">
        <f t="shared" si="0"/>
        <v>MGI 1901</v>
      </c>
    </row>
    <row r="7" spans="1:4" x14ac:dyDescent="0.3">
      <c r="A7" t="s">
        <v>76</v>
      </c>
      <c r="B7">
        <f>IF(ISNUMBER(SEARCH(Form!$C$11,Tabel2[[#This Row],[Coordinate Projection System]])),MAX($B$1:B6)+1,0)</f>
        <v>6</v>
      </c>
      <c r="C7" t="str">
        <f t="shared" si="0"/>
        <v>Unknown datum based upon the Airy 1830 ellipsoid</v>
      </c>
    </row>
    <row r="8" spans="1:4" x14ac:dyDescent="0.3">
      <c r="A8" t="s">
        <v>77</v>
      </c>
      <c r="B8">
        <f>IF(ISNUMBER(SEARCH(Form!$C$11,Tabel2[[#This Row],[Coordinate Projection System]])),MAX($B$1:B7)+1,0)</f>
        <v>7</v>
      </c>
      <c r="C8" t="str">
        <f t="shared" si="0"/>
        <v>Unknown datum based upon the Airy Modified 1849 ellipsoid</v>
      </c>
    </row>
    <row r="9" spans="1:4" x14ac:dyDescent="0.3">
      <c r="A9" t="s">
        <v>78</v>
      </c>
      <c r="B9">
        <f>IF(ISNUMBER(SEARCH(Form!$C$11,Tabel2[[#This Row],[Coordinate Projection System]])),MAX($B$1:B8)+1,0)</f>
        <v>8</v>
      </c>
      <c r="C9" t="str">
        <f t="shared" si="0"/>
        <v>Unknown datum based upon the Australian National Spheroid</v>
      </c>
    </row>
    <row r="10" spans="1:4" x14ac:dyDescent="0.3">
      <c r="A10" t="s">
        <v>79</v>
      </c>
      <c r="B10">
        <f>IF(ISNUMBER(SEARCH(Form!$C$11,Tabel2[[#This Row],[Coordinate Projection System]])),MAX($B$1:B9)+1,0)</f>
        <v>9</v>
      </c>
      <c r="C10" t="str">
        <f t="shared" si="0"/>
        <v>Unknown datum based upon the Bessel 1841 ellipsoid</v>
      </c>
    </row>
    <row r="11" spans="1:4" x14ac:dyDescent="0.3">
      <c r="A11" t="s">
        <v>80</v>
      </c>
      <c r="B11">
        <f>IF(ISNUMBER(SEARCH(Form!$C$11,Tabel2[[#This Row],[Coordinate Projection System]])),MAX($B$1:B10)+1,0)</f>
        <v>10</v>
      </c>
      <c r="C11" t="str">
        <f t="shared" si="0"/>
        <v>Unknown datum based upon the Bessel Modified ellipsoid</v>
      </c>
    </row>
    <row r="12" spans="1:4" x14ac:dyDescent="0.3">
      <c r="A12" t="s">
        <v>81</v>
      </c>
      <c r="B12">
        <f>IF(ISNUMBER(SEARCH(Form!$C$11,Tabel2[[#This Row],[Coordinate Projection System]])),MAX($B$1:B11)+1,0)</f>
        <v>11</v>
      </c>
      <c r="C12" t="str">
        <f t="shared" si="0"/>
        <v>Unknown datum based upon the Bessel Namibia ellipsoid</v>
      </c>
    </row>
    <row r="13" spans="1:4" x14ac:dyDescent="0.3">
      <c r="A13" t="s">
        <v>82</v>
      </c>
      <c r="B13">
        <f>IF(ISNUMBER(SEARCH(Form!$C$11,Tabel2[[#This Row],[Coordinate Projection System]])),MAX($B$1:B12)+1,0)</f>
        <v>12</v>
      </c>
      <c r="C13" t="str">
        <f t="shared" si="0"/>
        <v>Unknown datum based upon the Clarke 1858 ellipsoid</v>
      </c>
    </row>
    <row r="14" spans="1:4" x14ac:dyDescent="0.3">
      <c r="A14" t="s">
        <v>83</v>
      </c>
      <c r="B14">
        <f>IF(ISNUMBER(SEARCH(Form!$C$11,Tabel2[[#This Row],[Coordinate Projection System]])),MAX($B$1:B13)+1,0)</f>
        <v>13</v>
      </c>
      <c r="C14" t="str">
        <f t="shared" si="0"/>
        <v>Unknown datum based upon the Clarke 1866 ellipsoid</v>
      </c>
    </row>
    <row r="15" spans="1:4" x14ac:dyDescent="0.3">
      <c r="A15" t="s">
        <v>84</v>
      </c>
      <c r="B15">
        <f>IF(ISNUMBER(SEARCH(Form!$C$11,Tabel2[[#This Row],[Coordinate Projection System]])),MAX($B$1:B14)+1,0)</f>
        <v>14</v>
      </c>
      <c r="C15" t="str">
        <f t="shared" si="0"/>
        <v>Unknown datum based upon the Clarke 1866 Michigan ellipsoid</v>
      </c>
    </row>
    <row r="16" spans="1:4" x14ac:dyDescent="0.3">
      <c r="A16" t="s">
        <v>85</v>
      </c>
      <c r="B16">
        <f>IF(ISNUMBER(SEARCH(Form!$C$11,Tabel2[[#This Row],[Coordinate Projection System]])),MAX($B$1:B15)+1,0)</f>
        <v>15</v>
      </c>
      <c r="C16" t="str">
        <f t="shared" si="0"/>
        <v>Unknown datum based upon the Clarke 1880 (Benoit) ellipsoid</v>
      </c>
    </row>
    <row r="17" spans="1:3" x14ac:dyDescent="0.3">
      <c r="A17" t="s">
        <v>86</v>
      </c>
      <c r="B17">
        <f>IF(ISNUMBER(SEARCH(Form!$C$11,Tabel2[[#This Row],[Coordinate Projection System]])),MAX($B$1:B16)+1,0)</f>
        <v>16</v>
      </c>
      <c r="C17" t="str">
        <f t="shared" si="0"/>
        <v>Unknown datum based upon the Clarke 1880 (IGN) ellipsoid</v>
      </c>
    </row>
    <row r="18" spans="1:3" x14ac:dyDescent="0.3">
      <c r="A18" t="s">
        <v>87</v>
      </c>
      <c r="B18">
        <f>IF(ISNUMBER(SEARCH(Form!$C$11,Tabel2[[#This Row],[Coordinate Projection System]])),MAX($B$1:B17)+1,0)</f>
        <v>17</v>
      </c>
      <c r="C18" t="str">
        <f t="shared" si="0"/>
        <v>Unknown datum based upon the Clarke 1880 (RGS) ellipsoid</v>
      </c>
    </row>
    <row r="19" spans="1:3" x14ac:dyDescent="0.3">
      <c r="A19" t="s">
        <v>88</v>
      </c>
      <c r="B19">
        <f>IF(ISNUMBER(SEARCH(Form!$C$11,Tabel2[[#This Row],[Coordinate Projection System]])),MAX($B$1:B18)+1,0)</f>
        <v>18</v>
      </c>
      <c r="C19" t="str">
        <f t="shared" si="0"/>
        <v>Unknown datum based upon the Clarke 1880 (Arc) ellipsoid</v>
      </c>
    </row>
    <row r="20" spans="1:3" x14ac:dyDescent="0.3">
      <c r="A20" t="s">
        <v>89</v>
      </c>
      <c r="B20">
        <f>IF(ISNUMBER(SEARCH(Form!$C$11,Tabel2[[#This Row],[Coordinate Projection System]])),MAX($B$1:B19)+1,0)</f>
        <v>19</v>
      </c>
      <c r="C20" t="str">
        <f t="shared" si="0"/>
        <v>Unknown datum based upon the Clarke 1880 (SGA 1922) ellipsoid</v>
      </c>
    </row>
    <row r="21" spans="1:3" x14ac:dyDescent="0.3">
      <c r="A21" t="s">
        <v>90</v>
      </c>
      <c r="B21">
        <f>IF(ISNUMBER(SEARCH(Form!$C$11,Tabel2[[#This Row],[Coordinate Projection System]])),MAX($B$1:B20)+1,0)</f>
        <v>20</v>
      </c>
      <c r="C21" t="str">
        <f t="shared" si="0"/>
        <v>Unknown datum based upon the Everest 1830 (1937 Adjustment) ellipsoid</v>
      </c>
    </row>
    <row r="22" spans="1:3" x14ac:dyDescent="0.3">
      <c r="A22" t="s">
        <v>91</v>
      </c>
      <c r="B22">
        <f>IF(ISNUMBER(SEARCH(Form!$C$11,Tabel2[[#This Row],[Coordinate Projection System]])),MAX($B$1:B21)+1,0)</f>
        <v>21</v>
      </c>
      <c r="C22" t="str">
        <f t="shared" si="0"/>
        <v>Unknown datum based upon the Everest 1830 (1967 Definition) ellipsoid</v>
      </c>
    </row>
    <row r="23" spans="1:3" x14ac:dyDescent="0.3">
      <c r="A23" t="s">
        <v>92</v>
      </c>
      <c r="B23">
        <f>IF(ISNUMBER(SEARCH(Form!$C$11,Tabel2[[#This Row],[Coordinate Projection System]])),MAX($B$1:B22)+1,0)</f>
        <v>22</v>
      </c>
      <c r="C23" t="str">
        <f t="shared" si="0"/>
        <v>Unknown datum based upon the Everest 1830 Modified ellipsoid</v>
      </c>
    </row>
    <row r="24" spans="1:3" x14ac:dyDescent="0.3">
      <c r="A24" t="s">
        <v>93</v>
      </c>
      <c r="B24">
        <f>IF(ISNUMBER(SEARCH(Form!$C$11,Tabel2[[#This Row],[Coordinate Projection System]])),MAX($B$1:B23)+1,0)</f>
        <v>23</v>
      </c>
      <c r="C24" t="str">
        <f t="shared" si="0"/>
        <v>Unknown datum based upon the GRS 1980 ellipsoid</v>
      </c>
    </row>
    <row r="25" spans="1:3" x14ac:dyDescent="0.3">
      <c r="A25" t="s">
        <v>94</v>
      </c>
      <c r="B25">
        <f>IF(ISNUMBER(SEARCH(Form!$C$11,Tabel2[[#This Row],[Coordinate Projection System]])),MAX($B$1:B24)+1,0)</f>
        <v>24</v>
      </c>
      <c r="C25" t="str">
        <f t="shared" si="0"/>
        <v>Unknown datum based upon the Helmert 1906 ellipsoid</v>
      </c>
    </row>
    <row r="26" spans="1:3" x14ac:dyDescent="0.3">
      <c r="A26" t="s">
        <v>95</v>
      </c>
      <c r="B26">
        <f>IF(ISNUMBER(SEARCH(Form!$C$11,Tabel2[[#This Row],[Coordinate Projection System]])),MAX($B$1:B25)+1,0)</f>
        <v>25</v>
      </c>
      <c r="C26" t="str">
        <f t="shared" si="0"/>
        <v>Unknown datum based upon the Indonesian National Spheroid</v>
      </c>
    </row>
    <row r="27" spans="1:3" x14ac:dyDescent="0.3">
      <c r="A27" t="s">
        <v>96</v>
      </c>
      <c r="B27">
        <f>IF(ISNUMBER(SEARCH(Form!$C$11,Tabel2[[#This Row],[Coordinate Projection System]])),MAX($B$1:B26)+1,0)</f>
        <v>26</v>
      </c>
      <c r="C27" t="str">
        <f t="shared" si="0"/>
        <v>Unknown datum based upon the International 1924 ellipsoid</v>
      </c>
    </row>
    <row r="28" spans="1:3" x14ac:dyDescent="0.3">
      <c r="A28" t="s">
        <v>97</v>
      </c>
      <c r="B28">
        <f>IF(ISNUMBER(SEARCH(Form!$C$11,Tabel2[[#This Row],[Coordinate Projection System]])),MAX($B$1:B27)+1,0)</f>
        <v>27</v>
      </c>
      <c r="C28" t="str">
        <f t="shared" si="0"/>
        <v>MOLDREF99</v>
      </c>
    </row>
    <row r="29" spans="1:3" x14ac:dyDescent="0.3">
      <c r="A29" t="s">
        <v>98</v>
      </c>
      <c r="B29">
        <f>IF(ISNUMBER(SEARCH(Form!$C$11,Tabel2[[#This Row],[Coordinate Projection System]])),MAX($B$1:B28)+1,0)</f>
        <v>28</v>
      </c>
      <c r="C29" t="str">
        <f t="shared" si="0"/>
        <v>Unknown datum based upon the Krassowsky 1940 ellipsoid</v>
      </c>
    </row>
    <row r="30" spans="1:3" x14ac:dyDescent="0.3">
      <c r="A30" t="s">
        <v>99</v>
      </c>
      <c r="B30">
        <f>IF(ISNUMBER(SEARCH(Form!$C$11,Tabel2[[#This Row],[Coordinate Projection System]])),MAX($B$1:B29)+1,0)</f>
        <v>29</v>
      </c>
      <c r="C30" t="str">
        <f t="shared" si="0"/>
        <v>Unknown datum based upon the NWL 9D ellipsoid</v>
      </c>
    </row>
    <row r="31" spans="1:3" x14ac:dyDescent="0.3">
      <c r="A31" t="s">
        <v>100</v>
      </c>
      <c r="B31">
        <f>IF(ISNUMBER(SEARCH(Form!$C$11,Tabel2[[#This Row],[Coordinate Projection System]])),MAX($B$1:B30)+1,0)</f>
        <v>30</v>
      </c>
      <c r="C31" t="str">
        <f t="shared" si="0"/>
        <v>Unknown datum based upon the Plessis 1817 ellipsoid</v>
      </c>
    </row>
    <row r="32" spans="1:3" x14ac:dyDescent="0.3">
      <c r="A32" t="s">
        <v>101</v>
      </c>
      <c r="B32">
        <f>IF(ISNUMBER(SEARCH(Form!$C$11,Tabel2[[#This Row],[Coordinate Projection System]])),MAX($B$1:B31)+1,0)</f>
        <v>31</v>
      </c>
      <c r="C32" t="str">
        <f t="shared" si="0"/>
        <v>Unknown datum based upon the Struve 1860 ellipsoid</v>
      </c>
    </row>
    <row r="33" spans="1:3" x14ac:dyDescent="0.3">
      <c r="A33" t="s">
        <v>102</v>
      </c>
      <c r="B33">
        <f>IF(ISNUMBER(SEARCH(Form!$C$11,Tabel2[[#This Row],[Coordinate Projection System]])),MAX($B$1:B32)+1,0)</f>
        <v>32</v>
      </c>
      <c r="C33" t="str">
        <f t="shared" si="0"/>
        <v>Unknown datum based upon the War Office ellipsoid</v>
      </c>
    </row>
    <row r="34" spans="1:3" x14ac:dyDescent="0.3">
      <c r="A34" t="s">
        <v>103</v>
      </c>
      <c r="B34">
        <f>IF(ISNUMBER(SEARCH(Form!$C$11,Tabel2[[#This Row],[Coordinate Projection System]])),MAX($B$1:B33)+1,0)</f>
        <v>33</v>
      </c>
      <c r="C34" t="str">
        <f t="shared" si="0"/>
        <v>Unknown datum based upon the WGS 84 ellipsoid</v>
      </c>
    </row>
    <row r="35" spans="1:3" x14ac:dyDescent="0.3">
      <c r="A35" t="s">
        <v>104</v>
      </c>
      <c r="B35">
        <f>IF(ISNUMBER(SEARCH(Form!$C$11,Tabel2[[#This Row],[Coordinate Projection System]])),MAX($B$1:B34)+1,0)</f>
        <v>34</v>
      </c>
      <c r="C35" t="str">
        <f t="shared" si="0"/>
        <v>Unknown datum based upon the GEM 10C ellipsoid</v>
      </c>
    </row>
    <row r="36" spans="1:3" x14ac:dyDescent="0.3">
      <c r="A36" t="s">
        <v>105</v>
      </c>
      <c r="B36">
        <f>IF(ISNUMBER(SEARCH(Form!$C$11,Tabel2[[#This Row],[Coordinate Projection System]])),MAX($B$1:B35)+1,0)</f>
        <v>35</v>
      </c>
      <c r="C36" t="str">
        <f t="shared" si="0"/>
        <v>Unknown datum based upon the OSU86F ellipsoid</v>
      </c>
    </row>
    <row r="37" spans="1:3" x14ac:dyDescent="0.3">
      <c r="A37" t="s">
        <v>106</v>
      </c>
      <c r="B37">
        <f>IF(ISNUMBER(SEARCH(Form!$C$11,Tabel2[[#This Row],[Coordinate Projection System]])),MAX($B$1:B36)+1,0)</f>
        <v>36</v>
      </c>
      <c r="C37" t="str">
        <f t="shared" si="0"/>
        <v>Unknown datum based upon the OSU91A ellipsoid</v>
      </c>
    </row>
    <row r="38" spans="1:3" x14ac:dyDescent="0.3">
      <c r="A38" t="s">
        <v>107</v>
      </c>
      <c r="B38">
        <f>IF(ISNUMBER(SEARCH(Form!$C$11,Tabel2[[#This Row],[Coordinate Projection System]])),MAX($B$1:B37)+1,0)</f>
        <v>37</v>
      </c>
      <c r="C38" t="str">
        <f t="shared" si="0"/>
        <v>Unknown datum based upon the Clarke 1880 ellipsoid</v>
      </c>
    </row>
    <row r="39" spans="1:3" x14ac:dyDescent="0.3">
      <c r="A39" t="s">
        <v>108</v>
      </c>
      <c r="B39">
        <f>IF(ISNUMBER(SEARCH(Form!$C$11,Tabel2[[#This Row],[Coordinate Projection System]])),MAX($B$1:B38)+1,0)</f>
        <v>38</v>
      </c>
      <c r="C39" t="str">
        <f t="shared" si="0"/>
        <v>Unknown datum based upon the Authalic Sphere</v>
      </c>
    </row>
    <row r="40" spans="1:3" x14ac:dyDescent="0.3">
      <c r="A40" t="s">
        <v>109</v>
      </c>
      <c r="B40">
        <f>IF(ISNUMBER(SEARCH(Form!$C$11,Tabel2[[#This Row],[Coordinate Projection System]])),MAX($B$1:B39)+1,0)</f>
        <v>39</v>
      </c>
      <c r="C40" t="str">
        <f t="shared" si="0"/>
        <v>Unknown datum based upon the GRS 1967 ellipsoid</v>
      </c>
    </row>
    <row r="41" spans="1:3" x14ac:dyDescent="0.3">
      <c r="A41" t="s">
        <v>110</v>
      </c>
      <c r="B41">
        <f>IF(ISNUMBER(SEARCH(Form!$C$11,Tabel2[[#This Row],[Coordinate Projection System]])),MAX($B$1:B40)+1,0)</f>
        <v>40</v>
      </c>
      <c r="C41" t="str">
        <f t="shared" si="0"/>
        <v>Unknown datum based upon the Average Terrestrial System 1977 ellipsoid</v>
      </c>
    </row>
    <row r="42" spans="1:3" x14ac:dyDescent="0.3">
      <c r="A42" t="s">
        <v>111</v>
      </c>
      <c r="B42">
        <f>IF(ISNUMBER(SEARCH(Form!$C$11,Tabel2[[#This Row],[Coordinate Projection System]])),MAX($B$1:B41)+1,0)</f>
        <v>41</v>
      </c>
      <c r="C42" t="str">
        <f t="shared" si="0"/>
        <v>Unknown datum based upon the Everest (1830 Definition) ellipsoid</v>
      </c>
    </row>
    <row r="43" spans="1:3" x14ac:dyDescent="0.3">
      <c r="A43" t="s">
        <v>112</v>
      </c>
      <c r="B43">
        <f>IF(ISNUMBER(SEARCH(Form!$C$11,Tabel2[[#This Row],[Coordinate Projection System]])),MAX($B$1:B42)+1,0)</f>
        <v>42</v>
      </c>
      <c r="C43" t="str">
        <f t="shared" si="0"/>
        <v>Unknown datum based upon the WGS 72 ellipsoid</v>
      </c>
    </row>
    <row r="44" spans="1:3" x14ac:dyDescent="0.3">
      <c r="A44" t="s">
        <v>113</v>
      </c>
      <c r="B44">
        <f>IF(ISNUMBER(SEARCH(Form!$C$11,Tabel2[[#This Row],[Coordinate Projection System]])),MAX($B$1:B43)+1,0)</f>
        <v>43</v>
      </c>
      <c r="C44" t="str">
        <f t="shared" si="0"/>
        <v>Unknown datum based upon the Everest 1830 (1962 Definition) ellipsoid</v>
      </c>
    </row>
    <row r="45" spans="1:3" x14ac:dyDescent="0.3">
      <c r="A45" t="s">
        <v>114</v>
      </c>
      <c r="B45">
        <f>IF(ISNUMBER(SEARCH(Form!$C$11,Tabel2[[#This Row],[Coordinate Projection System]])),MAX($B$1:B44)+1,0)</f>
        <v>44</v>
      </c>
      <c r="C45" t="str">
        <f t="shared" si="0"/>
        <v>Unknown datum based upon the Everest 1830 (1975 Definition) ellipsoid</v>
      </c>
    </row>
    <row r="46" spans="1:3" x14ac:dyDescent="0.3">
      <c r="A46" t="s">
        <v>115</v>
      </c>
      <c r="B46">
        <f>IF(ISNUMBER(SEARCH(Form!$C$11,Tabel2[[#This Row],[Coordinate Projection System]])),MAX($B$1:B45)+1,0)</f>
        <v>45</v>
      </c>
      <c r="C46" t="str">
        <f t="shared" si="0"/>
        <v>RGRDC 2005</v>
      </c>
    </row>
    <row r="47" spans="1:3" x14ac:dyDescent="0.3">
      <c r="A47" t="s">
        <v>116</v>
      </c>
      <c r="B47">
        <f>IF(ISNUMBER(SEARCH(Form!$C$11,Tabel2[[#This Row],[Coordinate Projection System]])),MAX($B$1:B46)+1,0)</f>
        <v>46</v>
      </c>
      <c r="C47" t="str">
        <f t="shared" si="0"/>
        <v>Unspecified datum based upon the GRS 1980 Authalic Sphere</v>
      </c>
    </row>
    <row r="48" spans="1:3" x14ac:dyDescent="0.3">
      <c r="A48" t="s">
        <v>117</v>
      </c>
      <c r="B48">
        <f>IF(ISNUMBER(SEARCH(Form!$C$11,Tabel2[[#This Row],[Coordinate Projection System]])),MAX($B$1:B47)+1,0)</f>
        <v>47</v>
      </c>
      <c r="C48" t="str">
        <f t="shared" si="0"/>
        <v>Unspecified datum based upon the Clarke 1866 Authalic Sphere</v>
      </c>
    </row>
    <row r="49" spans="1:3" x14ac:dyDescent="0.3">
      <c r="A49" t="s">
        <v>118</v>
      </c>
      <c r="B49">
        <f>IF(ISNUMBER(SEARCH(Form!$C$11,Tabel2[[#This Row],[Coordinate Projection System]])),MAX($B$1:B48)+1,0)</f>
        <v>48</v>
      </c>
      <c r="C49" t="str">
        <f t="shared" si="0"/>
        <v>Unspecified datum based upon the International 1924 Authalic Sphere</v>
      </c>
    </row>
    <row r="50" spans="1:3" x14ac:dyDescent="0.3">
      <c r="A50" t="s">
        <v>119</v>
      </c>
      <c r="B50">
        <f>IF(ISNUMBER(SEARCH(Form!$C$11,Tabel2[[#This Row],[Coordinate Projection System]])),MAX($B$1:B49)+1,0)</f>
        <v>49</v>
      </c>
      <c r="C50" t="str">
        <f t="shared" si="0"/>
        <v>Unspecified datum based upon the Hughes 1980 ellipsoid</v>
      </c>
    </row>
    <row r="51" spans="1:3" x14ac:dyDescent="0.3">
      <c r="A51" t="s">
        <v>120</v>
      </c>
      <c r="B51">
        <f>IF(ISNUMBER(SEARCH(Form!$C$11,Tabel2[[#This Row],[Coordinate Projection System]])),MAX($B$1:B50)+1,0)</f>
        <v>50</v>
      </c>
      <c r="C51" t="str">
        <f t="shared" si="0"/>
        <v>Popular Visualisation CRS</v>
      </c>
    </row>
    <row r="52" spans="1:3" x14ac:dyDescent="0.3">
      <c r="A52" t="s">
        <v>121</v>
      </c>
      <c r="B52">
        <f>IF(ISNUMBER(SEARCH(Form!$C$11,Tabel2[[#This Row],[Coordinate Projection System]])),MAX($B$1:B51)+1,0)</f>
        <v>51</v>
      </c>
      <c r="C52" t="str">
        <f t="shared" si="0"/>
        <v>SREF98</v>
      </c>
    </row>
    <row r="53" spans="1:3" x14ac:dyDescent="0.3">
      <c r="A53" t="s">
        <v>122</v>
      </c>
      <c r="B53">
        <f>IF(ISNUMBER(SEARCH(Form!$C$11,Tabel2[[#This Row],[Coordinate Projection System]])),MAX($B$1:B52)+1,0)</f>
        <v>52</v>
      </c>
      <c r="C53" t="str">
        <f t="shared" si="0"/>
        <v>REGCAN95</v>
      </c>
    </row>
    <row r="54" spans="1:3" x14ac:dyDescent="0.3">
      <c r="A54" t="s">
        <v>123</v>
      </c>
      <c r="B54">
        <f>IF(ISNUMBER(SEARCH(Form!$C$11,Tabel2[[#This Row],[Coordinate Projection System]])),MAX($B$1:B53)+1,0)</f>
        <v>53</v>
      </c>
      <c r="C54" t="str">
        <f t="shared" si="0"/>
        <v>Greek</v>
      </c>
    </row>
    <row r="55" spans="1:3" x14ac:dyDescent="0.3">
      <c r="A55" t="s">
        <v>124</v>
      </c>
      <c r="B55">
        <f>IF(ISNUMBER(SEARCH(Form!$C$11,Tabel2[[#This Row],[Coordinate Projection System]])),MAX($B$1:B54)+1,0)</f>
        <v>54</v>
      </c>
      <c r="C55" t="str">
        <f t="shared" si="0"/>
        <v>GGRS87</v>
      </c>
    </row>
    <row r="56" spans="1:3" x14ac:dyDescent="0.3">
      <c r="A56" t="s">
        <v>125</v>
      </c>
      <c r="B56">
        <f>IF(ISNUMBER(SEARCH(Form!$C$11,Tabel2[[#This Row],[Coordinate Projection System]])),MAX($B$1:B55)+1,0)</f>
        <v>55</v>
      </c>
      <c r="C56" t="str">
        <f t="shared" si="0"/>
        <v>ATS77</v>
      </c>
    </row>
    <row r="57" spans="1:3" x14ac:dyDescent="0.3">
      <c r="A57" t="s">
        <v>126</v>
      </c>
      <c r="B57">
        <f>IF(ISNUMBER(SEARCH(Form!$C$11,Tabel2[[#This Row],[Coordinate Projection System]])),MAX($B$1:B56)+1,0)</f>
        <v>56</v>
      </c>
      <c r="C57" t="str">
        <f t="shared" si="0"/>
        <v>KKJ</v>
      </c>
    </row>
    <row r="58" spans="1:3" x14ac:dyDescent="0.3">
      <c r="A58" t="s">
        <v>127</v>
      </c>
      <c r="B58">
        <f>IF(ISNUMBER(SEARCH(Form!$C$11,Tabel2[[#This Row],[Coordinate Projection System]])),MAX($B$1:B57)+1,0)</f>
        <v>57</v>
      </c>
      <c r="C58" t="str">
        <f t="shared" si="0"/>
        <v>RT90</v>
      </c>
    </row>
    <row r="59" spans="1:3" x14ac:dyDescent="0.3">
      <c r="A59" t="s">
        <v>128</v>
      </c>
      <c r="B59">
        <f>IF(ISNUMBER(SEARCH(Form!$C$11,Tabel2[[#This Row],[Coordinate Projection System]])),MAX($B$1:B58)+1,0)</f>
        <v>58</v>
      </c>
      <c r="C59" t="str">
        <f t="shared" si="0"/>
        <v>Samboja</v>
      </c>
    </row>
    <row r="60" spans="1:3" x14ac:dyDescent="0.3">
      <c r="A60" t="s">
        <v>129</v>
      </c>
      <c r="B60">
        <f>IF(ISNUMBER(SEARCH(Form!$C$11,Tabel2[[#This Row],[Coordinate Projection System]])),MAX($B$1:B59)+1,0)</f>
        <v>59</v>
      </c>
      <c r="C60" t="str">
        <f t="shared" si="0"/>
        <v>LKS94 (ETRS89)</v>
      </c>
    </row>
    <row r="61" spans="1:3" x14ac:dyDescent="0.3">
      <c r="A61" t="s">
        <v>130</v>
      </c>
      <c r="B61">
        <f>IF(ISNUMBER(SEARCH(Form!$C$11,Tabel2[[#This Row],[Coordinate Projection System]])),MAX($B$1:B60)+1,0)</f>
        <v>60</v>
      </c>
      <c r="C61" t="str">
        <f t="shared" si="0"/>
        <v>Tete</v>
      </c>
    </row>
    <row r="62" spans="1:3" x14ac:dyDescent="0.3">
      <c r="A62" t="s">
        <v>131</v>
      </c>
      <c r="B62">
        <f>IF(ISNUMBER(SEARCH(Form!$C$11,Tabel2[[#This Row],[Coordinate Projection System]])),MAX($B$1:B61)+1,0)</f>
        <v>61</v>
      </c>
      <c r="C62" t="str">
        <f t="shared" si="0"/>
        <v>Madzansua</v>
      </c>
    </row>
    <row r="63" spans="1:3" x14ac:dyDescent="0.3">
      <c r="A63" t="s">
        <v>132</v>
      </c>
      <c r="B63">
        <f>IF(ISNUMBER(SEARCH(Form!$C$11,Tabel2[[#This Row],[Coordinate Projection System]])),MAX($B$1:B62)+1,0)</f>
        <v>62</v>
      </c>
      <c r="C63" t="str">
        <f t="shared" si="0"/>
        <v>Observatario</v>
      </c>
    </row>
    <row r="64" spans="1:3" x14ac:dyDescent="0.3">
      <c r="A64" t="s">
        <v>133</v>
      </c>
      <c r="B64">
        <f>IF(ISNUMBER(SEARCH(Form!$C$11,Tabel2[[#This Row],[Coordinate Projection System]])),MAX($B$1:B63)+1,0)</f>
        <v>63</v>
      </c>
      <c r="C64" t="str">
        <f t="shared" si="0"/>
        <v>Moznet</v>
      </c>
    </row>
    <row r="65" spans="1:3" x14ac:dyDescent="0.3">
      <c r="A65" t="s">
        <v>134</v>
      </c>
      <c r="B65">
        <f>IF(ISNUMBER(SEARCH(Form!$C$11,Tabel2[[#This Row],[Coordinate Projection System]])),MAX($B$1:B64)+1,0)</f>
        <v>64</v>
      </c>
      <c r="C65" t="str">
        <f t="shared" si="0"/>
        <v>Indian 1960</v>
      </c>
    </row>
    <row r="66" spans="1:3" x14ac:dyDescent="0.3">
      <c r="A66" t="s">
        <v>135</v>
      </c>
      <c r="B66">
        <f>IF(ISNUMBER(SEARCH(Form!$C$11,Tabel2[[#This Row],[Coordinate Projection System]])),MAX($B$1:B65)+1,0)</f>
        <v>65</v>
      </c>
      <c r="C66" t="str">
        <f t="shared" si="0"/>
        <v>FD58</v>
      </c>
    </row>
    <row r="67" spans="1:3" x14ac:dyDescent="0.3">
      <c r="A67" t="s">
        <v>136</v>
      </c>
      <c r="B67">
        <f>IF(ISNUMBER(SEARCH(Form!$C$11,Tabel2[[#This Row],[Coordinate Projection System]])),MAX($B$1:B66)+1,0)</f>
        <v>66</v>
      </c>
      <c r="C67" t="str">
        <f t="shared" ref="C67:C130" si="1">_xlfn.IFNA(INDEX(A67:A5578,MATCH(ROW(C66),B67:B5578,0)),"")</f>
        <v>EST92</v>
      </c>
    </row>
    <row r="68" spans="1:3" x14ac:dyDescent="0.3">
      <c r="A68" t="s">
        <v>137</v>
      </c>
      <c r="B68">
        <f>IF(ISNUMBER(SEARCH(Form!$C$11,Tabel2[[#This Row],[Coordinate Projection System]])),MAX($B$1:B67)+1,0)</f>
        <v>67</v>
      </c>
      <c r="C68" t="str">
        <f t="shared" si="1"/>
        <v>PSD93</v>
      </c>
    </row>
    <row r="69" spans="1:3" x14ac:dyDescent="0.3">
      <c r="A69" t="s">
        <v>138</v>
      </c>
      <c r="B69">
        <f>IF(ISNUMBER(SEARCH(Form!$C$11,Tabel2[[#This Row],[Coordinate Projection System]])),MAX($B$1:B68)+1,0)</f>
        <v>68</v>
      </c>
      <c r="C69" t="str">
        <f t="shared" si="1"/>
        <v>Old Hawaiian</v>
      </c>
    </row>
    <row r="70" spans="1:3" x14ac:dyDescent="0.3">
      <c r="A70" t="s">
        <v>139</v>
      </c>
      <c r="B70">
        <f>IF(ISNUMBER(SEARCH(Form!$C$11,Tabel2[[#This Row],[Coordinate Projection System]])),MAX($B$1:B69)+1,0)</f>
        <v>69</v>
      </c>
      <c r="C70" t="str">
        <f t="shared" si="1"/>
        <v>St. Lawrence Island</v>
      </c>
    </row>
    <row r="71" spans="1:3" x14ac:dyDescent="0.3">
      <c r="A71" t="s">
        <v>140</v>
      </c>
      <c r="B71">
        <f>IF(ISNUMBER(SEARCH(Form!$C$11,Tabel2[[#This Row],[Coordinate Projection System]])),MAX($B$1:B70)+1,0)</f>
        <v>70</v>
      </c>
      <c r="C71" t="str">
        <f t="shared" si="1"/>
        <v>St. Paul Island</v>
      </c>
    </row>
    <row r="72" spans="1:3" x14ac:dyDescent="0.3">
      <c r="A72" t="s">
        <v>141</v>
      </c>
      <c r="B72">
        <f>IF(ISNUMBER(SEARCH(Form!$C$11,Tabel2[[#This Row],[Coordinate Projection System]])),MAX($B$1:B71)+1,0)</f>
        <v>71</v>
      </c>
      <c r="C72" t="str">
        <f t="shared" si="1"/>
        <v>St. George Island</v>
      </c>
    </row>
    <row r="73" spans="1:3" x14ac:dyDescent="0.3">
      <c r="A73" t="s">
        <v>142</v>
      </c>
      <c r="B73">
        <f>IF(ISNUMBER(SEARCH(Form!$C$11,Tabel2[[#This Row],[Coordinate Projection System]])),MAX($B$1:B72)+1,0)</f>
        <v>72</v>
      </c>
      <c r="C73" t="str">
        <f t="shared" si="1"/>
        <v>Puerto Rico</v>
      </c>
    </row>
    <row r="74" spans="1:3" x14ac:dyDescent="0.3">
      <c r="A74" t="s">
        <v>143</v>
      </c>
      <c r="B74">
        <f>IF(ISNUMBER(SEARCH(Form!$C$11,Tabel2[[#This Row],[Coordinate Projection System]])),MAX($B$1:B73)+1,0)</f>
        <v>73</v>
      </c>
      <c r="C74" t="str">
        <f t="shared" si="1"/>
        <v>NAD83(CSRS98)</v>
      </c>
    </row>
    <row r="75" spans="1:3" x14ac:dyDescent="0.3">
      <c r="A75" t="s">
        <v>144</v>
      </c>
      <c r="B75">
        <f>IF(ISNUMBER(SEARCH(Form!$C$11,Tabel2[[#This Row],[Coordinate Projection System]])),MAX($B$1:B74)+1,0)</f>
        <v>74</v>
      </c>
      <c r="C75" t="str">
        <f t="shared" si="1"/>
        <v>Israel 1993</v>
      </c>
    </row>
    <row r="76" spans="1:3" x14ac:dyDescent="0.3">
      <c r="A76" t="s">
        <v>145</v>
      </c>
      <c r="B76">
        <f>IF(ISNUMBER(SEARCH(Form!$C$11,Tabel2[[#This Row],[Coordinate Projection System]])),MAX($B$1:B75)+1,0)</f>
        <v>75</v>
      </c>
      <c r="C76" t="str">
        <f t="shared" si="1"/>
        <v>Locodjo 1965</v>
      </c>
    </row>
    <row r="77" spans="1:3" x14ac:dyDescent="0.3">
      <c r="A77" t="s">
        <v>146</v>
      </c>
      <c r="B77">
        <f>IF(ISNUMBER(SEARCH(Form!$C$11,Tabel2[[#This Row],[Coordinate Projection System]])),MAX($B$1:B76)+1,0)</f>
        <v>76</v>
      </c>
      <c r="C77" t="str">
        <f t="shared" si="1"/>
        <v>Abidjan 1987</v>
      </c>
    </row>
    <row r="78" spans="1:3" x14ac:dyDescent="0.3">
      <c r="A78" t="s">
        <v>147</v>
      </c>
      <c r="B78">
        <f>IF(ISNUMBER(SEARCH(Form!$C$11,Tabel2[[#This Row],[Coordinate Projection System]])),MAX($B$1:B77)+1,0)</f>
        <v>77</v>
      </c>
      <c r="C78" t="str">
        <f t="shared" si="1"/>
        <v>Kalianpur 1937</v>
      </c>
    </row>
    <row r="79" spans="1:3" x14ac:dyDescent="0.3">
      <c r="A79" t="s">
        <v>148</v>
      </c>
      <c r="B79">
        <f>IF(ISNUMBER(SEARCH(Form!$C$11,Tabel2[[#This Row],[Coordinate Projection System]])),MAX($B$1:B78)+1,0)</f>
        <v>78</v>
      </c>
      <c r="C79" t="str">
        <f t="shared" si="1"/>
        <v>Kalianpur 1962</v>
      </c>
    </row>
    <row r="80" spans="1:3" x14ac:dyDescent="0.3">
      <c r="A80" t="s">
        <v>149</v>
      </c>
      <c r="B80">
        <f>IF(ISNUMBER(SEARCH(Form!$C$11,Tabel2[[#This Row],[Coordinate Projection System]])),MAX($B$1:B79)+1,0)</f>
        <v>79</v>
      </c>
      <c r="C80" t="str">
        <f t="shared" si="1"/>
        <v>Kalianpur 1975</v>
      </c>
    </row>
    <row r="81" spans="1:3" x14ac:dyDescent="0.3">
      <c r="A81" t="s">
        <v>150</v>
      </c>
      <c r="B81">
        <f>IF(ISNUMBER(SEARCH(Form!$C$11,Tabel2[[#This Row],[Coordinate Projection System]])),MAX($B$1:B80)+1,0)</f>
        <v>80</v>
      </c>
      <c r="C81" t="str">
        <f t="shared" si="1"/>
        <v>Hanoi 1972</v>
      </c>
    </row>
    <row r="82" spans="1:3" x14ac:dyDescent="0.3">
      <c r="A82" t="s">
        <v>151</v>
      </c>
      <c r="B82">
        <f>IF(ISNUMBER(SEARCH(Form!$C$11,Tabel2[[#This Row],[Coordinate Projection System]])),MAX($B$1:B81)+1,0)</f>
        <v>81</v>
      </c>
      <c r="C82" t="str">
        <f t="shared" si="1"/>
        <v>Hartebeesthoek94</v>
      </c>
    </row>
    <row r="83" spans="1:3" x14ac:dyDescent="0.3">
      <c r="A83" t="s">
        <v>152</v>
      </c>
      <c r="B83">
        <f>IF(ISNUMBER(SEARCH(Form!$C$11,Tabel2[[#This Row],[Coordinate Projection System]])),MAX($B$1:B82)+1,0)</f>
        <v>82</v>
      </c>
      <c r="C83" t="str">
        <f t="shared" si="1"/>
        <v>CH1903</v>
      </c>
    </row>
    <row r="84" spans="1:3" x14ac:dyDescent="0.3">
      <c r="A84" t="s">
        <v>153</v>
      </c>
      <c r="B84">
        <f>IF(ISNUMBER(SEARCH(Form!$C$11,Tabel2[[#This Row],[Coordinate Projection System]])),MAX($B$1:B83)+1,0)</f>
        <v>83</v>
      </c>
      <c r="C84" t="str">
        <f t="shared" si="1"/>
        <v>CH1903+</v>
      </c>
    </row>
    <row r="85" spans="1:3" x14ac:dyDescent="0.3">
      <c r="A85" t="s">
        <v>154</v>
      </c>
      <c r="B85">
        <f>IF(ISNUMBER(SEARCH(Form!$C$11,Tabel2[[#This Row],[Coordinate Projection System]])),MAX($B$1:B84)+1,0)</f>
        <v>84</v>
      </c>
      <c r="C85" t="str">
        <f t="shared" si="1"/>
        <v>CHTRF95</v>
      </c>
    </row>
    <row r="86" spans="1:3" x14ac:dyDescent="0.3">
      <c r="A86" t="s">
        <v>155</v>
      </c>
      <c r="B86">
        <f>IF(ISNUMBER(SEARCH(Form!$C$11,Tabel2[[#This Row],[Coordinate Projection System]])),MAX($B$1:B85)+1,0)</f>
        <v>85</v>
      </c>
      <c r="C86" t="str">
        <f t="shared" si="1"/>
        <v>NAD83(HARN)</v>
      </c>
    </row>
    <row r="87" spans="1:3" x14ac:dyDescent="0.3">
      <c r="A87" t="s">
        <v>156</v>
      </c>
      <c r="B87">
        <f>IF(ISNUMBER(SEARCH(Form!$C$11,Tabel2[[#This Row],[Coordinate Projection System]])),MAX($B$1:B86)+1,0)</f>
        <v>86</v>
      </c>
      <c r="C87" t="str">
        <f t="shared" si="1"/>
        <v>Rassadiran</v>
      </c>
    </row>
    <row r="88" spans="1:3" x14ac:dyDescent="0.3">
      <c r="A88" t="s">
        <v>157</v>
      </c>
      <c r="B88">
        <f>IF(ISNUMBER(SEARCH(Form!$C$11,Tabel2[[#This Row],[Coordinate Projection System]])),MAX($B$1:B87)+1,0)</f>
        <v>87</v>
      </c>
      <c r="C88" t="str">
        <f t="shared" si="1"/>
        <v>ED50(ED77)</v>
      </c>
    </row>
    <row r="89" spans="1:3" x14ac:dyDescent="0.3">
      <c r="A89" t="s">
        <v>158</v>
      </c>
      <c r="B89">
        <f>IF(ISNUMBER(SEARCH(Form!$C$11,Tabel2[[#This Row],[Coordinate Projection System]])),MAX($B$1:B88)+1,0)</f>
        <v>88</v>
      </c>
      <c r="C89" t="str">
        <f t="shared" si="1"/>
        <v>Dabola 1981</v>
      </c>
    </row>
    <row r="90" spans="1:3" x14ac:dyDescent="0.3">
      <c r="A90" t="s">
        <v>159</v>
      </c>
      <c r="B90">
        <f>IF(ISNUMBER(SEARCH(Form!$C$11,Tabel2[[#This Row],[Coordinate Projection System]])),MAX($B$1:B89)+1,0)</f>
        <v>89</v>
      </c>
      <c r="C90" t="str">
        <f t="shared" si="1"/>
        <v>S-JTSK</v>
      </c>
    </row>
    <row r="91" spans="1:3" x14ac:dyDescent="0.3">
      <c r="A91" t="s">
        <v>160</v>
      </c>
      <c r="B91">
        <f>IF(ISNUMBER(SEARCH(Form!$C$11,Tabel2[[#This Row],[Coordinate Projection System]])),MAX($B$1:B90)+1,0)</f>
        <v>90</v>
      </c>
      <c r="C91" t="str">
        <f t="shared" si="1"/>
        <v>Mount Dillon</v>
      </c>
    </row>
    <row r="92" spans="1:3" x14ac:dyDescent="0.3">
      <c r="A92" t="s">
        <v>161</v>
      </c>
      <c r="B92">
        <f>IF(ISNUMBER(SEARCH(Form!$C$11,Tabel2[[#This Row],[Coordinate Projection System]])),MAX($B$1:B91)+1,0)</f>
        <v>91</v>
      </c>
      <c r="C92" t="str">
        <f t="shared" si="1"/>
        <v>Naparima 1955</v>
      </c>
    </row>
    <row r="93" spans="1:3" x14ac:dyDescent="0.3">
      <c r="A93" t="s">
        <v>162</v>
      </c>
      <c r="B93">
        <f>IF(ISNUMBER(SEARCH(Form!$C$11,Tabel2[[#This Row],[Coordinate Projection System]])),MAX($B$1:B92)+1,0)</f>
        <v>92</v>
      </c>
      <c r="C93" t="str">
        <f t="shared" si="1"/>
        <v>ELD79</v>
      </c>
    </row>
    <row r="94" spans="1:3" x14ac:dyDescent="0.3">
      <c r="A94" t="s">
        <v>163</v>
      </c>
      <c r="B94">
        <f>IF(ISNUMBER(SEARCH(Form!$C$11,Tabel2[[#This Row],[Coordinate Projection System]])),MAX($B$1:B93)+1,0)</f>
        <v>93</v>
      </c>
      <c r="C94" t="str">
        <f t="shared" si="1"/>
        <v>Chos Malal 1914</v>
      </c>
    </row>
    <row r="95" spans="1:3" x14ac:dyDescent="0.3">
      <c r="A95" t="s">
        <v>164</v>
      </c>
      <c r="B95">
        <f>IF(ISNUMBER(SEARCH(Form!$C$11,Tabel2[[#This Row],[Coordinate Projection System]])),MAX($B$1:B94)+1,0)</f>
        <v>94</v>
      </c>
      <c r="C95" t="str">
        <f t="shared" si="1"/>
        <v>Pampa del Castillo</v>
      </c>
    </row>
    <row r="96" spans="1:3" x14ac:dyDescent="0.3">
      <c r="A96" t="s">
        <v>165</v>
      </c>
      <c r="B96">
        <f>IF(ISNUMBER(SEARCH(Form!$C$11,Tabel2[[#This Row],[Coordinate Projection System]])),MAX($B$1:B95)+1,0)</f>
        <v>95</v>
      </c>
      <c r="C96" t="str">
        <f t="shared" si="1"/>
        <v>Korean 1985</v>
      </c>
    </row>
    <row r="97" spans="1:3" x14ac:dyDescent="0.3">
      <c r="A97" t="s">
        <v>166</v>
      </c>
      <c r="B97">
        <f>IF(ISNUMBER(SEARCH(Form!$C$11,Tabel2[[#This Row],[Coordinate Projection System]])),MAX($B$1:B96)+1,0)</f>
        <v>96</v>
      </c>
      <c r="C97" t="str">
        <f t="shared" si="1"/>
        <v>Yemen NGN96</v>
      </c>
    </row>
    <row r="98" spans="1:3" x14ac:dyDescent="0.3">
      <c r="A98" t="s">
        <v>167</v>
      </c>
      <c r="B98">
        <f>IF(ISNUMBER(SEARCH(Form!$C$11,Tabel2[[#This Row],[Coordinate Projection System]])),MAX($B$1:B97)+1,0)</f>
        <v>97</v>
      </c>
      <c r="C98" t="str">
        <f t="shared" si="1"/>
        <v>South Yemen</v>
      </c>
    </row>
    <row r="99" spans="1:3" x14ac:dyDescent="0.3">
      <c r="A99" t="s">
        <v>168</v>
      </c>
      <c r="B99">
        <f>IF(ISNUMBER(SEARCH(Form!$C$11,Tabel2[[#This Row],[Coordinate Projection System]])),MAX($B$1:B98)+1,0)</f>
        <v>98</v>
      </c>
      <c r="C99" t="str">
        <f t="shared" si="1"/>
        <v>Bissau</v>
      </c>
    </row>
    <row r="100" spans="1:3" x14ac:dyDescent="0.3">
      <c r="A100" t="s">
        <v>169</v>
      </c>
      <c r="B100">
        <f>IF(ISNUMBER(SEARCH(Form!$C$11,Tabel2[[#This Row],[Coordinate Projection System]])),MAX($B$1:B99)+1,0)</f>
        <v>99</v>
      </c>
      <c r="C100" t="str">
        <f t="shared" si="1"/>
        <v>Korean 1995</v>
      </c>
    </row>
    <row r="101" spans="1:3" x14ac:dyDescent="0.3">
      <c r="A101" t="s">
        <v>170</v>
      </c>
      <c r="B101">
        <f>IF(ISNUMBER(SEARCH(Form!$C$11,Tabel2[[#This Row],[Coordinate Projection System]])),MAX($B$1:B100)+1,0)</f>
        <v>100</v>
      </c>
      <c r="C101" t="str">
        <f t="shared" si="1"/>
        <v>NZGD2000</v>
      </c>
    </row>
    <row r="102" spans="1:3" x14ac:dyDescent="0.3">
      <c r="A102" t="s">
        <v>171</v>
      </c>
      <c r="B102">
        <f>IF(ISNUMBER(SEARCH(Form!$C$11,Tabel2[[#This Row],[Coordinate Projection System]])),MAX($B$1:B101)+1,0)</f>
        <v>101</v>
      </c>
      <c r="C102" t="str">
        <f t="shared" si="1"/>
        <v>Accra</v>
      </c>
    </row>
    <row r="103" spans="1:3" x14ac:dyDescent="0.3">
      <c r="A103" t="s">
        <v>172</v>
      </c>
      <c r="B103">
        <f>IF(ISNUMBER(SEARCH(Form!$C$11,Tabel2[[#This Row],[Coordinate Projection System]])),MAX($B$1:B102)+1,0)</f>
        <v>102</v>
      </c>
      <c r="C103" t="str">
        <f t="shared" si="1"/>
        <v>American Samoa 1962</v>
      </c>
    </row>
    <row r="104" spans="1:3" x14ac:dyDescent="0.3">
      <c r="A104" t="s">
        <v>173</v>
      </c>
      <c r="B104">
        <f>IF(ISNUMBER(SEARCH(Form!$C$11,Tabel2[[#This Row],[Coordinate Projection System]])),MAX($B$1:B103)+1,0)</f>
        <v>103</v>
      </c>
      <c r="C104" t="str">
        <f t="shared" si="1"/>
        <v>SIRGAS 1995</v>
      </c>
    </row>
    <row r="105" spans="1:3" x14ac:dyDescent="0.3">
      <c r="A105" t="s">
        <v>174</v>
      </c>
      <c r="B105">
        <f>IF(ISNUMBER(SEARCH(Form!$C$11,Tabel2[[#This Row],[Coordinate Projection System]])),MAX($B$1:B104)+1,0)</f>
        <v>104</v>
      </c>
      <c r="C105" t="str">
        <f t="shared" si="1"/>
        <v>RGF93</v>
      </c>
    </row>
    <row r="106" spans="1:3" x14ac:dyDescent="0.3">
      <c r="A106" t="s">
        <v>175</v>
      </c>
      <c r="B106">
        <f>IF(ISNUMBER(SEARCH(Form!$C$11,Tabel2[[#This Row],[Coordinate Projection System]])),MAX($B$1:B105)+1,0)</f>
        <v>105</v>
      </c>
      <c r="C106" t="str">
        <f t="shared" si="1"/>
        <v>POSGAR</v>
      </c>
    </row>
    <row r="107" spans="1:3" x14ac:dyDescent="0.3">
      <c r="A107" t="s">
        <v>176</v>
      </c>
      <c r="B107">
        <f>IF(ISNUMBER(SEARCH(Form!$C$11,Tabel2[[#This Row],[Coordinate Projection System]])),MAX($B$1:B106)+1,0)</f>
        <v>106</v>
      </c>
      <c r="C107" t="str">
        <f t="shared" si="1"/>
        <v>IRENET95</v>
      </c>
    </row>
    <row r="108" spans="1:3" x14ac:dyDescent="0.3">
      <c r="A108" t="s">
        <v>177</v>
      </c>
      <c r="B108">
        <f>IF(ISNUMBER(SEARCH(Form!$C$11,Tabel2[[#This Row],[Coordinate Projection System]])),MAX($B$1:B107)+1,0)</f>
        <v>107</v>
      </c>
      <c r="C108" t="str">
        <f t="shared" si="1"/>
        <v>Sierra Leone 1924</v>
      </c>
    </row>
    <row r="109" spans="1:3" x14ac:dyDescent="0.3">
      <c r="A109" t="s">
        <v>178</v>
      </c>
      <c r="B109">
        <f>IF(ISNUMBER(SEARCH(Form!$C$11,Tabel2[[#This Row],[Coordinate Projection System]])),MAX($B$1:B108)+1,0)</f>
        <v>108</v>
      </c>
      <c r="C109" t="str">
        <f t="shared" si="1"/>
        <v>Sierra Leone 1968</v>
      </c>
    </row>
    <row r="110" spans="1:3" x14ac:dyDescent="0.3">
      <c r="A110" t="s">
        <v>179</v>
      </c>
      <c r="B110">
        <f>IF(ISNUMBER(SEARCH(Form!$C$11,Tabel2[[#This Row],[Coordinate Projection System]])),MAX($B$1:B109)+1,0)</f>
        <v>109</v>
      </c>
      <c r="C110" t="str">
        <f t="shared" si="1"/>
        <v>Australian Antarctic</v>
      </c>
    </row>
    <row r="111" spans="1:3" x14ac:dyDescent="0.3">
      <c r="A111" t="s">
        <v>180</v>
      </c>
      <c r="B111">
        <f>IF(ISNUMBER(SEARCH(Form!$C$11,Tabel2[[#This Row],[Coordinate Projection System]])),MAX($B$1:B110)+1,0)</f>
        <v>110</v>
      </c>
      <c r="C111" t="str">
        <f t="shared" si="1"/>
        <v>Pulkovo 1942(83)</v>
      </c>
    </row>
    <row r="112" spans="1:3" x14ac:dyDescent="0.3">
      <c r="A112" t="s">
        <v>181</v>
      </c>
      <c r="B112">
        <f>IF(ISNUMBER(SEARCH(Form!$C$11,Tabel2[[#This Row],[Coordinate Projection System]])),MAX($B$1:B111)+1,0)</f>
        <v>111</v>
      </c>
      <c r="C112" t="str">
        <f t="shared" si="1"/>
        <v>Pulkovo 1942(58)</v>
      </c>
    </row>
    <row r="113" spans="1:3" x14ac:dyDescent="0.3">
      <c r="A113" t="s">
        <v>182</v>
      </c>
      <c r="B113">
        <f>IF(ISNUMBER(SEARCH(Form!$C$11,Tabel2[[#This Row],[Coordinate Projection System]])),MAX($B$1:B112)+1,0)</f>
        <v>112</v>
      </c>
      <c r="C113" t="str">
        <f t="shared" si="1"/>
        <v>EST97</v>
      </c>
    </row>
    <row r="114" spans="1:3" x14ac:dyDescent="0.3">
      <c r="A114" t="s">
        <v>183</v>
      </c>
      <c r="B114">
        <f>IF(ISNUMBER(SEARCH(Form!$C$11,Tabel2[[#This Row],[Coordinate Projection System]])),MAX($B$1:B113)+1,0)</f>
        <v>113</v>
      </c>
      <c r="C114" t="str">
        <f t="shared" si="1"/>
        <v>Luxembourg 1930</v>
      </c>
    </row>
    <row r="115" spans="1:3" x14ac:dyDescent="0.3">
      <c r="A115" t="s">
        <v>184</v>
      </c>
      <c r="B115">
        <f>IF(ISNUMBER(SEARCH(Form!$C$11,Tabel2[[#This Row],[Coordinate Projection System]])),MAX($B$1:B114)+1,0)</f>
        <v>114</v>
      </c>
      <c r="C115" t="str">
        <f t="shared" si="1"/>
        <v>Azores Occidental 1939</v>
      </c>
    </row>
    <row r="116" spans="1:3" x14ac:dyDescent="0.3">
      <c r="A116" t="s">
        <v>185</v>
      </c>
      <c r="B116">
        <f>IF(ISNUMBER(SEARCH(Form!$C$11,Tabel2[[#This Row],[Coordinate Projection System]])),MAX($B$1:B115)+1,0)</f>
        <v>115</v>
      </c>
      <c r="C116" t="str">
        <f t="shared" si="1"/>
        <v>Azores Central 1948</v>
      </c>
    </row>
    <row r="117" spans="1:3" x14ac:dyDescent="0.3">
      <c r="A117" t="s">
        <v>186</v>
      </c>
      <c r="B117">
        <f>IF(ISNUMBER(SEARCH(Form!$C$11,Tabel2[[#This Row],[Coordinate Projection System]])),MAX($B$1:B116)+1,0)</f>
        <v>116</v>
      </c>
      <c r="C117" t="str">
        <f t="shared" si="1"/>
        <v>Azores Oriental 1940</v>
      </c>
    </row>
    <row r="118" spans="1:3" x14ac:dyDescent="0.3">
      <c r="A118" t="s">
        <v>187</v>
      </c>
      <c r="B118">
        <f>IF(ISNUMBER(SEARCH(Form!$C$11,Tabel2[[#This Row],[Coordinate Projection System]])),MAX($B$1:B117)+1,0)</f>
        <v>117</v>
      </c>
      <c r="C118" t="str">
        <f t="shared" si="1"/>
        <v>Madeira 1936</v>
      </c>
    </row>
    <row r="119" spans="1:3" x14ac:dyDescent="0.3">
      <c r="A119" t="s">
        <v>188</v>
      </c>
      <c r="B119">
        <f>IF(ISNUMBER(SEARCH(Form!$C$11,Tabel2[[#This Row],[Coordinate Projection System]])),MAX($B$1:B118)+1,0)</f>
        <v>118</v>
      </c>
      <c r="C119" t="str">
        <f t="shared" si="1"/>
        <v>OSNI 1952</v>
      </c>
    </row>
    <row r="120" spans="1:3" x14ac:dyDescent="0.3">
      <c r="A120" t="s">
        <v>189</v>
      </c>
      <c r="B120">
        <f>IF(ISNUMBER(SEARCH(Form!$C$11,Tabel2[[#This Row],[Coordinate Projection System]])),MAX($B$1:B119)+1,0)</f>
        <v>119</v>
      </c>
      <c r="C120" t="str">
        <f t="shared" si="1"/>
        <v>REGVEN</v>
      </c>
    </row>
    <row r="121" spans="1:3" x14ac:dyDescent="0.3">
      <c r="A121" t="s">
        <v>190</v>
      </c>
      <c r="B121">
        <f>IF(ISNUMBER(SEARCH(Form!$C$11,Tabel2[[#This Row],[Coordinate Projection System]])),MAX($B$1:B120)+1,0)</f>
        <v>120</v>
      </c>
      <c r="C121" t="str">
        <f t="shared" si="1"/>
        <v>POSGAR 98</v>
      </c>
    </row>
    <row r="122" spans="1:3" x14ac:dyDescent="0.3">
      <c r="A122" t="s">
        <v>191</v>
      </c>
      <c r="B122">
        <f>IF(ISNUMBER(SEARCH(Form!$C$11,Tabel2[[#This Row],[Coordinate Projection System]])),MAX($B$1:B121)+1,0)</f>
        <v>121</v>
      </c>
      <c r="C122" t="str">
        <f t="shared" si="1"/>
        <v>Albanian 1987</v>
      </c>
    </row>
    <row r="123" spans="1:3" x14ac:dyDescent="0.3">
      <c r="A123" t="s">
        <v>192</v>
      </c>
      <c r="B123">
        <f>IF(ISNUMBER(SEARCH(Form!$C$11,Tabel2[[#This Row],[Coordinate Projection System]])),MAX($B$1:B122)+1,0)</f>
        <v>122</v>
      </c>
      <c r="C123" t="str">
        <f t="shared" si="1"/>
        <v>Douala 1948</v>
      </c>
    </row>
    <row r="124" spans="1:3" x14ac:dyDescent="0.3">
      <c r="A124" t="s">
        <v>193</v>
      </c>
      <c r="B124">
        <f>IF(ISNUMBER(SEARCH(Form!$C$11,Tabel2[[#This Row],[Coordinate Projection System]])),MAX($B$1:B123)+1,0)</f>
        <v>123</v>
      </c>
      <c r="C124" t="str">
        <f t="shared" si="1"/>
        <v>Manoca 1962</v>
      </c>
    </row>
    <row r="125" spans="1:3" x14ac:dyDescent="0.3">
      <c r="A125" t="s">
        <v>194</v>
      </c>
      <c r="B125">
        <f>IF(ISNUMBER(SEARCH(Form!$C$11,Tabel2[[#This Row],[Coordinate Projection System]])),MAX($B$1:B124)+1,0)</f>
        <v>124</v>
      </c>
      <c r="C125" t="str">
        <f t="shared" si="1"/>
        <v>Qornoq 1927</v>
      </c>
    </row>
    <row r="126" spans="1:3" x14ac:dyDescent="0.3">
      <c r="A126" t="s">
        <v>195</v>
      </c>
      <c r="B126">
        <f>IF(ISNUMBER(SEARCH(Form!$C$11,Tabel2[[#This Row],[Coordinate Projection System]])),MAX($B$1:B125)+1,0)</f>
        <v>125</v>
      </c>
      <c r="C126" t="str">
        <f t="shared" si="1"/>
        <v>Scoresbysund 1952</v>
      </c>
    </row>
    <row r="127" spans="1:3" x14ac:dyDescent="0.3">
      <c r="A127" t="s">
        <v>196</v>
      </c>
      <c r="B127">
        <f>IF(ISNUMBER(SEARCH(Form!$C$11,Tabel2[[#This Row],[Coordinate Projection System]])),MAX($B$1:B126)+1,0)</f>
        <v>126</v>
      </c>
      <c r="C127" t="str">
        <f t="shared" si="1"/>
        <v>Ammassalik 1958</v>
      </c>
    </row>
    <row r="128" spans="1:3" x14ac:dyDescent="0.3">
      <c r="A128" t="s">
        <v>197</v>
      </c>
      <c r="B128">
        <f>IF(ISNUMBER(SEARCH(Form!$C$11,Tabel2[[#This Row],[Coordinate Projection System]])),MAX($B$1:B127)+1,0)</f>
        <v>127</v>
      </c>
      <c r="C128" t="str">
        <f t="shared" si="1"/>
        <v>Garoua</v>
      </c>
    </row>
    <row r="129" spans="1:3" x14ac:dyDescent="0.3">
      <c r="A129" t="s">
        <v>198</v>
      </c>
      <c r="B129">
        <f>IF(ISNUMBER(SEARCH(Form!$C$11,Tabel2[[#This Row],[Coordinate Projection System]])),MAX($B$1:B128)+1,0)</f>
        <v>128</v>
      </c>
      <c r="C129" t="str">
        <f t="shared" si="1"/>
        <v>Kousseri</v>
      </c>
    </row>
    <row r="130" spans="1:3" x14ac:dyDescent="0.3">
      <c r="A130" t="s">
        <v>199</v>
      </c>
      <c r="B130">
        <f>IF(ISNUMBER(SEARCH(Form!$C$11,Tabel2[[#This Row],[Coordinate Projection System]])),MAX($B$1:B129)+1,0)</f>
        <v>129</v>
      </c>
      <c r="C130" t="str">
        <f t="shared" si="1"/>
        <v>Egypt 1930</v>
      </c>
    </row>
    <row r="131" spans="1:3" x14ac:dyDescent="0.3">
      <c r="A131" t="s">
        <v>200</v>
      </c>
      <c r="B131">
        <f>IF(ISNUMBER(SEARCH(Form!$C$11,Tabel2[[#This Row],[Coordinate Projection System]])),MAX($B$1:B130)+1,0)</f>
        <v>130</v>
      </c>
      <c r="C131" t="str">
        <f t="shared" ref="C131:C194" si="2">_xlfn.IFNA(INDEX(A131:A5642,MATCH(ROW(C130),B131:B5642,0)),"")</f>
        <v>Pulkovo 1995</v>
      </c>
    </row>
    <row r="132" spans="1:3" x14ac:dyDescent="0.3">
      <c r="A132" t="s">
        <v>201</v>
      </c>
      <c r="B132">
        <f>IF(ISNUMBER(SEARCH(Form!$C$11,Tabel2[[#This Row],[Coordinate Projection System]])),MAX($B$1:B131)+1,0)</f>
        <v>131</v>
      </c>
      <c r="C132" t="str">
        <f t="shared" si="2"/>
        <v>Adindan</v>
      </c>
    </row>
    <row r="133" spans="1:3" x14ac:dyDescent="0.3">
      <c r="A133" t="s">
        <v>202</v>
      </c>
      <c r="B133">
        <f>IF(ISNUMBER(SEARCH(Form!$C$11,Tabel2[[#This Row],[Coordinate Projection System]])),MAX($B$1:B132)+1,0)</f>
        <v>132</v>
      </c>
      <c r="C133" t="str">
        <f t="shared" si="2"/>
        <v>AGD66</v>
      </c>
    </row>
    <row r="134" spans="1:3" x14ac:dyDescent="0.3">
      <c r="A134" t="s">
        <v>203</v>
      </c>
      <c r="B134">
        <f>IF(ISNUMBER(SEARCH(Form!$C$11,Tabel2[[#This Row],[Coordinate Projection System]])),MAX($B$1:B133)+1,0)</f>
        <v>133</v>
      </c>
      <c r="C134" t="str">
        <f t="shared" si="2"/>
        <v>AGD84</v>
      </c>
    </row>
    <row r="135" spans="1:3" x14ac:dyDescent="0.3">
      <c r="A135" t="s">
        <v>204</v>
      </c>
      <c r="B135">
        <f>IF(ISNUMBER(SEARCH(Form!$C$11,Tabel2[[#This Row],[Coordinate Projection System]])),MAX($B$1:B134)+1,0)</f>
        <v>134</v>
      </c>
      <c r="C135" t="str">
        <f t="shared" si="2"/>
        <v>Ain el Abd</v>
      </c>
    </row>
    <row r="136" spans="1:3" x14ac:dyDescent="0.3">
      <c r="A136" t="s">
        <v>205</v>
      </c>
      <c r="B136">
        <f>IF(ISNUMBER(SEARCH(Form!$C$11,Tabel2[[#This Row],[Coordinate Projection System]])),MAX($B$1:B135)+1,0)</f>
        <v>135</v>
      </c>
      <c r="C136" t="str">
        <f t="shared" si="2"/>
        <v>Afgooye</v>
      </c>
    </row>
    <row r="137" spans="1:3" x14ac:dyDescent="0.3">
      <c r="A137" t="s">
        <v>206</v>
      </c>
      <c r="B137">
        <f>IF(ISNUMBER(SEARCH(Form!$C$11,Tabel2[[#This Row],[Coordinate Projection System]])),MAX($B$1:B136)+1,0)</f>
        <v>136</v>
      </c>
      <c r="C137" t="str">
        <f t="shared" si="2"/>
        <v>Agadez</v>
      </c>
    </row>
    <row r="138" spans="1:3" x14ac:dyDescent="0.3">
      <c r="A138" t="s">
        <v>207</v>
      </c>
      <c r="B138">
        <f>IF(ISNUMBER(SEARCH(Form!$C$11,Tabel2[[#This Row],[Coordinate Projection System]])),MAX($B$1:B137)+1,0)</f>
        <v>137</v>
      </c>
      <c r="C138" t="str">
        <f t="shared" si="2"/>
        <v>Lisbon</v>
      </c>
    </row>
    <row r="139" spans="1:3" x14ac:dyDescent="0.3">
      <c r="A139" t="s">
        <v>208</v>
      </c>
      <c r="B139">
        <f>IF(ISNUMBER(SEARCH(Form!$C$11,Tabel2[[#This Row],[Coordinate Projection System]])),MAX($B$1:B138)+1,0)</f>
        <v>138</v>
      </c>
      <c r="C139" t="str">
        <f t="shared" si="2"/>
        <v>Aratu</v>
      </c>
    </row>
    <row r="140" spans="1:3" x14ac:dyDescent="0.3">
      <c r="A140" t="s">
        <v>209</v>
      </c>
      <c r="B140">
        <f>IF(ISNUMBER(SEARCH(Form!$C$11,Tabel2[[#This Row],[Coordinate Projection System]])),MAX($B$1:B139)+1,0)</f>
        <v>139</v>
      </c>
      <c r="C140" t="str">
        <f t="shared" si="2"/>
        <v>Arc 1950</v>
      </c>
    </row>
    <row r="141" spans="1:3" x14ac:dyDescent="0.3">
      <c r="A141" t="s">
        <v>210</v>
      </c>
      <c r="B141">
        <f>IF(ISNUMBER(SEARCH(Form!$C$11,Tabel2[[#This Row],[Coordinate Projection System]])),MAX($B$1:B140)+1,0)</f>
        <v>140</v>
      </c>
      <c r="C141" t="str">
        <f t="shared" si="2"/>
        <v>Arc 1960</v>
      </c>
    </row>
    <row r="142" spans="1:3" x14ac:dyDescent="0.3">
      <c r="A142" t="s">
        <v>211</v>
      </c>
      <c r="B142">
        <f>IF(ISNUMBER(SEARCH(Form!$C$11,Tabel2[[#This Row],[Coordinate Projection System]])),MAX($B$1:B141)+1,0)</f>
        <v>141</v>
      </c>
      <c r="C142" t="str">
        <f t="shared" si="2"/>
        <v>Batavia</v>
      </c>
    </row>
    <row r="143" spans="1:3" x14ac:dyDescent="0.3">
      <c r="A143" t="s">
        <v>212</v>
      </c>
      <c r="B143">
        <f>IF(ISNUMBER(SEARCH(Form!$C$11,Tabel2[[#This Row],[Coordinate Projection System]])),MAX($B$1:B142)+1,0)</f>
        <v>142</v>
      </c>
      <c r="C143" t="str">
        <f t="shared" si="2"/>
        <v>Barbados 1938</v>
      </c>
    </row>
    <row r="144" spans="1:3" x14ac:dyDescent="0.3">
      <c r="A144" t="s">
        <v>213</v>
      </c>
      <c r="B144">
        <f>IF(ISNUMBER(SEARCH(Form!$C$11,Tabel2[[#This Row],[Coordinate Projection System]])),MAX($B$1:B143)+1,0)</f>
        <v>143</v>
      </c>
      <c r="C144" t="str">
        <f t="shared" si="2"/>
        <v>Beduaram</v>
      </c>
    </row>
    <row r="145" spans="1:3" x14ac:dyDescent="0.3">
      <c r="A145" t="s">
        <v>214</v>
      </c>
      <c r="B145">
        <f>IF(ISNUMBER(SEARCH(Form!$C$11,Tabel2[[#This Row],[Coordinate Projection System]])),MAX($B$1:B144)+1,0)</f>
        <v>144</v>
      </c>
      <c r="C145" t="str">
        <f t="shared" si="2"/>
        <v>Beijing 1954</v>
      </c>
    </row>
    <row r="146" spans="1:3" x14ac:dyDescent="0.3">
      <c r="A146" t="s">
        <v>215</v>
      </c>
      <c r="B146">
        <f>IF(ISNUMBER(SEARCH(Form!$C$11,Tabel2[[#This Row],[Coordinate Projection System]])),MAX($B$1:B145)+1,0)</f>
        <v>145</v>
      </c>
      <c r="C146" t="str">
        <f t="shared" si="2"/>
        <v>Belge 1950</v>
      </c>
    </row>
    <row r="147" spans="1:3" x14ac:dyDescent="0.3">
      <c r="A147" t="s">
        <v>216</v>
      </c>
      <c r="B147">
        <f>IF(ISNUMBER(SEARCH(Form!$C$11,Tabel2[[#This Row],[Coordinate Projection System]])),MAX($B$1:B146)+1,0)</f>
        <v>146</v>
      </c>
      <c r="C147" t="str">
        <f t="shared" si="2"/>
        <v>Bermuda 1957</v>
      </c>
    </row>
    <row r="148" spans="1:3" x14ac:dyDescent="0.3">
      <c r="A148" t="s">
        <v>217</v>
      </c>
      <c r="B148">
        <f>IF(ISNUMBER(SEARCH(Form!$C$11,Tabel2[[#This Row],[Coordinate Projection System]])),MAX($B$1:B147)+1,0)</f>
        <v>147</v>
      </c>
      <c r="C148" t="str">
        <f t="shared" si="2"/>
        <v>Bogota 1975</v>
      </c>
    </row>
    <row r="149" spans="1:3" x14ac:dyDescent="0.3">
      <c r="A149" t="s">
        <v>218</v>
      </c>
      <c r="B149">
        <f>IF(ISNUMBER(SEARCH(Form!$C$11,Tabel2[[#This Row],[Coordinate Projection System]])),MAX($B$1:B148)+1,0)</f>
        <v>148</v>
      </c>
      <c r="C149" t="str">
        <f t="shared" si="2"/>
        <v>Bukit Rimpah</v>
      </c>
    </row>
    <row r="150" spans="1:3" x14ac:dyDescent="0.3">
      <c r="A150" t="s">
        <v>219</v>
      </c>
      <c r="B150">
        <f>IF(ISNUMBER(SEARCH(Form!$C$11,Tabel2[[#This Row],[Coordinate Projection System]])),MAX($B$1:B149)+1,0)</f>
        <v>149</v>
      </c>
      <c r="C150" t="str">
        <f t="shared" si="2"/>
        <v>Camacupa</v>
      </c>
    </row>
    <row r="151" spans="1:3" x14ac:dyDescent="0.3">
      <c r="A151" t="s">
        <v>220</v>
      </c>
      <c r="B151">
        <f>IF(ISNUMBER(SEARCH(Form!$C$11,Tabel2[[#This Row],[Coordinate Projection System]])),MAX($B$1:B150)+1,0)</f>
        <v>150</v>
      </c>
      <c r="C151" t="str">
        <f t="shared" si="2"/>
        <v>Campo Inchauspe</v>
      </c>
    </row>
    <row r="152" spans="1:3" x14ac:dyDescent="0.3">
      <c r="A152" t="s">
        <v>221</v>
      </c>
      <c r="B152">
        <f>IF(ISNUMBER(SEARCH(Form!$C$11,Tabel2[[#This Row],[Coordinate Projection System]])),MAX($B$1:B151)+1,0)</f>
        <v>151</v>
      </c>
      <c r="C152" t="str">
        <f t="shared" si="2"/>
        <v>Cape</v>
      </c>
    </row>
    <row r="153" spans="1:3" x14ac:dyDescent="0.3">
      <c r="A153" t="s">
        <v>222</v>
      </c>
      <c r="B153">
        <f>IF(ISNUMBER(SEARCH(Form!$C$11,Tabel2[[#This Row],[Coordinate Projection System]])),MAX($B$1:B152)+1,0)</f>
        <v>152</v>
      </c>
      <c r="C153" t="str">
        <f t="shared" si="2"/>
        <v>Carthage</v>
      </c>
    </row>
    <row r="154" spans="1:3" x14ac:dyDescent="0.3">
      <c r="A154" t="s">
        <v>223</v>
      </c>
      <c r="B154">
        <f>IF(ISNUMBER(SEARCH(Form!$C$11,Tabel2[[#This Row],[Coordinate Projection System]])),MAX($B$1:B153)+1,0)</f>
        <v>153</v>
      </c>
      <c r="C154" t="str">
        <f t="shared" si="2"/>
        <v>Chua</v>
      </c>
    </row>
    <row r="155" spans="1:3" x14ac:dyDescent="0.3">
      <c r="A155" t="s">
        <v>224</v>
      </c>
      <c r="B155">
        <f>IF(ISNUMBER(SEARCH(Form!$C$11,Tabel2[[#This Row],[Coordinate Projection System]])),MAX($B$1:B154)+1,0)</f>
        <v>154</v>
      </c>
      <c r="C155" t="str">
        <f t="shared" si="2"/>
        <v>Corrego Alegre 1970-72</v>
      </c>
    </row>
    <row r="156" spans="1:3" x14ac:dyDescent="0.3">
      <c r="A156" t="s">
        <v>225</v>
      </c>
      <c r="B156">
        <f>IF(ISNUMBER(SEARCH(Form!$C$11,Tabel2[[#This Row],[Coordinate Projection System]])),MAX($B$1:B155)+1,0)</f>
        <v>155</v>
      </c>
      <c r="C156" t="str">
        <f t="shared" si="2"/>
        <v>Cote d'Ivoire</v>
      </c>
    </row>
    <row r="157" spans="1:3" x14ac:dyDescent="0.3">
      <c r="A157" t="s">
        <v>226</v>
      </c>
      <c r="B157">
        <f>IF(ISNUMBER(SEARCH(Form!$C$11,Tabel2[[#This Row],[Coordinate Projection System]])),MAX($B$1:B156)+1,0)</f>
        <v>156</v>
      </c>
      <c r="C157" t="str">
        <f t="shared" si="2"/>
        <v>Deir ez Zor</v>
      </c>
    </row>
    <row r="158" spans="1:3" x14ac:dyDescent="0.3">
      <c r="A158" t="s">
        <v>227</v>
      </c>
      <c r="B158">
        <f>IF(ISNUMBER(SEARCH(Form!$C$11,Tabel2[[#This Row],[Coordinate Projection System]])),MAX($B$1:B157)+1,0)</f>
        <v>157</v>
      </c>
      <c r="C158" t="str">
        <f t="shared" si="2"/>
        <v>Douala</v>
      </c>
    </row>
    <row r="159" spans="1:3" x14ac:dyDescent="0.3">
      <c r="A159" t="s">
        <v>228</v>
      </c>
      <c r="B159">
        <f>IF(ISNUMBER(SEARCH(Form!$C$11,Tabel2[[#This Row],[Coordinate Projection System]])),MAX($B$1:B158)+1,0)</f>
        <v>158</v>
      </c>
      <c r="C159" t="str">
        <f t="shared" si="2"/>
        <v>Egypt 1907</v>
      </c>
    </row>
    <row r="160" spans="1:3" x14ac:dyDescent="0.3">
      <c r="A160" t="s">
        <v>229</v>
      </c>
      <c r="B160">
        <f>IF(ISNUMBER(SEARCH(Form!$C$11,Tabel2[[#This Row],[Coordinate Projection System]])),MAX($B$1:B159)+1,0)</f>
        <v>159</v>
      </c>
      <c r="C160" t="str">
        <f t="shared" si="2"/>
        <v>ED50</v>
      </c>
    </row>
    <row r="161" spans="1:3" x14ac:dyDescent="0.3">
      <c r="A161" t="s">
        <v>230</v>
      </c>
      <c r="B161">
        <f>IF(ISNUMBER(SEARCH(Form!$C$11,Tabel2[[#This Row],[Coordinate Projection System]])),MAX($B$1:B160)+1,0)</f>
        <v>160</v>
      </c>
      <c r="C161" t="str">
        <f t="shared" si="2"/>
        <v>ED87</v>
      </c>
    </row>
    <row r="162" spans="1:3" x14ac:dyDescent="0.3">
      <c r="A162" t="s">
        <v>231</v>
      </c>
      <c r="B162">
        <f>IF(ISNUMBER(SEARCH(Form!$C$11,Tabel2[[#This Row],[Coordinate Projection System]])),MAX($B$1:B161)+1,0)</f>
        <v>161</v>
      </c>
      <c r="C162" t="str">
        <f t="shared" si="2"/>
        <v>Fahud</v>
      </c>
    </row>
    <row r="163" spans="1:3" x14ac:dyDescent="0.3">
      <c r="A163" t="s">
        <v>232</v>
      </c>
      <c r="B163">
        <f>IF(ISNUMBER(SEARCH(Form!$C$11,Tabel2[[#This Row],[Coordinate Projection System]])),MAX($B$1:B162)+1,0)</f>
        <v>162</v>
      </c>
      <c r="C163" t="str">
        <f t="shared" si="2"/>
        <v>Gandajika 1970</v>
      </c>
    </row>
    <row r="164" spans="1:3" x14ac:dyDescent="0.3">
      <c r="A164" t="s">
        <v>197</v>
      </c>
      <c r="B164">
        <f>IF(ISNUMBER(SEARCH(Form!$C$11,Tabel2[[#This Row],[Coordinate Projection System]])),MAX($B$1:B163)+1,0)</f>
        <v>163</v>
      </c>
      <c r="C164" t="str">
        <f t="shared" si="2"/>
        <v>Garoua</v>
      </c>
    </row>
    <row r="165" spans="1:3" x14ac:dyDescent="0.3">
      <c r="A165" t="s">
        <v>233</v>
      </c>
      <c r="B165">
        <f>IF(ISNUMBER(SEARCH(Form!$C$11,Tabel2[[#This Row],[Coordinate Projection System]])),MAX($B$1:B164)+1,0)</f>
        <v>164</v>
      </c>
      <c r="C165" t="str">
        <f t="shared" si="2"/>
        <v>Guyane Francaise</v>
      </c>
    </row>
    <row r="166" spans="1:3" x14ac:dyDescent="0.3">
      <c r="A166" t="s">
        <v>234</v>
      </c>
      <c r="B166">
        <f>IF(ISNUMBER(SEARCH(Form!$C$11,Tabel2[[#This Row],[Coordinate Projection System]])),MAX($B$1:B165)+1,0)</f>
        <v>165</v>
      </c>
      <c r="C166" t="str">
        <f t="shared" si="2"/>
        <v>Hu Tzu Shan 1950</v>
      </c>
    </row>
    <row r="167" spans="1:3" x14ac:dyDescent="0.3">
      <c r="A167" t="s">
        <v>235</v>
      </c>
      <c r="B167">
        <f>IF(ISNUMBER(SEARCH(Form!$C$11,Tabel2[[#This Row],[Coordinate Projection System]])),MAX($B$1:B166)+1,0)</f>
        <v>166</v>
      </c>
      <c r="C167" t="str">
        <f t="shared" si="2"/>
        <v>HD72</v>
      </c>
    </row>
    <row r="168" spans="1:3" x14ac:dyDescent="0.3">
      <c r="A168" t="s">
        <v>236</v>
      </c>
      <c r="B168">
        <f>IF(ISNUMBER(SEARCH(Form!$C$11,Tabel2[[#This Row],[Coordinate Projection System]])),MAX($B$1:B167)+1,0)</f>
        <v>167</v>
      </c>
      <c r="C168" t="str">
        <f t="shared" si="2"/>
        <v>ID74</v>
      </c>
    </row>
    <row r="169" spans="1:3" x14ac:dyDescent="0.3">
      <c r="A169" t="s">
        <v>237</v>
      </c>
      <c r="B169">
        <f>IF(ISNUMBER(SEARCH(Form!$C$11,Tabel2[[#This Row],[Coordinate Projection System]])),MAX($B$1:B168)+1,0)</f>
        <v>168</v>
      </c>
      <c r="C169" t="str">
        <f t="shared" si="2"/>
        <v>Indian 1954</v>
      </c>
    </row>
    <row r="170" spans="1:3" x14ac:dyDescent="0.3">
      <c r="A170" t="s">
        <v>238</v>
      </c>
      <c r="B170">
        <f>IF(ISNUMBER(SEARCH(Form!$C$11,Tabel2[[#This Row],[Coordinate Projection System]])),MAX($B$1:B169)+1,0)</f>
        <v>169</v>
      </c>
      <c r="C170" t="str">
        <f t="shared" si="2"/>
        <v>Indian 1975</v>
      </c>
    </row>
    <row r="171" spans="1:3" x14ac:dyDescent="0.3">
      <c r="A171" t="s">
        <v>239</v>
      </c>
      <c r="B171">
        <f>IF(ISNUMBER(SEARCH(Form!$C$11,Tabel2[[#This Row],[Coordinate Projection System]])),MAX($B$1:B170)+1,0)</f>
        <v>170</v>
      </c>
      <c r="C171" t="str">
        <f t="shared" si="2"/>
        <v>Jamaica 1875</v>
      </c>
    </row>
    <row r="172" spans="1:3" x14ac:dyDescent="0.3">
      <c r="A172" t="s">
        <v>240</v>
      </c>
      <c r="B172">
        <f>IF(ISNUMBER(SEARCH(Form!$C$11,Tabel2[[#This Row],[Coordinate Projection System]])),MAX($B$1:B171)+1,0)</f>
        <v>171</v>
      </c>
      <c r="C172" t="str">
        <f t="shared" si="2"/>
        <v>JAD69</v>
      </c>
    </row>
    <row r="173" spans="1:3" x14ac:dyDescent="0.3">
      <c r="A173" t="s">
        <v>241</v>
      </c>
      <c r="B173">
        <f>IF(ISNUMBER(SEARCH(Form!$C$11,Tabel2[[#This Row],[Coordinate Projection System]])),MAX($B$1:B172)+1,0)</f>
        <v>172</v>
      </c>
      <c r="C173" t="str">
        <f t="shared" si="2"/>
        <v>Kalianpur 1880</v>
      </c>
    </row>
    <row r="174" spans="1:3" x14ac:dyDescent="0.3">
      <c r="A174" t="s">
        <v>242</v>
      </c>
      <c r="B174">
        <f>IF(ISNUMBER(SEARCH(Form!$C$11,Tabel2[[#This Row],[Coordinate Projection System]])),MAX($B$1:B173)+1,0)</f>
        <v>173</v>
      </c>
      <c r="C174" t="str">
        <f t="shared" si="2"/>
        <v>Kandawala</v>
      </c>
    </row>
    <row r="175" spans="1:3" x14ac:dyDescent="0.3">
      <c r="A175" t="s">
        <v>243</v>
      </c>
      <c r="B175">
        <f>IF(ISNUMBER(SEARCH(Form!$C$11,Tabel2[[#This Row],[Coordinate Projection System]])),MAX($B$1:B174)+1,0)</f>
        <v>174</v>
      </c>
      <c r="C175" t="str">
        <f t="shared" si="2"/>
        <v>Kertau 1968</v>
      </c>
    </row>
    <row r="176" spans="1:3" x14ac:dyDescent="0.3">
      <c r="A176" t="s">
        <v>244</v>
      </c>
      <c r="B176">
        <f>IF(ISNUMBER(SEARCH(Form!$C$11,Tabel2[[#This Row],[Coordinate Projection System]])),MAX($B$1:B175)+1,0)</f>
        <v>175</v>
      </c>
      <c r="C176" t="str">
        <f t="shared" si="2"/>
        <v>KOC</v>
      </c>
    </row>
    <row r="177" spans="1:3" x14ac:dyDescent="0.3">
      <c r="A177" t="s">
        <v>245</v>
      </c>
      <c r="B177">
        <f>IF(ISNUMBER(SEARCH(Form!$C$11,Tabel2[[#This Row],[Coordinate Projection System]])),MAX($B$1:B176)+1,0)</f>
        <v>176</v>
      </c>
      <c r="C177" t="str">
        <f t="shared" si="2"/>
        <v>La Canoa</v>
      </c>
    </row>
    <row r="178" spans="1:3" x14ac:dyDescent="0.3">
      <c r="A178" t="s">
        <v>246</v>
      </c>
      <c r="B178">
        <f>IF(ISNUMBER(SEARCH(Form!$C$11,Tabel2[[#This Row],[Coordinate Projection System]])),MAX($B$1:B177)+1,0)</f>
        <v>177</v>
      </c>
      <c r="C178" t="str">
        <f t="shared" si="2"/>
        <v>PSAD56</v>
      </c>
    </row>
    <row r="179" spans="1:3" x14ac:dyDescent="0.3">
      <c r="A179" t="s">
        <v>247</v>
      </c>
      <c r="B179">
        <f>IF(ISNUMBER(SEARCH(Form!$C$11,Tabel2[[#This Row],[Coordinate Projection System]])),MAX($B$1:B178)+1,0)</f>
        <v>178</v>
      </c>
      <c r="C179" t="str">
        <f t="shared" si="2"/>
        <v>Lake</v>
      </c>
    </row>
    <row r="180" spans="1:3" x14ac:dyDescent="0.3">
      <c r="A180" t="s">
        <v>248</v>
      </c>
      <c r="B180">
        <f>IF(ISNUMBER(SEARCH(Form!$C$11,Tabel2[[#This Row],[Coordinate Projection System]])),MAX($B$1:B179)+1,0)</f>
        <v>179</v>
      </c>
      <c r="C180" t="str">
        <f t="shared" si="2"/>
        <v>Leigon</v>
      </c>
    </row>
    <row r="181" spans="1:3" x14ac:dyDescent="0.3">
      <c r="A181" t="s">
        <v>249</v>
      </c>
      <c r="B181">
        <f>IF(ISNUMBER(SEARCH(Form!$C$11,Tabel2[[#This Row],[Coordinate Projection System]])),MAX($B$1:B180)+1,0)</f>
        <v>180</v>
      </c>
      <c r="C181" t="str">
        <f t="shared" si="2"/>
        <v>Liberia 1964</v>
      </c>
    </row>
    <row r="182" spans="1:3" x14ac:dyDescent="0.3">
      <c r="A182" t="s">
        <v>250</v>
      </c>
      <c r="B182">
        <f>IF(ISNUMBER(SEARCH(Form!$C$11,Tabel2[[#This Row],[Coordinate Projection System]])),MAX($B$1:B181)+1,0)</f>
        <v>181</v>
      </c>
      <c r="C182" t="str">
        <f t="shared" si="2"/>
        <v>Lome</v>
      </c>
    </row>
    <row r="183" spans="1:3" x14ac:dyDescent="0.3">
      <c r="A183" t="s">
        <v>251</v>
      </c>
      <c r="B183">
        <f>IF(ISNUMBER(SEARCH(Form!$C$11,Tabel2[[#This Row],[Coordinate Projection System]])),MAX($B$1:B182)+1,0)</f>
        <v>182</v>
      </c>
      <c r="C183" t="str">
        <f t="shared" si="2"/>
        <v>Luzon 1911</v>
      </c>
    </row>
    <row r="184" spans="1:3" x14ac:dyDescent="0.3">
      <c r="A184" t="s">
        <v>252</v>
      </c>
      <c r="B184">
        <f>IF(ISNUMBER(SEARCH(Form!$C$11,Tabel2[[#This Row],[Coordinate Projection System]])),MAX($B$1:B183)+1,0)</f>
        <v>183</v>
      </c>
      <c r="C184" t="str">
        <f t="shared" si="2"/>
        <v>Hito XVIII 1963</v>
      </c>
    </row>
    <row r="185" spans="1:3" x14ac:dyDescent="0.3">
      <c r="A185" t="s">
        <v>253</v>
      </c>
      <c r="B185">
        <f>IF(ISNUMBER(SEARCH(Form!$C$11,Tabel2[[#This Row],[Coordinate Projection System]])),MAX($B$1:B184)+1,0)</f>
        <v>184</v>
      </c>
      <c r="C185" t="str">
        <f t="shared" si="2"/>
        <v>Herat North</v>
      </c>
    </row>
    <row r="186" spans="1:3" x14ac:dyDescent="0.3">
      <c r="A186" t="s">
        <v>254</v>
      </c>
      <c r="B186">
        <f>IF(ISNUMBER(SEARCH(Form!$C$11,Tabel2[[#This Row],[Coordinate Projection System]])),MAX($B$1:B185)+1,0)</f>
        <v>185</v>
      </c>
      <c r="C186" t="str">
        <f t="shared" si="2"/>
        <v>Mahe 1971</v>
      </c>
    </row>
    <row r="187" spans="1:3" x14ac:dyDescent="0.3">
      <c r="A187" t="s">
        <v>255</v>
      </c>
      <c r="B187">
        <f>IF(ISNUMBER(SEARCH(Form!$C$11,Tabel2[[#This Row],[Coordinate Projection System]])),MAX($B$1:B186)+1,0)</f>
        <v>186</v>
      </c>
      <c r="C187" t="str">
        <f t="shared" si="2"/>
        <v>Makassar</v>
      </c>
    </row>
    <row r="188" spans="1:3" x14ac:dyDescent="0.3">
      <c r="A188" t="s">
        <v>256</v>
      </c>
      <c r="B188">
        <f>IF(ISNUMBER(SEARCH(Form!$C$11,Tabel2[[#This Row],[Coordinate Projection System]])),MAX($B$1:B187)+1,0)</f>
        <v>187</v>
      </c>
      <c r="C188" t="str">
        <f t="shared" si="2"/>
        <v>ETRS89</v>
      </c>
    </row>
    <row r="189" spans="1:3" x14ac:dyDescent="0.3">
      <c r="A189" t="s">
        <v>257</v>
      </c>
      <c r="B189">
        <f>IF(ISNUMBER(SEARCH(Form!$C$11,Tabel2[[#This Row],[Coordinate Projection System]])),MAX($B$1:B188)+1,0)</f>
        <v>188</v>
      </c>
      <c r="C189" t="str">
        <f t="shared" si="2"/>
        <v>Malongo 1987</v>
      </c>
    </row>
    <row r="190" spans="1:3" x14ac:dyDescent="0.3">
      <c r="A190" t="s">
        <v>258</v>
      </c>
      <c r="B190">
        <f>IF(ISNUMBER(SEARCH(Form!$C$11,Tabel2[[#This Row],[Coordinate Projection System]])),MAX($B$1:B189)+1,0)</f>
        <v>189</v>
      </c>
      <c r="C190" t="str">
        <f t="shared" si="2"/>
        <v>Manoca</v>
      </c>
    </row>
    <row r="191" spans="1:3" x14ac:dyDescent="0.3">
      <c r="A191" t="s">
        <v>259</v>
      </c>
      <c r="B191">
        <f>IF(ISNUMBER(SEARCH(Form!$C$11,Tabel2[[#This Row],[Coordinate Projection System]])),MAX($B$1:B190)+1,0)</f>
        <v>190</v>
      </c>
      <c r="C191" t="str">
        <f t="shared" si="2"/>
        <v>Merchich</v>
      </c>
    </row>
    <row r="192" spans="1:3" x14ac:dyDescent="0.3">
      <c r="A192" t="s">
        <v>260</v>
      </c>
      <c r="B192">
        <f>IF(ISNUMBER(SEARCH(Form!$C$11,Tabel2[[#This Row],[Coordinate Projection System]])),MAX($B$1:B191)+1,0)</f>
        <v>191</v>
      </c>
      <c r="C192" t="str">
        <f t="shared" si="2"/>
        <v>Massawa</v>
      </c>
    </row>
    <row r="193" spans="1:3" x14ac:dyDescent="0.3">
      <c r="A193" t="s">
        <v>261</v>
      </c>
      <c r="B193">
        <f>IF(ISNUMBER(SEARCH(Form!$C$11,Tabel2[[#This Row],[Coordinate Projection System]])),MAX($B$1:B192)+1,0)</f>
        <v>192</v>
      </c>
      <c r="C193" t="str">
        <f t="shared" si="2"/>
        <v>Minna</v>
      </c>
    </row>
    <row r="194" spans="1:3" x14ac:dyDescent="0.3">
      <c r="A194" t="s">
        <v>262</v>
      </c>
      <c r="B194">
        <f>IF(ISNUMBER(SEARCH(Form!$C$11,Tabel2[[#This Row],[Coordinate Projection System]])),MAX($B$1:B193)+1,0)</f>
        <v>193</v>
      </c>
      <c r="C194" t="str">
        <f t="shared" si="2"/>
        <v>Mhast</v>
      </c>
    </row>
    <row r="195" spans="1:3" x14ac:dyDescent="0.3">
      <c r="A195" t="s">
        <v>263</v>
      </c>
      <c r="B195">
        <f>IF(ISNUMBER(SEARCH(Form!$C$11,Tabel2[[#This Row],[Coordinate Projection System]])),MAX($B$1:B194)+1,0)</f>
        <v>194</v>
      </c>
      <c r="C195" t="str">
        <f t="shared" ref="C195:C258" si="3">_xlfn.IFNA(INDEX(A195:A5706,MATCH(ROW(C194),B195:B5706,0)),"")</f>
        <v>Monte Mario</v>
      </c>
    </row>
    <row r="196" spans="1:3" x14ac:dyDescent="0.3">
      <c r="A196" t="s">
        <v>264</v>
      </c>
      <c r="B196">
        <f>IF(ISNUMBER(SEARCH(Form!$C$11,Tabel2[[#This Row],[Coordinate Projection System]])),MAX($B$1:B195)+1,0)</f>
        <v>195</v>
      </c>
      <c r="C196" t="str">
        <f t="shared" si="3"/>
        <v>M'poraloko</v>
      </c>
    </row>
    <row r="197" spans="1:3" x14ac:dyDescent="0.3">
      <c r="A197" t="s">
        <v>69</v>
      </c>
      <c r="B197">
        <f>IF(ISNUMBER(SEARCH(Form!$C$11,Tabel2[[#This Row],[Coordinate Projection System]])),MAX($B$1:B196)+1,0)</f>
        <v>196</v>
      </c>
      <c r="C197" t="str">
        <f t="shared" si="3"/>
        <v>NAD27</v>
      </c>
    </row>
    <row r="198" spans="1:3" x14ac:dyDescent="0.3">
      <c r="A198" t="s">
        <v>265</v>
      </c>
      <c r="B198">
        <f>IF(ISNUMBER(SEARCH(Form!$C$11,Tabel2[[#This Row],[Coordinate Projection System]])),MAX($B$1:B197)+1,0)</f>
        <v>197</v>
      </c>
      <c r="C198" t="str">
        <f t="shared" si="3"/>
        <v>NAD27 Michigan</v>
      </c>
    </row>
    <row r="199" spans="1:3" x14ac:dyDescent="0.3">
      <c r="A199" t="s">
        <v>266</v>
      </c>
      <c r="B199">
        <f>IF(ISNUMBER(SEARCH(Form!$C$11,Tabel2[[#This Row],[Coordinate Projection System]])),MAX($B$1:B198)+1,0)</f>
        <v>198</v>
      </c>
      <c r="C199" t="str">
        <f t="shared" si="3"/>
        <v>NAD83</v>
      </c>
    </row>
    <row r="200" spans="1:3" x14ac:dyDescent="0.3">
      <c r="A200" t="s">
        <v>267</v>
      </c>
      <c r="B200">
        <f>IF(ISNUMBER(SEARCH(Form!$C$11,Tabel2[[#This Row],[Coordinate Projection System]])),MAX($B$1:B199)+1,0)</f>
        <v>199</v>
      </c>
      <c r="C200" t="str">
        <f t="shared" si="3"/>
        <v>Nahrwan 1967</v>
      </c>
    </row>
    <row r="201" spans="1:3" x14ac:dyDescent="0.3">
      <c r="A201" t="s">
        <v>268</v>
      </c>
      <c r="B201">
        <f>IF(ISNUMBER(SEARCH(Form!$C$11,Tabel2[[#This Row],[Coordinate Projection System]])),MAX($B$1:B200)+1,0)</f>
        <v>200</v>
      </c>
      <c r="C201" t="str">
        <f t="shared" si="3"/>
        <v>Naparima 1972</v>
      </c>
    </row>
    <row r="202" spans="1:3" x14ac:dyDescent="0.3">
      <c r="A202" t="s">
        <v>269</v>
      </c>
      <c r="B202">
        <f>IF(ISNUMBER(SEARCH(Form!$C$11,Tabel2[[#This Row],[Coordinate Projection System]])),MAX($B$1:B201)+1,0)</f>
        <v>201</v>
      </c>
      <c r="C202" t="str">
        <f t="shared" si="3"/>
        <v>NZGD49</v>
      </c>
    </row>
    <row r="203" spans="1:3" x14ac:dyDescent="0.3">
      <c r="A203" t="s">
        <v>270</v>
      </c>
      <c r="B203">
        <f>IF(ISNUMBER(SEARCH(Form!$C$11,Tabel2[[#This Row],[Coordinate Projection System]])),MAX($B$1:B202)+1,0)</f>
        <v>202</v>
      </c>
      <c r="C203" t="str">
        <f t="shared" si="3"/>
        <v>NGO 1948</v>
      </c>
    </row>
    <row r="204" spans="1:3" x14ac:dyDescent="0.3">
      <c r="A204" t="s">
        <v>271</v>
      </c>
      <c r="B204">
        <f>IF(ISNUMBER(SEARCH(Form!$C$11,Tabel2[[#This Row],[Coordinate Projection System]])),MAX($B$1:B203)+1,0)</f>
        <v>203</v>
      </c>
      <c r="C204" t="str">
        <f t="shared" si="3"/>
        <v>Datum 73</v>
      </c>
    </row>
    <row r="205" spans="1:3" x14ac:dyDescent="0.3">
      <c r="A205" t="s">
        <v>272</v>
      </c>
      <c r="B205">
        <f>IF(ISNUMBER(SEARCH(Form!$C$11,Tabel2[[#This Row],[Coordinate Projection System]])),MAX($B$1:B204)+1,0)</f>
        <v>204</v>
      </c>
      <c r="C205" t="str">
        <f t="shared" si="3"/>
        <v>NTF</v>
      </c>
    </row>
    <row r="206" spans="1:3" x14ac:dyDescent="0.3">
      <c r="A206" t="s">
        <v>273</v>
      </c>
      <c r="B206">
        <f>IF(ISNUMBER(SEARCH(Form!$C$11,Tabel2[[#This Row],[Coordinate Projection System]])),MAX($B$1:B205)+1,0)</f>
        <v>205</v>
      </c>
      <c r="C206" t="str">
        <f t="shared" si="3"/>
        <v>NSWC 9Z-2</v>
      </c>
    </row>
    <row r="207" spans="1:3" x14ac:dyDescent="0.3">
      <c r="A207" t="s">
        <v>274</v>
      </c>
      <c r="B207">
        <f>IF(ISNUMBER(SEARCH(Form!$C$11,Tabel2[[#This Row],[Coordinate Projection System]])),MAX($B$1:B206)+1,0)</f>
        <v>206</v>
      </c>
      <c r="C207" t="str">
        <f t="shared" si="3"/>
        <v>OSGB 1936</v>
      </c>
    </row>
    <row r="208" spans="1:3" x14ac:dyDescent="0.3">
      <c r="A208" t="s">
        <v>275</v>
      </c>
      <c r="B208">
        <f>IF(ISNUMBER(SEARCH(Form!$C$11,Tabel2[[#This Row],[Coordinate Projection System]])),MAX($B$1:B207)+1,0)</f>
        <v>207</v>
      </c>
      <c r="C208" t="str">
        <f t="shared" si="3"/>
        <v>OSGB70</v>
      </c>
    </row>
    <row r="209" spans="1:3" x14ac:dyDescent="0.3">
      <c r="A209" t="s">
        <v>276</v>
      </c>
      <c r="B209">
        <f>IF(ISNUMBER(SEARCH(Form!$C$11,Tabel2[[#This Row],[Coordinate Projection System]])),MAX($B$1:B208)+1,0)</f>
        <v>208</v>
      </c>
      <c r="C209" t="str">
        <f t="shared" si="3"/>
        <v>OS(SN)80</v>
      </c>
    </row>
    <row r="210" spans="1:3" x14ac:dyDescent="0.3">
      <c r="A210" t="s">
        <v>277</v>
      </c>
      <c r="B210">
        <f>IF(ISNUMBER(SEARCH(Form!$C$11,Tabel2[[#This Row],[Coordinate Projection System]])),MAX($B$1:B209)+1,0)</f>
        <v>209</v>
      </c>
      <c r="C210" t="str">
        <f t="shared" si="3"/>
        <v>Padang</v>
      </c>
    </row>
    <row r="211" spans="1:3" x14ac:dyDescent="0.3">
      <c r="A211" t="s">
        <v>278</v>
      </c>
      <c r="B211">
        <f>IF(ISNUMBER(SEARCH(Form!$C$11,Tabel2[[#This Row],[Coordinate Projection System]])),MAX($B$1:B210)+1,0)</f>
        <v>210</v>
      </c>
      <c r="C211" t="str">
        <f t="shared" si="3"/>
        <v>Palestine 1923</v>
      </c>
    </row>
    <row r="212" spans="1:3" x14ac:dyDescent="0.3">
      <c r="A212" t="s">
        <v>279</v>
      </c>
      <c r="B212">
        <f>IF(ISNUMBER(SEARCH(Form!$C$11,Tabel2[[#This Row],[Coordinate Projection System]])),MAX($B$1:B211)+1,0)</f>
        <v>211</v>
      </c>
      <c r="C212" t="str">
        <f t="shared" si="3"/>
        <v>Pointe Noire</v>
      </c>
    </row>
    <row r="213" spans="1:3" x14ac:dyDescent="0.3">
      <c r="A213" t="s">
        <v>280</v>
      </c>
      <c r="B213">
        <f>IF(ISNUMBER(SEARCH(Form!$C$11,Tabel2[[#This Row],[Coordinate Projection System]])),MAX($B$1:B212)+1,0)</f>
        <v>212</v>
      </c>
      <c r="C213" t="str">
        <f t="shared" si="3"/>
        <v>GDA94</v>
      </c>
    </row>
    <row r="214" spans="1:3" x14ac:dyDescent="0.3">
      <c r="A214" t="s">
        <v>281</v>
      </c>
      <c r="B214">
        <f>IF(ISNUMBER(SEARCH(Form!$C$11,Tabel2[[#This Row],[Coordinate Projection System]])),MAX($B$1:B213)+1,0)</f>
        <v>213</v>
      </c>
      <c r="C214" t="str">
        <f t="shared" si="3"/>
        <v>Pulkovo 1942</v>
      </c>
    </row>
    <row r="215" spans="1:3" x14ac:dyDescent="0.3">
      <c r="A215" t="s">
        <v>282</v>
      </c>
      <c r="B215">
        <f>IF(ISNUMBER(SEARCH(Form!$C$11,Tabel2[[#This Row],[Coordinate Projection System]])),MAX($B$1:B214)+1,0)</f>
        <v>214</v>
      </c>
      <c r="C215" t="str">
        <f t="shared" si="3"/>
        <v>Qatar 1974</v>
      </c>
    </row>
    <row r="216" spans="1:3" x14ac:dyDescent="0.3">
      <c r="A216" t="s">
        <v>283</v>
      </c>
      <c r="B216">
        <f>IF(ISNUMBER(SEARCH(Form!$C$11,Tabel2[[#This Row],[Coordinate Projection System]])),MAX($B$1:B215)+1,0)</f>
        <v>215</v>
      </c>
      <c r="C216" t="str">
        <f t="shared" si="3"/>
        <v>Qatar 1948</v>
      </c>
    </row>
    <row r="217" spans="1:3" x14ac:dyDescent="0.3">
      <c r="A217" t="s">
        <v>284</v>
      </c>
      <c r="B217">
        <f>IF(ISNUMBER(SEARCH(Form!$C$11,Tabel2[[#This Row],[Coordinate Projection System]])),MAX($B$1:B216)+1,0)</f>
        <v>216</v>
      </c>
      <c r="C217" t="str">
        <f t="shared" si="3"/>
        <v>Qornoq</v>
      </c>
    </row>
    <row r="218" spans="1:3" x14ac:dyDescent="0.3">
      <c r="A218" t="s">
        <v>285</v>
      </c>
      <c r="B218">
        <f>IF(ISNUMBER(SEARCH(Form!$C$11,Tabel2[[#This Row],[Coordinate Projection System]])),MAX($B$1:B217)+1,0)</f>
        <v>217</v>
      </c>
      <c r="C218" t="str">
        <f t="shared" si="3"/>
        <v>Loma Quintana</v>
      </c>
    </row>
    <row r="219" spans="1:3" x14ac:dyDescent="0.3">
      <c r="A219" t="s">
        <v>286</v>
      </c>
      <c r="B219">
        <f>IF(ISNUMBER(SEARCH(Form!$C$11,Tabel2[[#This Row],[Coordinate Projection System]])),MAX($B$1:B218)+1,0)</f>
        <v>218</v>
      </c>
      <c r="C219" t="str">
        <f t="shared" si="3"/>
        <v>Amersfoort</v>
      </c>
    </row>
    <row r="220" spans="1:3" x14ac:dyDescent="0.3">
      <c r="A220" t="s">
        <v>287</v>
      </c>
      <c r="B220">
        <f>IF(ISNUMBER(SEARCH(Form!$C$11,Tabel2[[#This Row],[Coordinate Projection System]])),MAX($B$1:B219)+1,0)</f>
        <v>219</v>
      </c>
      <c r="C220" t="str">
        <f t="shared" si="3"/>
        <v>SAD69</v>
      </c>
    </row>
    <row r="221" spans="1:3" x14ac:dyDescent="0.3">
      <c r="A221" t="s">
        <v>288</v>
      </c>
      <c r="B221">
        <f>IF(ISNUMBER(SEARCH(Form!$C$11,Tabel2[[#This Row],[Coordinate Projection System]])),MAX($B$1:B220)+1,0)</f>
        <v>220</v>
      </c>
      <c r="C221" t="str">
        <f t="shared" si="3"/>
        <v>Sapper Hill 1943</v>
      </c>
    </row>
    <row r="222" spans="1:3" x14ac:dyDescent="0.3">
      <c r="A222" t="s">
        <v>289</v>
      </c>
      <c r="B222">
        <f>IF(ISNUMBER(SEARCH(Form!$C$11,Tabel2[[#This Row],[Coordinate Projection System]])),MAX($B$1:B221)+1,0)</f>
        <v>221</v>
      </c>
      <c r="C222" t="str">
        <f t="shared" si="3"/>
        <v>Schwarzeck</v>
      </c>
    </row>
    <row r="223" spans="1:3" x14ac:dyDescent="0.3">
      <c r="A223" t="s">
        <v>290</v>
      </c>
      <c r="B223">
        <f>IF(ISNUMBER(SEARCH(Form!$C$11,Tabel2[[#This Row],[Coordinate Projection System]])),MAX($B$1:B222)+1,0)</f>
        <v>222</v>
      </c>
      <c r="C223" t="str">
        <f t="shared" si="3"/>
        <v>Segora</v>
      </c>
    </row>
    <row r="224" spans="1:3" x14ac:dyDescent="0.3">
      <c r="A224" t="s">
        <v>291</v>
      </c>
      <c r="B224">
        <f>IF(ISNUMBER(SEARCH(Form!$C$11,Tabel2[[#This Row],[Coordinate Projection System]])),MAX($B$1:B223)+1,0)</f>
        <v>223</v>
      </c>
      <c r="C224" t="str">
        <f t="shared" si="3"/>
        <v>Serindung</v>
      </c>
    </row>
    <row r="225" spans="1:3" x14ac:dyDescent="0.3">
      <c r="A225" t="s">
        <v>292</v>
      </c>
      <c r="B225">
        <f>IF(ISNUMBER(SEARCH(Form!$C$11,Tabel2[[#This Row],[Coordinate Projection System]])),MAX($B$1:B224)+1,0)</f>
        <v>224</v>
      </c>
      <c r="C225" t="str">
        <f t="shared" si="3"/>
        <v>Sudan</v>
      </c>
    </row>
    <row r="226" spans="1:3" x14ac:dyDescent="0.3">
      <c r="A226" t="s">
        <v>293</v>
      </c>
      <c r="B226">
        <f>IF(ISNUMBER(SEARCH(Form!$C$11,Tabel2[[#This Row],[Coordinate Projection System]])),MAX($B$1:B225)+1,0)</f>
        <v>225</v>
      </c>
      <c r="C226" t="str">
        <f t="shared" si="3"/>
        <v>Tananarive</v>
      </c>
    </row>
    <row r="227" spans="1:3" x14ac:dyDescent="0.3">
      <c r="A227" t="s">
        <v>294</v>
      </c>
      <c r="B227">
        <f>IF(ISNUMBER(SEARCH(Form!$C$11,Tabel2[[#This Row],[Coordinate Projection System]])),MAX($B$1:B226)+1,0)</f>
        <v>226</v>
      </c>
      <c r="C227" t="str">
        <f t="shared" si="3"/>
        <v>Timbalai 1948</v>
      </c>
    </row>
    <row r="228" spans="1:3" x14ac:dyDescent="0.3">
      <c r="A228" t="s">
        <v>295</v>
      </c>
      <c r="B228">
        <f>IF(ISNUMBER(SEARCH(Form!$C$11,Tabel2[[#This Row],[Coordinate Projection System]])),MAX($B$1:B227)+1,0)</f>
        <v>227</v>
      </c>
      <c r="C228" t="str">
        <f t="shared" si="3"/>
        <v>TM65</v>
      </c>
    </row>
    <row r="229" spans="1:3" x14ac:dyDescent="0.3">
      <c r="A229" t="s">
        <v>296</v>
      </c>
      <c r="B229">
        <f>IF(ISNUMBER(SEARCH(Form!$C$11,Tabel2[[#This Row],[Coordinate Projection System]])),MAX($B$1:B228)+1,0)</f>
        <v>228</v>
      </c>
      <c r="C229" t="str">
        <f t="shared" si="3"/>
        <v>TM75</v>
      </c>
    </row>
    <row r="230" spans="1:3" x14ac:dyDescent="0.3">
      <c r="A230" t="s">
        <v>297</v>
      </c>
      <c r="B230">
        <f>IF(ISNUMBER(SEARCH(Form!$C$11,Tabel2[[#This Row],[Coordinate Projection System]])),MAX($B$1:B229)+1,0)</f>
        <v>229</v>
      </c>
      <c r="C230" t="str">
        <f t="shared" si="3"/>
        <v>Tokyo</v>
      </c>
    </row>
    <row r="231" spans="1:3" x14ac:dyDescent="0.3">
      <c r="A231" t="s">
        <v>298</v>
      </c>
      <c r="B231">
        <f>IF(ISNUMBER(SEARCH(Form!$C$11,Tabel2[[#This Row],[Coordinate Projection System]])),MAX($B$1:B230)+1,0)</f>
        <v>230</v>
      </c>
      <c r="C231" t="str">
        <f t="shared" si="3"/>
        <v>Trinidad 1903</v>
      </c>
    </row>
    <row r="232" spans="1:3" x14ac:dyDescent="0.3">
      <c r="A232" t="s">
        <v>299</v>
      </c>
      <c r="B232">
        <f>IF(ISNUMBER(SEARCH(Form!$C$11,Tabel2[[#This Row],[Coordinate Projection System]])),MAX($B$1:B231)+1,0)</f>
        <v>231</v>
      </c>
      <c r="C232" t="str">
        <f t="shared" si="3"/>
        <v>TC(1948)</v>
      </c>
    </row>
    <row r="233" spans="1:3" x14ac:dyDescent="0.3">
      <c r="A233" t="s">
        <v>300</v>
      </c>
      <c r="B233">
        <f>IF(ISNUMBER(SEARCH(Form!$C$11,Tabel2[[#This Row],[Coordinate Projection System]])),MAX($B$1:B232)+1,0)</f>
        <v>232</v>
      </c>
      <c r="C233" t="str">
        <f t="shared" si="3"/>
        <v>Voirol 1875</v>
      </c>
    </row>
    <row r="234" spans="1:3" x14ac:dyDescent="0.3">
      <c r="A234" t="s">
        <v>301</v>
      </c>
      <c r="B234">
        <f>IF(ISNUMBER(SEARCH(Form!$C$11,Tabel2[[#This Row],[Coordinate Projection System]])),MAX($B$1:B233)+1,0)</f>
        <v>233</v>
      </c>
      <c r="C234" t="str">
        <f t="shared" si="3"/>
        <v>Bern 1938</v>
      </c>
    </row>
    <row r="235" spans="1:3" x14ac:dyDescent="0.3">
      <c r="A235" t="s">
        <v>302</v>
      </c>
      <c r="B235">
        <f>IF(ISNUMBER(SEARCH(Form!$C$11,Tabel2[[#This Row],[Coordinate Projection System]])),MAX($B$1:B234)+1,0)</f>
        <v>234</v>
      </c>
      <c r="C235" t="str">
        <f t="shared" si="3"/>
        <v>Nord Sahara 1959</v>
      </c>
    </row>
    <row r="236" spans="1:3" x14ac:dyDescent="0.3">
      <c r="A236" t="s">
        <v>303</v>
      </c>
      <c r="B236">
        <f>IF(ISNUMBER(SEARCH(Form!$C$11,Tabel2[[#This Row],[Coordinate Projection System]])),MAX($B$1:B235)+1,0)</f>
        <v>235</v>
      </c>
      <c r="C236" t="str">
        <f t="shared" si="3"/>
        <v>RT38</v>
      </c>
    </row>
    <row r="237" spans="1:3" x14ac:dyDescent="0.3">
      <c r="A237" t="s">
        <v>304</v>
      </c>
      <c r="B237">
        <f>IF(ISNUMBER(SEARCH(Form!$C$11,Tabel2[[#This Row],[Coordinate Projection System]])),MAX($B$1:B236)+1,0)</f>
        <v>236</v>
      </c>
      <c r="C237" t="str">
        <f t="shared" si="3"/>
        <v>Yacare</v>
      </c>
    </row>
    <row r="238" spans="1:3" x14ac:dyDescent="0.3">
      <c r="A238" t="s">
        <v>305</v>
      </c>
      <c r="B238">
        <f>IF(ISNUMBER(SEARCH(Form!$C$11,Tabel2[[#This Row],[Coordinate Projection System]])),MAX($B$1:B237)+1,0)</f>
        <v>237</v>
      </c>
      <c r="C238" t="str">
        <f t="shared" si="3"/>
        <v>Yoff</v>
      </c>
    </row>
    <row r="239" spans="1:3" x14ac:dyDescent="0.3">
      <c r="A239" t="s">
        <v>306</v>
      </c>
      <c r="B239">
        <f>IF(ISNUMBER(SEARCH(Form!$C$11,Tabel2[[#This Row],[Coordinate Projection System]])),MAX($B$1:B238)+1,0)</f>
        <v>238</v>
      </c>
      <c r="C239" t="str">
        <f t="shared" si="3"/>
        <v>Zanderij</v>
      </c>
    </row>
    <row r="240" spans="1:3" x14ac:dyDescent="0.3">
      <c r="A240" t="s">
        <v>307</v>
      </c>
      <c r="B240">
        <f>IF(ISNUMBER(SEARCH(Form!$C$11,Tabel2[[#This Row],[Coordinate Projection System]])),MAX($B$1:B239)+1,0)</f>
        <v>239</v>
      </c>
      <c r="C240" t="str">
        <f t="shared" si="3"/>
        <v>MGI</v>
      </c>
    </row>
    <row r="241" spans="1:3" x14ac:dyDescent="0.3">
      <c r="A241" t="s">
        <v>308</v>
      </c>
      <c r="B241">
        <f>IF(ISNUMBER(SEARCH(Form!$C$11,Tabel2[[#This Row],[Coordinate Projection System]])),MAX($B$1:B240)+1,0)</f>
        <v>240</v>
      </c>
      <c r="C241" t="str">
        <f t="shared" si="3"/>
        <v>Belge 1972</v>
      </c>
    </row>
    <row r="242" spans="1:3" x14ac:dyDescent="0.3">
      <c r="A242" t="s">
        <v>309</v>
      </c>
      <c r="B242">
        <f>IF(ISNUMBER(SEARCH(Form!$C$11,Tabel2[[#This Row],[Coordinate Projection System]])),MAX($B$1:B241)+1,0)</f>
        <v>241</v>
      </c>
      <c r="C242" t="str">
        <f t="shared" si="3"/>
        <v>DHDN</v>
      </c>
    </row>
    <row r="243" spans="1:3" x14ac:dyDescent="0.3">
      <c r="A243" t="s">
        <v>310</v>
      </c>
      <c r="B243">
        <f>IF(ISNUMBER(SEARCH(Form!$C$11,Tabel2[[#This Row],[Coordinate Projection System]])),MAX($B$1:B242)+1,0)</f>
        <v>242</v>
      </c>
      <c r="C243" t="str">
        <f t="shared" si="3"/>
        <v>Conakry 1905</v>
      </c>
    </row>
    <row r="244" spans="1:3" x14ac:dyDescent="0.3">
      <c r="A244" t="s">
        <v>311</v>
      </c>
      <c r="B244">
        <f>IF(ISNUMBER(SEARCH(Form!$C$11,Tabel2[[#This Row],[Coordinate Projection System]])),MAX($B$1:B243)+1,0)</f>
        <v>243</v>
      </c>
      <c r="C244" t="str">
        <f t="shared" si="3"/>
        <v>Dealul Piscului 1930</v>
      </c>
    </row>
    <row r="245" spans="1:3" x14ac:dyDescent="0.3">
      <c r="A245" t="s">
        <v>312</v>
      </c>
      <c r="B245">
        <f>IF(ISNUMBER(SEARCH(Form!$C$11,Tabel2[[#This Row],[Coordinate Projection System]])),MAX($B$1:B244)+1,0)</f>
        <v>244</v>
      </c>
      <c r="C245" t="str">
        <f t="shared" si="3"/>
        <v>Dealul Piscului 1970</v>
      </c>
    </row>
    <row r="246" spans="1:3" x14ac:dyDescent="0.3">
      <c r="A246" t="s">
        <v>313</v>
      </c>
      <c r="B246">
        <f>IF(ISNUMBER(SEARCH(Form!$C$11,Tabel2[[#This Row],[Coordinate Projection System]])),MAX($B$1:B245)+1,0)</f>
        <v>245</v>
      </c>
      <c r="C246" t="str">
        <f t="shared" si="3"/>
        <v>NGN</v>
      </c>
    </row>
    <row r="247" spans="1:3" x14ac:dyDescent="0.3">
      <c r="A247" t="s">
        <v>314</v>
      </c>
      <c r="B247">
        <f>IF(ISNUMBER(SEARCH(Form!$C$11,Tabel2[[#This Row],[Coordinate Projection System]])),MAX($B$1:B246)+1,0)</f>
        <v>246</v>
      </c>
      <c r="C247" t="str">
        <f t="shared" si="3"/>
        <v>KUDAMS</v>
      </c>
    </row>
    <row r="248" spans="1:3" x14ac:dyDescent="0.3">
      <c r="A248" t="s">
        <v>315</v>
      </c>
      <c r="B248">
        <f>IF(ISNUMBER(SEARCH(Form!$C$11,Tabel2[[#This Row],[Coordinate Projection System]])),MAX($B$1:B247)+1,0)</f>
        <v>247</v>
      </c>
      <c r="C248" t="str">
        <f t="shared" si="3"/>
        <v>WGS 72</v>
      </c>
    </row>
    <row r="249" spans="1:3" x14ac:dyDescent="0.3">
      <c r="A249" t="s">
        <v>316</v>
      </c>
      <c r="B249">
        <f>IF(ISNUMBER(SEARCH(Form!$C$11,Tabel2[[#This Row],[Coordinate Projection System]])),MAX($B$1:B248)+1,0)</f>
        <v>248</v>
      </c>
      <c r="C249" t="str">
        <f t="shared" si="3"/>
        <v>WGS 72BE</v>
      </c>
    </row>
    <row r="250" spans="1:3" x14ac:dyDescent="0.3">
      <c r="A250" t="s">
        <v>317</v>
      </c>
      <c r="B250">
        <f>IF(ISNUMBER(SEARCH(Form!$C$11,Tabel2[[#This Row],[Coordinate Projection System]])),MAX($B$1:B249)+1,0)</f>
        <v>249</v>
      </c>
      <c r="C250" t="str">
        <f t="shared" si="3"/>
        <v>WGS 84</v>
      </c>
    </row>
    <row r="251" spans="1:3" x14ac:dyDescent="0.3">
      <c r="A251" t="s">
        <v>318</v>
      </c>
      <c r="B251">
        <f>IF(ISNUMBER(SEARCH(Form!$C$11,Tabel2[[#This Row],[Coordinate Projection System]])),MAX($B$1:B250)+1,0)</f>
        <v>250</v>
      </c>
      <c r="C251" t="str">
        <f t="shared" si="3"/>
        <v>RGSPM06</v>
      </c>
    </row>
    <row r="252" spans="1:3" x14ac:dyDescent="0.3">
      <c r="A252" t="s">
        <v>319</v>
      </c>
      <c r="B252">
        <f>IF(ISNUMBER(SEARCH(Form!$C$11,Tabel2[[#This Row],[Coordinate Projection System]])),MAX($B$1:B251)+1,0)</f>
        <v>251</v>
      </c>
      <c r="C252" t="str">
        <f t="shared" si="3"/>
        <v>RGM04</v>
      </c>
    </row>
    <row r="253" spans="1:3" x14ac:dyDescent="0.3">
      <c r="A253" t="s">
        <v>320</v>
      </c>
      <c r="B253">
        <f>IF(ISNUMBER(SEARCH(Form!$C$11,Tabel2[[#This Row],[Coordinate Projection System]])),MAX($B$1:B252)+1,0)</f>
        <v>252</v>
      </c>
      <c r="C253" t="str">
        <f t="shared" si="3"/>
        <v>Cadastre 1997</v>
      </c>
    </row>
    <row r="254" spans="1:3" x14ac:dyDescent="0.3">
      <c r="A254" t="s">
        <v>321</v>
      </c>
      <c r="B254">
        <f>IF(ISNUMBER(SEARCH(Form!$C$11,Tabel2[[#This Row],[Coordinate Projection System]])),MAX($B$1:B253)+1,0)</f>
        <v>253</v>
      </c>
      <c r="C254" t="str">
        <f t="shared" si="3"/>
        <v>Mexico ITRF92</v>
      </c>
    </row>
    <row r="255" spans="1:3" x14ac:dyDescent="0.3">
      <c r="A255" t="s">
        <v>322</v>
      </c>
      <c r="B255">
        <f>IF(ISNUMBER(SEARCH(Form!$C$11,Tabel2[[#This Row],[Coordinate Projection System]])),MAX($B$1:B254)+1,0)</f>
        <v>254</v>
      </c>
      <c r="C255" t="str">
        <f t="shared" si="3"/>
        <v>China Geodetic Coordinate System 2000</v>
      </c>
    </row>
    <row r="256" spans="1:3" x14ac:dyDescent="0.3">
      <c r="A256" t="s">
        <v>323</v>
      </c>
      <c r="B256">
        <f>IF(ISNUMBER(SEARCH(Form!$C$11,Tabel2[[#This Row],[Coordinate Projection System]])),MAX($B$1:B255)+1,0)</f>
        <v>255</v>
      </c>
      <c r="C256" t="str">
        <f t="shared" si="3"/>
        <v>New Beijing</v>
      </c>
    </row>
    <row r="257" spans="1:3" x14ac:dyDescent="0.3">
      <c r="A257" t="s">
        <v>324</v>
      </c>
      <c r="B257">
        <f>IF(ISNUMBER(SEARCH(Form!$C$11,Tabel2[[#This Row],[Coordinate Projection System]])),MAX($B$1:B256)+1,0)</f>
        <v>256</v>
      </c>
      <c r="C257" t="str">
        <f t="shared" si="3"/>
        <v>RRAF 1991</v>
      </c>
    </row>
    <row r="258" spans="1:3" x14ac:dyDescent="0.3">
      <c r="A258" t="s">
        <v>325</v>
      </c>
      <c r="B258">
        <f>IF(ISNUMBER(SEARCH(Form!$C$11,Tabel2[[#This Row],[Coordinate Projection System]])),MAX($B$1:B257)+1,0)</f>
        <v>257</v>
      </c>
      <c r="C258" t="str">
        <f t="shared" si="3"/>
        <v>Anguilla 1957</v>
      </c>
    </row>
    <row r="259" spans="1:3" x14ac:dyDescent="0.3">
      <c r="A259" t="s">
        <v>326</v>
      </c>
      <c r="B259">
        <f>IF(ISNUMBER(SEARCH(Form!$C$11,Tabel2[[#This Row],[Coordinate Projection System]])),MAX($B$1:B258)+1,0)</f>
        <v>258</v>
      </c>
      <c r="C259" t="str">
        <f t="shared" ref="C259:C322" si="4">_xlfn.IFNA(INDEX(A259:A5770,MATCH(ROW(C258),B259:B5770,0)),"")</f>
        <v>Antigua 1943</v>
      </c>
    </row>
    <row r="260" spans="1:3" x14ac:dyDescent="0.3">
      <c r="A260" t="s">
        <v>327</v>
      </c>
      <c r="B260">
        <f>IF(ISNUMBER(SEARCH(Form!$C$11,Tabel2[[#This Row],[Coordinate Projection System]])),MAX($B$1:B259)+1,0)</f>
        <v>259</v>
      </c>
      <c r="C260" t="str">
        <f t="shared" si="4"/>
        <v>Dominica 1945</v>
      </c>
    </row>
    <row r="261" spans="1:3" x14ac:dyDescent="0.3">
      <c r="A261" t="s">
        <v>328</v>
      </c>
      <c r="B261">
        <f>IF(ISNUMBER(SEARCH(Form!$C$11,Tabel2[[#This Row],[Coordinate Projection System]])),MAX($B$1:B260)+1,0)</f>
        <v>260</v>
      </c>
      <c r="C261" t="str">
        <f t="shared" si="4"/>
        <v>Grenada 1953</v>
      </c>
    </row>
    <row r="262" spans="1:3" x14ac:dyDescent="0.3">
      <c r="A262" t="s">
        <v>329</v>
      </c>
      <c r="B262">
        <f>IF(ISNUMBER(SEARCH(Form!$C$11,Tabel2[[#This Row],[Coordinate Projection System]])),MAX($B$1:B261)+1,0)</f>
        <v>261</v>
      </c>
      <c r="C262" t="str">
        <f t="shared" si="4"/>
        <v>Montserrat 1958</v>
      </c>
    </row>
    <row r="263" spans="1:3" x14ac:dyDescent="0.3">
      <c r="A263" t="s">
        <v>330</v>
      </c>
      <c r="B263">
        <f>IF(ISNUMBER(SEARCH(Form!$C$11,Tabel2[[#This Row],[Coordinate Projection System]])),MAX($B$1:B262)+1,0)</f>
        <v>262</v>
      </c>
      <c r="C263" t="str">
        <f t="shared" si="4"/>
        <v>St. Kitts 1955</v>
      </c>
    </row>
    <row r="264" spans="1:3" x14ac:dyDescent="0.3">
      <c r="A264" t="s">
        <v>331</v>
      </c>
      <c r="B264">
        <f>IF(ISNUMBER(SEARCH(Form!$C$11,Tabel2[[#This Row],[Coordinate Projection System]])),MAX($B$1:B263)+1,0)</f>
        <v>263</v>
      </c>
      <c r="C264" t="str">
        <f t="shared" si="4"/>
        <v>St. Lucia 1955</v>
      </c>
    </row>
    <row r="265" spans="1:3" x14ac:dyDescent="0.3">
      <c r="A265" t="s">
        <v>332</v>
      </c>
      <c r="B265">
        <f>IF(ISNUMBER(SEARCH(Form!$C$11,Tabel2[[#This Row],[Coordinate Projection System]])),MAX($B$1:B264)+1,0)</f>
        <v>264</v>
      </c>
      <c r="C265" t="str">
        <f t="shared" si="4"/>
        <v>St. Vincent 1945</v>
      </c>
    </row>
    <row r="266" spans="1:3" x14ac:dyDescent="0.3">
      <c r="A266" t="s">
        <v>333</v>
      </c>
      <c r="B266">
        <f>IF(ISNUMBER(SEARCH(Form!$C$11,Tabel2[[#This Row],[Coordinate Projection System]])),MAX($B$1:B265)+1,0)</f>
        <v>265</v>
      </c>
      <c r="C266" t="str">
        <f t="shared" si="4"/>
        <v>NAD27(76)</v>
      </c>
    </row>
    <row r="267" spans="1:3" x14ac:dyDescent="0.3">
      <c r="A267" t="s">
        <v>334</v>
      </c>
      <c r="B267">
        <f>IF(ISNUMBER(SEARCH(Form!$C$11,Tabel2[[#This Row],[Coordinate Projection System]])),MAX($B$1:B266)+1,0)</f>
        <v>266</v>
      </c>
      <c r="C267" t="str">
        <f t="shared" si="4"/>
        <v>NAD27(CGQ77)</v>
      </c>
    </row>
    <row r="268" spans="1:3" x14ac:dyDescent="0.3">
      <c r="A268" t="s">
        <v>335</v>
      </c>
      <c r="B268">
        <f>IF(ISNUMBER(SEARCH(Form!$C$11,Tabel2[[#This Row],[Coordinate Projection System]])),MAX($B$1:B267)+1,0)</f>
        <v>267</v>
      </c>
      <c r="C268" t="str">
        <f t="shared" si="4"/>
        <v>Xian 1980</v>
      </c>
    </row>
    <row r="269" spans="1:3" x14ac:dyDescent="0.3">
      <c r="A269" t="s">
        <v>336</v>
      </c>
      <c r="B269">
        <f>IF(ISNUMBER(SEARCH(Form!$C$11,Tabel2[[#This Row],[Coordinate Projection System]])),MAX($B$1:B268)+1,0)</f>
        <v>268</v>
      </c>
      <c r="C269" t="str">
        <f t="shared" si="4"/>
        <v>Hong Kong 1980</v>
      </c>
    </row>
    <row r="270" spans="1:3" x14ac:dyDescent="0.3">
      <c r="A270" t="s">
        <v>337</v>
      </c>
      <c r="B270">
        <f>IF(ISNUMBER(SEARCH(Form!$C$11,Tabel2[[#This Row],[Coordinate Projection System]])),MAX($B$1:B269)+1,0)</f>
        <v>269</v>
      </c>
      <c r="C270" t="str">
        <f t="shared" si="4"/>
        <v>JGD2000</v>
      </c>
    </row>
    <row r="271" spans="1:3" x14ac:dyDescent="0.3">
      <c r="A271" t="s">
        <v>338</v>
      </c>
      <c r="B271">
        <f>IF(ISNUMBER(SEARCH(Form!$C$11,Tabel2[[#This Row],[Coordinate Projection System]])),MAX($B$1:B270)+1,0)</f>
        <v>270</v>
      </c>
      <c r="C271" t="str">
        <f t="shared" si="4"/>
        <v>Segara</v>
      </c>
    </row>
    <row r="272" spans="1:3" x14ac:dyDescent="0.3">
      <c r="A272" t="s">
        <v>339</v>
      </c>
      <c r="B272">
        <f>IF(ISNUMBER(SEARCH(Form!$C$11,Tabel2[[#This Row],[Coordinate Projection System]])),MAX($B$1:B271)+1,0)</f>
        <v>271</v>
      </c>
      <c r="C272" t="str">
        <f t="shared" si="4"/>
        <v>QND95</v>
      </c>
    </row>
    <row r="273" spans="1:3" x14ac:dyDescent="0.3">
      <c r="A273" t="s">
        <v>340</v>
      </c>
      <c r="B273">
        <f>IF(ISNUMBER(SEARCH(Form!$C$11,Tabel2[[#This Row],[Coordinate Projection System]])),MAX($B$1:B272)+1,0)</f>
        <v>272</v>
      </c>
      <c r="C273" t="str">
        <f t="shared" si="4"/>
        <v>Porto Santo</v>
      </c>
    </row>
    <row r="274" spans="1:3" x14ac:dyDescent="0.3">
      <c r="A274" t="s">
        <v>341</v>
      </c>
      <c r="B274">
        <f>IF(ISNUMBER(SEARCH(Form!$C$11,Tabel2[[#This Row],[Coordinate Projection System]])),MAX($B$1:B273)+1,0)</f>
        <v>273</v>
      </c>
      <c r="C274" t="str">
        <f t="shared" si="4"/>
        <v>Selvagem Grande</v>
      </c>
    </row>
    <row r="275" spans="1:3" x14ac:dyDescent="0.3">
      <c r="A275" t="s">
        <v>342</v>
      </c>
      <c r="B275">
        <f>IF(ISNUMBER(SEARCH(Form!$C$11,Tabel2[[#This Row],[Coordinate Projection System]])),MAX($B$1:B274)+1,0)</f>
        <v>274</v>
      </c>
      <c r="C275" t="str">
        <f t="shared" si="4"/>
        <v>NAD83(CSRS)</v>
      </c>
    </row>
    <row r="276" spans="1:3" x14ac:dyDescent="0.3">
      <c r="A276" t="s">
        <v>287</v>
      </c>
      <c r="B276">
        <f>IF(ISNUMBER(SEARCH(Form!$C$11,Tabel2[[#This Row],[Coordinate Projection System]])),MAX($B$1:B275)+1,0)</f>
        <v>275</v>
      </c>
      <c r="C276" t="str">
        <f t="shared" si="4"/>
        <v>SAD69</v>
      </c>
    </row>
    <row r="277" spans="1:3" x14ac:dyDescent="0.3">
      <c r="A277" t="s">
        <v>343</v>
      </c>
      <c r="B277">
        <f>IF(ISNUMBER(SEARCH(Form!$C$11,Tabel2[[#This Row],[Coordinate Projection System]])),MAX($B$1:B276)+1,0)</f>
        <v>276</v>
      </c>
      <c r="C277" t="str">
        <f t="shared" si="4"/>
        <v>SWEREF99</v>
      </c>
    </row>
    <row r="278" spans="1:3" x14ac:dyDescent="0.3">
      <c r="A278" t="s">
        <v>344</v>
      </c>
      <c r="B278">
        <f>IF(ISNUMBER(SEARCH(Form!$C$11,Tabel2[[#This Row],[Coordinate Projection System]])),MAX($B$1:B277)+1,0)</f>
        <v>277</v>
      </c>
      <c r="C278" t="str">
        <f t="shared" si="4"/>
        <v>Point 58</v>
      </c>
    </row>
    <row r="279" spans="1:3" x14ac:dyDescent="0.3">
      <c r="A279" t="s">
        <v>345</v>
      </c>
      <c r="B279">
        <f>IF(ISNUMBER(SEARCH(Form!$C$11,Tabel2[[#This Row],[Coordinate Projection System]])),MAX($B$1:B278)+1,0)</f>
        <v>278</v>
      </c>
      <c r="C279" t="str">
        <f t="shared" si="4"/>
        <v>Fort Marigot</v>
      </c>
    </row>
    <row r="280" spans="1:3" x14ac:dyDescent="0.3">
      <c r="A280" t="s">
        <v>346</v>
      </c>
      <c r="B280">
        <f>IF(ISNUMBER(SEARCH(Form!$C$11,Tabel2[[#This Row],[Coordinate Projection System]])),MAX($B$1:B279)+1,0)</f>
        <v>279</v>
      </c>
      <c r="C280" t="str">
        <f t="shared" si="4"/>
        <v>Guadeloupe 1948</v>
      </c>
    </row>
    <row r="281" spans="1:3" x14ac:dyDescent="0.3">
      <c r="A281" t="s">
        <v>347</v>
      </c>
      <c r="B281">
        <f>IF(ISNUMBER(SEARCH(Form!$C$11,Tabel2[[#This Row],[Coordinate Projection System]])),MAX($B$1:B280)+1,0)</f>
        <v>280</v>
      </c>
      <c r="C281" t="str">
        <f t="shared" si="4"/>
        <v>CSG67</v>
      </c>
    </row>
    <row r="282" spans="1:3" x14ac:dyDescent="0.3">
      <c r="A282" t="s">
        <v>348</v>
      </c>
      <c r="B282">
        <f>IF(ISNUMBER(SEARCH(Form!$C$11,Tabel2[[#This Row],[Coordinate Projection System]])),MAX($B$1:B281)+1,0)</f>
        <v>281</v>
      </c>
      <c r="C282" t="str">
        <f t="shared" si="4"/>
        <v>RGFG95</v>
      </c>
    </row>
    <row r="283" spans="1:3" x14ac:dyDescent="0.3">
      <c r="A283" t="s">
        <v>349</v>
      </c>
      <c r="B283">
        <f>IF(ISNUMBER(SEARCH(Form!$C$11,Tabel2[[#This Row],[Coordinate Projection System]])),MAX($B$1:B282)+1,0)</f>
        <v>282</v>
      </c>
      <c r="C283" t="str">
        <f t="shared" si="4"/>
        <v>Martinique 1938</v>
      </c>
    </row>
    <row r="284" spans="1:3" x14ac:dyDescent="0.3">
      <c r="A284" t="s">
        <v>350</v>
      </c>
      <c r="B284">
        <f>IF(ISNUMBER(SEARCH(Form!$C$11,Tabel2[[#This Row],[Coordinate Projection System]])),MAX($B$1:B283)+1,0)</f>
        <v>283</v>
      </c>
      <c r="C284" t="str">
        <f t="shared" si="4"/>
        <v>Reunion 1947</v>
      </c>
    </row>
    <row r="285" spans="1:3" x14ac:dyDescent="0.3">
      <c r="A285" t="s">
        <v>351</v>
      </c>
      <c r="B285">
        <f>IF(ISNUMBER(SEARCH(Form!$C$11,Tabel2[[#This Row],[Coordinate Projection System]])),MAX($B$1:B284)+1,0)</f>
        <v>284</v>
      </c>
      <c r="C285" t="str">
        <f t="shared" si="4"/>
        <v>RGR92</v>
      </c>
    </row>
    <row r="286" spans="1:3" x14ac:dyDescent="0.3">
      <c r="A286" t="s">
        <v>352</v>
      </c>
      <c r="B286">
        <f>IF(ISNUMBER(SEARCH(Form!$C$11,Tabel2[[#This Row],[Coordinate Projection System]])),MAX($B$1:B285)+1,0)</f>
        <v>285</v>
      </c>
      <c r="C286" t="str">
        <f t="shared" si="4"/>
        <v>Tahiti 52</v>
      </c>
    </row>
    <row r="287" spans="1:3" x14ac:dyDescent="0.3">
      <c r="A287" t="s">
        <v>353</v>
      </c>
      <c r="B287">
        <f>IF(ISNUMBER(SEARCH(Form!$C$11,Tabel2[[#This Row],[Coordinate Projection System]])),MAX($B$1:B286)+1,0)</f>
        <v>286</v>
      </c>
      <c r="C287" t="str">
        <f t="shared" si="4"/>
        <v>Tahaa 54</v>
      </c>
    </row>
    <row r="288" spans="1:3" x14ac:dyDescent="0.3">
      <c r="A288" t="s">
        <v>354</v>
      </c>
      <c r="B288">
        <f>IF(ISNUMBER(SEARCH(Form!$C$11,Tabel2[[#This Row],[Coordinate Projection System]])),MAX($B$1:B287)+1,0)</f>
        <v>287</v>
      </c>
      <c r="C288" t="str">
        <f t="shared" si="4"/>
        <v>IGN72 Nuku Hiva</v>
      </c>
    </row>
    <row r="289" spans="1:3" x14ac:dyDescent="0.3">
      <c r="A289" t="s">
        <v>355</v>
      </c>
      <c r="B289">
        <f>IF(ISNUMBER(SEARCH(Form!$C$11,Tabel2[[#This Row],[Coordinate Projection System]])),MAX($B$1:B288)+1,0)</f>
        <v>288</v>
      </c>
      <c r="C289" t="str">
        <f t="shared" si="4"/>
        <v>K0 1949</v>
      </c>
    </row>
    <row r="290" spans="1:3" x14ac:dyDescent="0.3">
      <c r="A290" t="s">
        <v>356</v>
      </c>
      <c r="B290">
        <f>IF(ISNUMBER(SEARCH(Form!$C$11,Tabel2[[#This Row],[Coordinate Projection System]])),MAX($B$1:B289)+1,0)</f>
        <v>289</v>
      </c>
      <c r="C290" t="str">
        <f t="shared" si="4"/>
        <v>Combani 1950</v>
      </c>
    </row>
    <row r="291" spans="1:3" x14ac:dyDescent="0.3">
      <c r="A291" t="s">
        <v>357</v>
      </c>
      <c r="B291">
        <f>IF(ISNUMBER(SEARCH(Form!$C$11,Tabel2[[#This Row],[Coordinate Projection System]])),MAX($B$1:B290)+1,0)</f>
        <v>290</v>
      </c>
      <c r="C291" t="str">
        <f t="shared" si="4"/>
        <v>IGN56 Lifou</v>
      </c>
    </row>
    <row r="292" spans="1:3" x14ac:dyDescent="0.3">
      <c r="A292" t="s">
        <v>358</v>
      </c>
      <c r="B292">
        <f>IF(ISNUMBER(SEARCH(Form!$C$11,Tabel2[[#This Row],[Coordinate Projection System]])),MAX($B$1:B291)+1,0)</f>
        <v>291</v>
      </c>
      <c r="C292" t="str">
        <f t="shared" si="4"/>
        <v>IGN72 Grand Terre</v>
      </c>
    </row>
    <row r="293" spans="1:3" x14ac:dyDescent="0.3">
      <c r="A293" t="s">
        <v>359</v>
      </c>
      <c r="B293">
        <f>IF(ISNUMBER(SEARCH(Form!$C$11,Tabel2[[#This Row],[Coordinate Projection System]])),MAX($B$1:B292)+1,0)</f>
        <v>292</v>
      </c>
      <c r="C293" t="str">
        <f t="shared" si="4"/>
        <v>ST87 Ouvea</v>
      </c>
    </row>
    <row r="294" spans="1:3" x14ac:dyDescent="0.3">
      <c r="A294" t="s">
        <v>360</v>
      </c>
      <c r="B294">
        <f>IF(ISNUMBER(SEARCH(Form!$C$11,Tabel2[[#This Row],[Coordinate Projection System]])),MAX($B$1:B293)+1,0)</f>
        <v>293</v>
      </c>
      <c r="C294" t="str">
        <f t="shared" si="4"/>
        <v>Petrels 1972</v>
      </c>
    </row>
    <row r="295" spans="1:3" x14ac:dyDescent="0.3">
      <c r="A295" t="s">
        <v>361</v>
      </c>
      <c r="B295">
        <f>IF(ISNUMBER(SEARCH(Form!$C$11,Tabel2[[#This Row],[Coordinate Projection System]])),MAX($B$1:B294)+1,0)</f>
        <v>294</v>
      </c>
      <c r="C295" t="str">
        <f t="shared" si="4"/>
        <v>Perroud 1950</v>
      </c>
    </row>
    <row r="296" spans="1:3" x14ac:dyDescent="0.3">
      <c r="A296" t="s">
        <v>362</v>
      </c>
      <c r="B296">
        <f>IF(ISNUMBER(SEARCH(Form!$C$11,Tabel2[[#This Row],[Coordinate Projection System]])),MAX($B$1:B295)+1,0)</f>
        <v>295</v>
      </c>
      <c r="C296" t="str">
        <f t="shared" si="4"/>
        <v>Saint Pierre et Miquelon 1950</v>
      </c>
    </row>
    <row r="297" spans="1:3" x14ac:dyDescent="0.3">
      <c r="A297" t="s">
        <v>363</v>
      </c>
      <c r="B297">
        <f>IF(ISNUMBER(SEARCH(Form!$C$11,Tabel2[[#This Row],[Coordinate Projection System]])),MAX($B$1:B296)+1,0)</f>
        <v>296</v>
      </c>
      <c r="C297" t="str">
        <f t="shared" si="4"/>
        <v>MOP78</v>
      </c>
    </row>
    <row r="298" spans="1:3" x14ac:dyDescent="0.3">
      <c r="A298" t="s">
        <v>324</v>
      </c>
      <c r="B298">
        <f>IF(ISNUMBER(SEARCH(Form!$C$11,Tabel2[[#This Row],[Coordinate Projection System]])),MAX($B$1:B297)+1,0)</f>
        <v>297</v>
      </c>
      <c r="C298" t="str">
        <f t="shared" si="4"/>
        <v>RRAF 1991</v>
      </c>
    </row>
    <row r="299" spans="1:3" x14ac:dyDescent="0.3">
      <c r="A299" t="s">
        <v>364</v>
      </c>
      <c r="B299">
        <f>IF(ISNUMBER(SEARCH(Form!$C$11,Tabel2[[#This Row],[Coordinate Projection System]])),MAX($B$1:B298)+1,0)</f>
        <v>298</v>
      </c>
      <c r="C299" t="str">
        <f t="shared" si="4"/>
        <v>IGN53 Mare</v>
      </c>
    </row>
    <row r="300" spans="1:3" x14ac:dyDescent="0.3">
      <c r="A300" t="s">
        <v>365</v>
      </c>
      <c r="B300">
        <f>IF(ISNUMBER(SEARCH(Form!$C$11,Tabel2[[#This Row],[Coordinate Projection System]])),MAX($B$1:B299)+1,0)</f>
        <v>299</v>
      </c>
      <c r="C300" t="str">
        <f t="shared" si="4"/>
        <v>ST84 Ile des Pins</v>
      </c>
    </row>
    <row r="301" spans="1:3" x14ac:dyDescent="0.3">
      <c r="A301" t="s">
        <v>366</v>
      </c>
      <c r="B301">
        <f>IF(ISNUMBER(SEARCH(Form!$C$11,Tabel2[[#This Row],[Coordinate Projection System]])),MAX($B$1:B300)+1,0)</f>
        <v>300</v>
      </c>
      <c r="C301" t="str">
        <f t="shared" si="4"/>
        <v>ST71 Belep</v>
      </c>
    </row>
    <row r="302" spans="1:3" x14ac:dyDescent="0.3">
      <c r="A302" t="s">
        <v>367</v>
      </c>
      <c r="B302">
        <f>IF(ISNUMBER(SEARCH(Form!$C$11,Tabel2[[#This Row],[Coordinate Projection System]])),MAX($B$1:B301)+1,0)</f>
        <v>301</v>
      </c>
      <c r="C302" t="str">
        <f t="shared" si="4"/>
        <v>NEA74 Noumea</v>
      </c>
    </row>
    <row r="303" spans="1:3" x14ac:dyDescent="0.3">
      <c r="A303" t="s">
        <v>368</v>
      </c>
      <c r="B303">
        <f>IF(ISNUMBER(SEARCH(Form!$C$11,Tabel2[[#This Row],[Coordinate Projection System]])),MAX($B$1:B302)+1,0)</f>
        <v>302</v>
      </c>
      <c r="C303" t="str">
        <f t="shared" si="4"/>
        <v>RGNC 1991</v>
      </c>
    </row>
    <row r="304" spans="1:3" x14ac:dyDescent="0.3">
      <c r="A304" t="s">
        <v>369</v>
      </c>
      <c r="B304">
        <f>IF(ISNUMBER(SEARCH(Form!$C$11,Tabel2[[#This Row],[Coordinate Projection System]])),MAX($B$1:B303)+1,0)</f>
        <v>303</v>
      </c>
      <c r="C304" t="str">
        <f t="shared" si="4"/>
        <v>Grand Comoros</v>
      </c>
    </row>
    <row r="305" spans="1:3" x14ac:dyDescent="0.3">
      <c r="A305" t="s">
        <v>370</v>
      </c>
      <c r="B305">
        <f>IF(ISNUMBER(SEARCH(Form!$C$11,Tabel2[[#This Row],[Coordinate Projection System]])),MAX($B$1:B304)+1,0)</f>
        <v>304</v>
      </c>
      <c r="C305" t="str">
        <f t="shared" si="4"/>
        <v>Reykjavik 1900</v>
      </c>
    </row>
    <row r="306" spans="1:3" x14ac:dyDescent="0.3">
      <c r="A306" t="s">
        <v>371</v>
      </c>
      <c r="B306">
        <f>IF(ISNUMBER(SEARCH(Form!$C$11,Tabel2[[#This Row],[Coordinate Projection System]])),MAX($B$1:B305)+1,0)</f>
        <v>305</v>
      </c>
      <c r="C306" t="str">
        <f t="shared" si="4"/>
        <v>Hjorsey 1955</v>
      </c>
    </row>
    <row r="307" spans="1:3" x14ac:dyDescent="0.3">
      <c r="A307" t="s">
        <v>372</v>
      </c>
      <c r="B307">
        <f>IF(ISNUMBER(SEARCH(Form!$C$11,Tabel2[[#This Row],[Coordinate Projection System]])),MAX($B$1:B306)+1,0)</f>
        <v>306</v>
      </c>
      <c r="C307" t="str">
        <f t="shared" si="4"/>
        <v>ISN93</v>
      </c>
    </row>
    <row r="308" spans="1:3" x14ac:dyDescent="0.3">
      <c r="A308" t="s">
        <v>373</v>
      </c>
      <c r="B308">
        <f>IF(ISNUMBER(SEARCH(Form!$C$11,Tabel2[[#This Row],[Coordinate Projection System]])),MAX($B$1:B307)+1,0)</f>
        <v>307</v>
      </c>
      <c r="C308" t="str">
        <f t="shared" si="4"/>
        <v>Helle 1954</v>
      </c>
    </row>
    <row r="309" spans="1:3" x14ac:dyDescent="0.3">
      <c r="A309" t="s">
        <v>374</v>
      </c>
      <c r="B309">
        <f>IF(ISNUMBER(SEARCH(Form!$C$11,Tabel2[[#This Row],[Coordinate Projection System]])),MAX($B$1:B308)+1,0)</f>
        <v>308</v>
      </c>
      <c r="C309" t="str">
        <f t="shared" si="4"/>
        <v>LKS92</v>
      </c>
    </row>
    <row r="310" spans="1:3" x14ac:dyDescent="0.3">
      <c r="A310" t="s">
        <v>375</v>
      </c>
      <c r="B310">
        <f>IF(ISNUMBER(SEARCH(Form!$C$11,Tabel2[[#This Row],[Coordinate Projection System]])),MAX($B$1:B309)+1,0)</f>
        <v>309</v>
      </c>
      <c r="C310" t="str">
        <f t="shared" si="4"/>
        <v>IGN72 Grande Terre</v>
      </c>
    </row>
    <row r="311" spans="1:3" x14ac:dyDescent="0.3">
      <c r="A311" t="s">
        <v>376</v>
      </c>
      <c r="B311">
        <f>IF(ISNUMBER(SEARCH(Form!$C$11,Tabel2[[#This Row],[Coordinate Projection System]])),MAX($B$1:B310)+1,0)</f>
        <v>310</v>
      </c>
      <c r="C311" t="str">
        <f t="shared" si="4"/>
        <v>Porto Santo 1995</v>
      </c>
    </row>
    <row r="312" spans="1:3" x14ac:dyDescent="0.3">
      <c r="A312" t="s">
        <v>377</v>
      </c>
      <c r="B312">
        <f>IF(ISNUMBER(SEARCH(Form!$C$11,Tabel2[[#This Row],[Coordinate Projection System]])),MAX($B$1:B311)+1,0)</f>
        <v>311</v>
      </c>
      <c r="C312" t="str">
        <f t="shared" si="4"/>
        <v>Azores Oriental 1995</v>
      </c>
    </row>
    <row r="313" spans="1:3" x14ac:dyDescent="0.3">
      <c r="A313" t="s">
        <v>378</v>
      </c>
      <c r="B313">
        <f>IF(ISNUMBER(SEARCH(Form!$C$11,Tabel2[[#This Row],[Coordinate Projection System]])),MAX($B$1:B312)+1,0)</f>
        <v>312</v>
      </c>
      <c r="C313" t="str">
        <f t="shared" si="4"/>
        <v>Azores Central 1995</v>
      </c>
    </row>
    <row r="314" spans="1:3" x14ac:dyDescent="0.3">
      <c r="A314" t="s">
        <v>379</v>
      </c>
      <c r="B314">
        <f>IF(ISNUMBER(SEARCH(Form!$C$11,Tabel2[[#This Row],[Coordinate Projection System]])),MAX($B$1:B313)+1,0)</f>
        <v>313</v>
      </c>
      <c r="C314" t="str">
        <f t="shared" si="4"/>
        <v>Lisbon 1890</v>
      </c>
    </row>
    <row r="315" spans="1:3" x14ac:dyDescent="0.3">
      <c r="A315" t="s">
        <v>380</v>
      </c>
      <c r="B315">
        <f>IF(ISNUMBER(SEARCH(Form!$C$11,Tabel2[[#This Row],[Coordinate Projection System]])),MAX($B$1:B314)+1,0)</f>
        <v>314</v>
      </c>
      <c r="C315" t="str">
        <f t="shared" si="4"/>
        <v>IKBD-92</v>
      </c>
    </row>
    <row r="316" spans="1:3" x14ac:dyDescent="0.3">
      <c r="A316" t="s">
        <v>381</v>
      </c>
      <c r="B316">
        <f>IF(ISNUMBER(SEARCH(Form!$C$11,Tabel2[[#This Row],[Coordinate Projection System]])),MAX($B$1:B315)+1,0)</f>
        <v>315</v>
      </c>
      <c r="C316" t="str">
        <f t="shared" si="4"/>
        <v>ED79</v>
      </c>
    </row>
    <row r="317" spans="1:3" x14ac:dyDescent="0.3">
      <c r="A317" t="s">
        <v>382</v>
      </c>
      <c r="B317">
        <f>IF(ISNUMBER(SEARCH(Form!$C$11,Tabel2[[#This Row],[Coordinate Projection System]])),MAX($B$1:B316)+1,0)</f>
        <v>316</v>
      </c>
      <c r="C317" t="str">
        <f t="shared" si="4"/>
        <v>LKS94</v>
      </c>
    </row>
    <row r="318" spans="1:3" x14ac:dyDescent="0.3">
      <c r="A318" t="s">
        <v>383</v>
      </c>
      <c r="B318">
        <f>IF(ISNUMBER(SEARCH(Form!$C$11,Tabel2[[#This Row],[Coordinate Projection System]])),MAX($B$1:B317)+1,0)</f>
        <v>317</v>
      </c>
      <c r="C318" t="str">
        <f t="shared" si="4"/>
        <v>IGM95</v>
      </c>
    </row>
    <row r="319" spans="1:3" x14ac:dyDescent="0.3">
      <c r="A319" t="s">
        <v>384</v>
      </c>
      <c r="B319">
        <f>IF(ISNUMBER(SEARCH(Form!$C$11,Tabel2[[#This Row],[Coordinate Projection System]])),MAX($B$1:B318)+1,0)</f>
        <v>318</v>
      </c>
      <c r="C319" t="str">
        <f t="shared" si="4"/>
        <v>Voirol 1879</v>
      </c>
    </row>
    <row r="320" spans="1:3" x14ac:dyDescent="0.3">
      <c r="A320" t="s">
        <v>385</v>
      </c>
      <c r="B320">
        <f>IF(ISNUMBER(SEARCH(Form!$C$11,Tabel2[[#This Row],[Coordinate Projection System]])),MAX($B$1:B319)+1,0)</f>
        <v>319</v>
      </c>
      <c r="C320" t="str">
        <f t="shared" si="4"/>
        <v>Chatham Islands 1971</v>
      </c>
    </row>
    <row r="321" spans="1:3" x14ac:dyDescent="0.3">
      <c r="A321" t="s">
        <v>386</v>
      </c>
      <c r="B321">
        <f>IF(ISNUMBER(SEARCH(Form!$C$11,Tabel2[[#This Row],[Coordinate Projection System]])),MAX($B$1:B320)+1,0)</f>
        <v>320</v>
      </c>
      <c r="C321" t="str">
        <f t="shared" si="4"/>
        <v>Chatham Islands 1979</v>
      </c>
    </row>
    <row r="322" spans="1:3" x14ac:dyDescent="0.3">
      <c r="A322" t="s">
        <v>387</v>
      </c>
      <c r="B322">
        <f>IF(ISNUMBER(SEARCH(Form!$C$11,Tabel2[[#This Row],[Coordinate Projection System]])),MAX($B$1:B321)+1,0)</f>
        <v>321</v>
      </c>
      <c r="C322" t="str">
        <f t="shared" si="4"/>
        <v>SIRGAS 2000</v>
      </c>
    </row>
    <row r="323" spans="1:3" x14ac:dyDescent="0.3">
      <c r="A323" t="s">
        <v>388</v>
      </c>
      <c r="B323">
        <f>IF(ISNUMBER(SEARCH(Form!$C$11,Tabel2[[#This Row],[Coordinate Projection System]])),MAX($B$1:B322)+1,0)</f>
        <v>322</v>
      </c>
      <c r="C323" t="str">
        <f t="shared" ref="C323:C386" si="5">_xlfn.IFNA(INDEX(A323:A5834,MATCH(ROW(C322),B323:B5834,0)),"")</f>
        <v>Guam 1963</v>
      </c>
    </row>
    <row r="324" spans="1:3" x14ac:dyDescent="0.3">
      <c r="A324" t="s">
        <v>389</v>
      </c>
      <c r="B324">
        <f>IF(ISNUMBER(SEARCH(Form!$C$11,Tabel2[[#This Row],[Coordinate Projection System]])),MAX($B$1:B323)+1,0)</f>
        <v>323</v>
      </c>
      <c r="C324" t="str">
        <f t="shared" si="5"/>
        <v>Vientiane 1982</v>
      </c>
    </row>
    <row r="325" spans="1:3" x14ac:dyDescent="0.3">
      <c r="A325" t="s">
        <v>390</v>
      </c>
      <c r="B325">
        <f>IF(ISNUMBER(SEARCH(Form!$C$11,Tabel2[[#This Row],[Coordinate Projection System]])),MAX($B$1:B324)+1,0)</f>
        <v>324</v>
      </c>
      <c r="C325" t="str">
        <f t="shared" si="5"/>
        <v>Lao 1993</v>
      </c>
    </row>
    <row r="326" spans="1:3" x14ac:dyDescent="0.3">
      <c r="A326" t="s">
        <v>391</v>
      </c>
      <c r="B326">
        <f>IF(ISNUMBER(SEARCH(Form!$C$11,Tabel2[[#This Row],[Coordinate Projection System]])),MAX($B$1:B325)+1,0)</f>
        <v>325</v>
      </c>
      <c r="C326" t="str">
        <f t="shared" si="5"/>
        <v>Lao 1997</v>
      </c>
    </row>
    <row r="327" spans="1:3" x14ac:dyDescent="0.3">
      <c r="A327" t="s">
        <v>392</v>
      </c>
      <c r="B327">
        <f>IF(ISNUMBER(SEARCH(Form!$C$11,Tabel2[[#This Row],[Coordinate Projection System]])),MAX($B$1:B326)+1,0)</f>
        <v>326</v>
      </c>
      <c r="C327" t="str">
        <f t="shared" si="5"/>
        <v>Jouik 1961</v>
      </c>
    </row>
    <row r="328" spans="1:3" x14ac:dyDescent="0.3">
      <c r="A328" t="s">
        <v>393</v>
      </c>
      <c r="B328">
        <f>IF(ISNUMBER(SEARCH(Form!$C$11,Tabel2[[#This Row],[Coordinate Projection System]])),MAX($B$1:B327)+1,0)</f>
        <v>327</v>
      </c>
      <c r="C328" t="str">
        <f t="shared" si="5"/>
        <v>Nouakchott 1965</v>
      </c>
    </row>
    <row r="329" spans="1:3" x14ac:dyDescent="0.3">
      <c r="A329" t="s">
        <v>394</v>
      </c>
      <c r="B329">
        <f>IF(ISNUMBER(SEARCH(Form!$C$11,Tabel2[[#This Row],[Coordinate Projection System]])),MAX($B$1:B328)+1,0)</f>
        <v>328</v>
      </c>
      <c r="C329" t="str">
        <f t="shared" si="5"/>
        <v>Mauritania 1999</v>
      </c>
    </row>
    <row r="330" spans="1:3" x14ac:dyDescent="0.3">
      <c r="A330" t="s">
        <v>395</v>
      </c>
      <c r="B330">
        <f>IF(ISNUMBER(SEARCH(Form!$C$11,Tabel2[[#This Row],[Coordinate Projection System]])),MAX($B$1:B329)+1,0)</f>
        <v>329</v>
      </c>
      <c r="C330" t="str">
        <f t="shared" si="5"/>
        <v>Gulshan 303</v>
      </c>
    </row>
    <row r="331" spans="1:3" x14ac:dyDescent="0.3">
      <c r="A331" t="s">
        <v>396</v>
      </c>
      <c r="B331">
        <f>IF(ISNUMBER(SEARCH(Form!$C$11,Tabel2[[#This Row],[Coordinate Projection System]])),MAX($B$1:B330)+1,0)</f>
        <v>330</v>
      </c>
      <c r="C331" t="str">
        <f t="shared" si="5"/>
        <v>PRS92</v>
      </c>
    </row>
    <row r="332" spans="1:3" x14ac:dyDescent="0.3">
      <c r="A332" t="s">
        <v>397</v>
      </c>
      <c r="B332">
        <f>IF(ISNUMBER(SEARCH(Form!$C$11,Tabel2[[#This Row],[Coordinate Projection System]])),MAX($B$1:B331)+1,0)</f>
        <v>331</v>
      </c>
      <c r="C332" t="str">
        <f t="shared" si="5"/>
        <v>Gan 1970</v>
      </c>
    </row>
    <row r="333" spans="1:3" x14ac:dyDescent="0.3">
      <c r="A333" t="s">
        <v>398</v>
      </c>
      <c r="B333">
        <f>IF(ISNUMBER(SEARCH(Form!$C$11,Tabel2[[#This Row],[Coordinate Projection System]])),MAX($B$1:B332)+1,0)</f>
        <v>332</v>
      </c>
      <c r="C333" t="str">
        <f t="shared" si="5"/>
        <v>Gandajika</v>
      </c>
    </row>
    <row r="334" spans="1:3" x14ac:dyDescent="0.3">
      <c r="A334" t="s">
        <v>399</v>
      </c>
      <c r="B334">
        <f>IF(ISNUMBER(SEARCH(Form!$C$11,Tabel2[[#This Row],[Coordinate Projection System]])),MAX($B$1:B333)+1,0)</f>
        <v>333</v>
      </c>
      <c r="C334" t="str">
        <f t="shared" si="5"/>
        <v>MAGNA-SIRGAS</v>
      </c>
    </row>
    <row r="335" spans="1:3" x14ac:dyDescent="0.3">
      <c r="A335" t="s">
        <v>400</v>
      </c>
      <c r="B335">
        <f>IF(ISNUMBER(SEARCH(Form!$C$11,Tabel2[[#This Row],[Coordinate Projection System]])),MAX($B$1:B334)+1,0)</f>
        <v>334</v>
      </c>
      <c r="C335" t="str">
        <f t="shared" si="5"/>
        <v>RGPF</v>
      </c>
    </row>
    <row r="336" spans="1:3" x14ac:dyDescent="0.3">
      <c r="A336" t="s">
        <v>401</v>
      </c>
      <c r="B336">
        <f>IF(ISNUMBER(SEARCH(Form!$C$11,Tabel2[[#This Row],[Coordinate Projection System]])),MAX($B$1:B335)+1,0)</f>
        <v>335</v>
      </c>
      <c r="C336" t="str">
        <f t="shared" si="5"/>
        <v>Fatu Iva 72</v>
      </c>
    </row>
    <row r="337" spans="1:3" x14ac:dyDescent="0.3">
      <c r="A337" t="s">
        <v>402</v>
      </c>
      <c r="B337">
        <f>IF(ISNUMBER(SEARCH(Form!$C$11,Tabel2[[#This Row],[Coordinate Projection System]])),MAX($B$1:B336)+1,0)</f>
        <v>336</v>
      </c>
      <c r="C337" t="str">
        <f t="shared" si="5"/>
        <v>IGN63 Hiva Oa</v>
      </c>
    </row>
    <row r="338" spans="1:3" x14ac:dyDescent="0.3">
      <c r="A338" t="s">
        <v>403</v>
      </c>
      <c r="B338">
        <f>IF(ISNUMBER(SEARCH(Form!$C$11,Tabel2[[#This Row],[Coordinate Projection System]])),MAX($B$1:B337)+1,0)</f>
        <v>337</v>
      </c>
      <c r="C338" t="str">
        <f t="shared" si="5"/>
        <v>Tahiti 79</v>
      </c>
    </row>
    <row r="339" spans="1:3" x14ac:dyDescent="0.3">
      <c r="A339" t="s">
        <v>404</v>
      </c>
      <c r="B339">
        <f>IF(ISNUMBER(SEARCH(Form!$C$11,Tabel2[[#This Row],[Coordinate Projection System]])),MAX($B$1:B338)+1,0)</f>
        <v>338</v>
      </c>
      <c r="C339" t="str">
        <f t="shared" si="5"/>
        <v>Moorea 87</v>
      </c>
    </row>
    <row r="340" spans="1:3" x14ac:dyDescent="0.3">
      <c r="A340" t="s">
        <v>405</v>
      </c>
      <c r="B340">
        <f>IF(ISNUMBER(SEARCH(Form!$C$11,Tabel2[[#This Row],[Coordinate Projection System]])),MAX($B$1:B339)+1,0)</f>
        <v>339</v>
      </c>
      <c r="C340" t="str">
        <f t="shared" si="5"/>
        <v>Maupiti 83</v>
      </c>
    </row>
    <row r="341" spans="1:3" x14ac:dyDescent="0.3">
      <c r="A341" t="s">
        <v>406</v>
      </c>
      <c r="B341">
        <f>IF(ISNUMBER(SEARCH(Form!$C$11,Tabel2[[#This Row],[Coordinate Projection System]])),MAX($B$1:B340)+1,0)</f>
        <v>340</v>
      </c>
      <c r="C341" t="str">
        <f t="shared" si="5"/>
        <v>Nakhl-e Ghanem</v>
      </c>
    </row>
    <row r="342" spans="1:3" x14ac:dyDescent="0.3">
      <c r="A342" t="s">
        <v>407</v>
      </c>
      <c r="B342">
        <f>IF(ISNUMBER(SEARCH(Form!$C$11,Tabel2[[#This Row],[Coordinate Projection System]])),MAX($B$1:B341)+1,0)</f>
        <v>341</v>
      </c>
      <c r="C342" t="str">
        <f t="shared" si="5"/>
        <v>POSGAR 94</v>
      </c>
    </row>
    <row r="343" spans="1:3" x14ac:dyDescent="0.3">
      <c r="A343" t="s">
        <v>408</v>
      </c>
      <c r="B343">
        <f>IF(ISNUMBER(SEARCH(Form!$C$11,Tabel2[[#This Row],[Coordinate Projection System]])),MAX($B$1:B342)+1,0)</f>
        <v>342</v>
      </c>
      <c r="C343" t="str">
        <f t="shared" si="5"/>
        <v>Katanga 1955</v>
      </c>
    </row>
    <row r="344" spans="1:3" x14ac:dyDescent="0.3">
      <c r="A344" t="s">
        <v>409</v>
      </c>
      <c r="B344">
        <f>IF(ISNUMBER(SEARCH(Form!$C$11,Tabel2[[#This Row],[Coordinate Projection System]])),MAX($B$1:B343)+1,0)</f>
        <v>343</v>
      </c>
      <c r="C344" t="str">
        <f t="shared" si="5"/>
        <v>Kasai 1953</v>
      </c>
    </row>
    <row r="345" spans="1:3" x14ac:dyDescent="0.3">
      <c r="A345" t="s">
        <v>410</v>
      </c>
      <c r="B345">
        <f>IF(ISNUMBER(SEARCH(Form!$C$11,Tabel2[[#This Row],[Coordinate Projection System]])),MAX($B$1:B344)+1,0)</f>
        <v>344</v>
      </c>
      <c r="C345" t="str">
        <f t="shared" si="5"/>
        <v>IGC 1962 6th Parallel South</v>
      </c>
    </row>
    <row r="346" spans="1:3" x14ac:dyDescent="0.3">
      <c r="A346" t="s">
        <v>411</v>
      </c>
      <c r="B346">
        <f>IF(ISNUMBER(SEARCH(Form!$C$11,Tabel2[[#This Row],[Coordinate Projection System]])),MAX($B$1:B345)+1,0)</f>
        <v>345</v>
      </c>
      <c r="C346" t="str">
        <f t="shared" si="5"/>
        <v>IGN 1962 Kerguelen</v>
      </c>
    </row>
    <row r="347" spans="1:3" x14ac:dyDescent="0.3">
      <c r="A347" t="s">
        <v>412</v>
      </c>
      <c r="B347">
        <f>IF(ISNUMBER(SEARCH(Form!$C$11,Tabel2[[#This Row],[Coordinate Projection System]])),MAX($B$1:B346)+1,0)</f>
        <v>346</v>
      </c>
      <c r="C347" t="str">
        <f t="shared" si="5"/>
        <v>Le Pouce 1934</v>
      </c>
    </row>
    <row r="348" spans="1:3" x14ac:dyDescent="0.3">
      <c r="A348" t="s">
        <v>413</v>
      </c>
      <c r="B348">
        <f>IF(ISNUMBER(SEARCH(Form!$C$11,Tabel2[[#This Row],[Coordinate Projection System]])),MAX($B$1:B347)+1,0)</f>
        <v>347</v>
      </c>
      <c r="C348" t="str">
        <f t="shared" si="5"/>
        <v>IGN Astro 1960</v>
      </c>
    </row>
    <row r="349" spans="1:3" x14ac:dyDescent="0.3">
      <c r="A349" t="s">
        <v>414</v>
      </c>
      <c r="B349">
        <f>IF(ISNUMBER(SEARCH(Form!$C$11,Tabel2[[#This Row],[Coordinate Projection System]])),MAX($B$1:B348)+1,0)</f>
        <v>348</v>
      </c>
      <c r="C349" t="str">
        <f t="shared" si="5"/>
        <v>IGCB 1955</v>
      </c>
    </row>
    <row r="350" spans="1:3" x14ac:dyDescent="0.3">
      <c r="A350" t="s">
        <v>394</v>
      </c>
      <c r="B350">
        <f>IF(ISNUMBER(SEARCH(Form!$C$11,Tabel2[[#This Row],[Coordinate Projection System]])),MAX($B$1:B349)+1,0)</f>
        <v>349</v>
      </c>
      <c r="C350" t="str">
        <f t="shared" si="5"/>
        <v>Mauritania 1999</v>
      </c>
    </row>
    <row r="351" spans="1:3" x14ac:dyDescent="0.3">
      <c r="A351" t="s">
        <v>415</v>
      </c>
      <c r="B351">
        <f>IF(ISNUMBER(SEARCH(Form!$C$11,Tabel2[[#This Row],[Coordinate Projection System]])),MAX($B$1:B350)+1,0)</f>
        <v>350</v>
      </c>
      <c r="C351" t="str">
        <f t="shared" si="5"/>
        <v>Mhast 1951</v>
      </c>
    </row>
    <row r="352" spans="1:3" x14ac:dyDescent="0.3">
      <c r="A352" t="s">
        <v>416</v>
      </c>
      <c r="B352">
        <f>IF(ISNUMBER(SEARCH(Form!$C$11,Tabel2[[#This Row],[Coordinate Projection System]])),MAX($B$1:B351)+1,0)</f>
        <v>351</v>
      </c>
      <c r="C352" t="str">
        <f t="shared" si="5"/>
        <v>Mhast (onshore)</v>
      </c>
    </row>
    <row r="353" spans="1:3" x14ac:dyDescent="0.3">
      <c r="A353" t="s">
        <v>417</v>
      </c>
      <c r="B353">
        <f>IF(ISNUMBER(SEARCH(Form!$C$11,Tabel2[[#This Row],[Coordinate Projection System]])),MAX($B$1:B352)+1,0)</f>
        <v>352</v>
      </c>
      <c r="C353" t="str">
        <f t="shared" si="5"/>
        <v>Mhast (offshore)</v>
      </c>
    </row>
    <row r="354" spans="1:3" x14ac:dyDescent="0.3">
      <c r="A354" t="s">
        <v>418</v>
      </c>
      <c r="B354">
        <f>IF(ISNUMBER(SEARCH(Form!$C$11,Tabel2[[#This Row],[Coordinate Projection System]])),MAX($B$1:B353)+1,0)</f>
        <v>353</v>
      </c>
      <c r="C354" t="str">
        <f t="shared" si="5"/>
        <v>Egypt Gulf of Suez S-650 TL</v>
      </c>
    </row>
    <row r="355" spans="1:3" x14ac:dyDescent="0.3">
      <c r="A355" t="s">
        <v>419</v>
      </c>
      <c r="B355">
        <f>IF(ISNUMBER(SEARCH(Form!$C$11,Tabel2[[#This Row],[Coordinate Projection System]])),MAX($B$1:B354)+1,0)</f>
        <v>354</v>
      </c>
      <c r="C355" t="str">
        <f t="shared" si="5"/>
        <v>Tern Island 1961</v>
      </c>
    </row>
    <row r="356" spans="1:3" x14ac:dyDescent="0.3">
      <c r="A356" t="s">
        <v>420</v>
      </c>
      <c r="B356">
        <f>IF(ISNUMBER(SEARCH(Form!$C$11,Tabel2[[#This Row],[Coordinate Projection System]])),MAX($B$1:B355)+1,0)</f>
        <v>355</v>
      </c>
      <c r="C356" t="str">
        <f t="shared" si="5"/>
        <v>Cocos Islands 1965</v>
      </c>
    </row>
    <row r="357" spans="1:3" x14ac:dyDescent="0.3">
      <c r="A357" t="s">
        <v>421</v>
      </c>
      <c r="B357">
        <f>IF(ISNUMBER(SEARCH(Form!$C$11,Tabel2[[#This Row],[Coordinate Projection System]])),MAX($B$1:B356)+1,0)</f>
        <v>356</v>
      </c>
      <c r="C357" t="str">
        <f t="shared" si="5"/>
        <v>Iwo Jima 1945</v>
      </c>
    </row>
    <row r="358" spans="1:3" x14ac:dyDescent="0.3">
      <c r="A358" t="s">
        <v>422</v>
      </c>
      <c r="B358">
        <f>IF(ISNUMBER(SEARCH(Form!$C$11,Tabel2[[#This Row],[Coordinate Projection System]])),MAX($B$1:B357)+1,0)</f>
        <v>357</v>
      </c>
      <c r="C358" t="str">
        <f t="shared" si="5"/>
        <v>St. Helena 1971</v>
      </c>
    </row>
    <row r="359" spans="1:3" x14ac:dyDescent="0.3">
      <c r="A359" t="s">
        <v>423</v>
      </c>
      <c r="B359">
        <f>IF(ISNUMBER(SEARCH(Form!$C$11,Tabel2[[#This Row],[Coordinate Projection System]])),MAX($B$1:B358)+1,0)</f>
        <v>358</v>
      </c>
      <c r="C359" t="str">
        <f t="shared" si="5"/>
        <v>Marcus Island 1952</v>
      </c>
    </row>
    <row r="360" spans="1:3" x14ac:dyDescent="0.3">
      <c r="A360" t="s">
        <v>424</v>
      </c>
      <c r="B360">
        <f>IF(ISNUMBER(SEARCH(Form!$C$11,Tabel2[[#This Row],[Coordinate Projection System]])),MAX($B$1:B359)+1,0)</f>
        <v>359</v>
      </c>
      <c r="C360" t="str">
        <f t="shared" si="5"/>
        <v>Ascension Island 1958</v>
      </c>
    </row>
    <row r="361" spans="1:3" x14ac:dyDescent="0.3">
      <c r="A361" t="s">
        <v>425</v>
      </c>
      <c r="B361">
        <f>IF(ISNUMBER(SEARCH(Form!$C$11,Tabel2[[#This Row],[Coordinate Projection System]])),MAX($B$1:B360)+1,0)</f>
        <v>360</v>
      </c>
      <c r="C361" t="str">
        <f t="shared" si="5"/>
        <v>Ayabelle Lighthouse</v>
      </c>
    </row>
    <row r="362" spans="1:3" x14ac:dyDescent="0.3">
      <c r="A362" t="s">
        <v>426</v>
      </c>
      <c r="B362">
        <f>IF(ISNUMBER(SEARCH(Form!$C$11,Tabel2[[#This Row],[Coordinate Projection System]])),MAX($B$1:B361)+1,0)</f>
        <v>361</v>
      </c>
      <c r="C362" t="str">
        <f t="shared" si="5"/>
        <v>Bellevue</v>
      </c>
    </row>
    <row r="363" spans="1:3" x14ac:dyDescent="0.3">
      <c r="A363" t="s">
        <v>427</v>
      </c>
      <c r="B363">
        <f>IF(ISNUMBER(SEARCH(Form!$C$11,Tabel2[[#This Row],[Coordinate Projection System]])),MAX($B$1:B362)+1,0)</f>
        <v>362</v>
      </c>
      <c r="C363" t="str">
        <f t="shared" si="5"/>
        <v>Camp Area Astro</v>
      </c>
    </row>
    <row r="364" spans="1:3" x14ac:dyDescent="0.3">
      <c r="A364" t="s">
        <v>428</v>
      </c>
      <c r="B364">
        <f>IF(ISNUMBER(SEARCH(Form!$C$11,Tabel2[[#This Row],[Coordinate Projection System]])),MAX($B$1:B363)+1,0)</f>
        <v>363</v>
      </c>
      <c r="C364" t="str">
        <f t="shared" si="5"/>
        <v>Phoenix Islands 1966</v>
      </c>
    </row>
    <row r="365" spans="1:3" x14ac:dyDescent="0.3">
      <c r="A365" t="s">
        <v>429</v>
      </c>
      <c r="B365">
        <f>IF(ISNUMBER(SEARCH(Form!$C$11,Tabel2[[#This Row],[Coordinate Projection System]])),MAX($B$1:B364)+1,0)</f>
        <v>364</v>
      </c>
      <c r="C365" t="str">
        <f t="shared" si="5"/>
        <v>Cape Canaveral</v>
      </c>
    </row>
    <row r="366" spans="1:3" x14ac:dyDescent="0.3">
      <c r="A366" t="s">
        <v>430</v>
      </c>
      <c r="B366">
        <f>IF(ISNUMBER(SEARCH(Form!$C$11,Tabel2[[#This Row],[Coordinate Projection System]])),MAX($B$1:B365)+1,0)</f>
        <v>365</v>
      </c>
      <c r="C366" t="str">
        <f t="shared" si="5"/>
        <v>Solomon 1968</v>
      </c>
    </row>
    <row r="367" spans="1:3" x14ac:dyDescent="0.3">
      <c r="A367" t="s">
        <v>431</v>
      </c>
      <c r="B367">
        <f>IF(ISNUMBER(SEARCH(Form!$C$11,Tabel2[[#This Row],[Coordinate Projection System]])),MAX($B$1:B366)+1,0)</f>
        <v>366</v>
      </c>
      <c r="C367" t="str">
        <f t="shared" si="5"/>
        <v>Easter Island 1967</v>
      </c>
    </row>
    <row r="368" spans="1:3" x14ac:dyDescent="0.3">
      <c r="A368" t="s">
        <v>432</v>
      </c>
      <c r="B368">
        <f>IF(ISNUMBER(SEARCH(Form!$C$11,Tabel2[[#This Row],[Coordinate Projection System]])),MAX($B$1:B367)+1,0)</f>
        <v>367</v>
      </c>
      <c r="C368" t="str">
        <f t="shared" si="5"/>
        <v>Fiji 1986</v>
      </c>
    </row>
    <row r="369" spans="1:3" x14ac:dyDescent="0.3">
      <c r="A369" t="s">
        <v>433</v>
      </c>
      <c r="B369">
        <f>IF(ISNUMBER(SEARCH(Form!$C$11,Tabel2[[#This Row],[Coordinate Projection System]])),MAX($B$1:B368)+1,0)</f>
        <v>368</v>
      </c>
      <c r="C369" t="str">
        <f t="shared" si="5"/>
        <v>Fiji 1956</v>
      </c>
    </row>
    <row r="370" spans="1:3" x14ac:dyDescent="0.3">
      <c r="A370" t="s">
        <v>434</v>
      </c>
      <c r="B370">
        <f>IF(ISNUMBER(SEARCH(Form!$C$11,Tabel2[[#This Row],[Coordinate Projection System]])),MAX($B$1:B369)+1,0)</f>
        <v>369</v>
      </c>
      <c r="C370" t="str">
        <f t="shared" si="5"/>
        <v>South Georgia 1968</v>
      </c>
    </row>
    <row r="371" spans="1:3" x14ac:dyDescent="0.3">
      <c r="A371" t="s">
        <v>435</v>
      </c>
      <c r="B371">
        <f>IF(ISNUMBER(SEARCH(Form!$C$11,Tabel2[[#This Row],[Coordinate Projection System]])),MAX($B$1:B370)+1,0)</f>
        <v>370</v>
      </c>
      <c r="C371" t="str">
        <f t="shared" si="5"/>
        <v>GCGD59</v>
      </c>
    </row>
    <row r="372" spans="1:3" x14ac:dyDescent="0.3">
      <c r="A372" t="s">
        <v>436</v>
      </c>
      <c r="B372">
        <f>IF(ISNUMBER(SEARCH(Form!$C$11,Tabel2[[#This Row],[Coordinate Projection System]])),MAX($B$1:B371)+1,0)</f>
        <v>371</v>
      </c>
      <c r="C372" t="str">
        <f t="shared" si="5"/>
        <v>Diego Garcia 1969</v>
      </c>
    </row>
    <row r="373" spans="1:3" x14ac:dyDescent="0.3">
      <c r="A373" t="s">
        <v>437</v>
      </c>
      <c r="B373">
        <f>IF(ISNUMBER(SEARCH(Form!$C$11,Tabel2[[#This Row],[Coordinate Projection System]])),MAX($B$1:B372)+1,0)</f>
        <v>372</v>
      </c>
      <c r="C373" t="str">
        <f t="shared" si="5"/>
        <v>Johnston Island 1961</v>
      </c>
    </row>
    <row r="374" spans="1:3" x14ac:dyDescent="0.3">
      <c r="A374" t="s">
        <v>438</v>
      </c>
      <c r="B374">
        <f>IF(ISNUMBER(SEARCH(Form!$C$11,Tabel2[[#This Row],[Coordinate Projection System]])),MAX($B$1:B373)+1,0)</f>
        <v>373</v>
      </c>
      <c r="C374" t="str">
        <f t="shared" si="5"/>
        <v>SIGD61</v>
      </c>
    </row>
    <row r="375" spans="1:3" x14ac:dyDescent="0.3">
      <c r="A375" t="s">
        <v>439</v>
      </c>
      <c r="B375">
        <f>IF(ISNUMBER(SEARCH(Form!$C$11,Tabel2[[#This Row],[Coordinate Projection System]])),MAX($B$1:B374)+1,0)</f>
        <v>374</v>
      </c>
      <c r="C375" t="str">
        <f t="shared" si="5"/>
        <v>Midway 1961</v>
      </c>
    </row>
    <row r="376" spans="1:3" x14ac:dyDescent="0.3">
      <c r="A376" t="s">
        <v>440</v>
      </c>
      <c r="B376">
        <f>IF(ISNUMBER(SEARCH(Form!$C$11,Tabel2[[#This Row],[Coordinate Projection System]])),MAX($B$1:B375)+1,0)</f>
        <v>375</v>
      </c>
      <c r="C376" t="str">
        <f t="shared" si="5"/>
        <v>Pico de las Nieves 1984</v>
      </c>
    </row>
    <row r="377" spans="1:3" x14ac:dyDescent="0.3">
      <c r="A377" t="s">
        <v>441</v>
      </c>
      <c r="B377">
        <f>IF(ISNUMBER(SEARCH(Form!$C$11,Tabel2[[#This Row],[Coordinate Projection System]])),MAX($B$1:B376)+1,0)</f>
        <v>376</v>
      </c>
      <c r="C377" t="str">
        <f t="shared" si="5"/>
        <v>Pitcairn 1967</v>
      </c>
    </row>
    <row r="378" spans="1:3" x14ac:dyDescent="0.3">
      <c r="A378" t="s">
        <v>442</v>
      </c>
      <c r="B378">
        <f>IF(ISNUMBER(SEARCH(Form!$C$11,Tabel2[[#This Row],[Coordinate Projection System]])),MAX($B$1:B377)+1,0)</f>
        <v>377</v>
      </c>
      <c r="C378" t="str">
        <f t="shared" si="5"/>
        <v>Santo 1965</v>
      </c>
    </row>
    <row r="379" spans="1:3" x14ac:dyDescent="0.3">
      <c r="A379" t="s">
        <v>443</v>
      </c>
      <c r="B379">
        <f>IF(ISNUMBER(SEARCH(Form!$C$11,Tabel2[[#This Row],[Coordinate Projection System]])),MAX($B$1:B378)+1,0)</f>
        <v>378</v>
      </c>
      <c r="C379" t="str">
        <f t="shared" si="5"/>
        <v>Viti Levu 1916</v>
      </c>
    </row>
    <row r="380" spans="1:3" x14ac:dyDescent="0.3">
      <c r="A380" t="s">
        <v>444</v>
      </c>
      <c r="B380">
        <f>IF(ISNUMBER(SEARCH(Form!$C$11,Tabel2[[#This Row],[Coordinate Projection System]])),MAX($B$1:B379)+1,0)</f>
        <v>379</v>
      </c>
      <c r="C380" t="str">
        <f t="shared" si="5"/>
        <v>Marshall Islands 1960</v>
      </c>
    </row>
    <row r="381" spans="1:3" x14ac:dyDescent="0.3">
      <c r="A381" t="s">
        <v>445</v>
      </c>
      <c r="B381">
        <f>IF(ISNUMBER(SEARCH(Form!$C$11,Tabel2[[#This Row],[Coordinate Projection System]])),MAX($B$1:B380)+1,0)</f>
        <v>380</v>
      </c>
      <c r="C381" t="str">
        <f t="shared" si="5"/>
        <v>Wake Island 1952</v>
      </c>
    </row>
    <row r="382" spans="1:3" x14ac:dyDescent="0.3">
      <c r="A382" t="s">
        <v>446</v>
      </c>
      <c r="B382">
        <f>IF(ISNUMBER(SEARCH(Form!$C$11,Tabel2[[#This Row],[Coordinate Projection System]])),MAX($B$1:B381)+1,0)</f>
        <v>381</v>
      </c>
      <c r="C382" t="str">
        <f t="shared" si="5"/>
        <v>Tristan 1968</v>
      </c>
    </row>
    <row r="383" spans="1:3" x14ac:dyDescent="0.3">
      <c r="A383" t="s">
        <v>447</v>
      </c>
      <c r="B383">
        <f>IF(ISNUMBER(SEARCH(Form!$C$11,Tabel2[[#This Row],[Coordinate Projection System]])),MAX($B$1:B382)+1,0)</f>
        <v>382</v>
      </c>
      <c r="C383" t="str">
        <f t="shared" si="5"/>
        <v>Kusaie 1951</v>
      </c>
    </row>
    <row r="384" spans="1:3" x14ac:dyDescent="0.3">
      <c r="A384" t="s">
        <v>448</v>
      </c>
      <c r="B384">
        <f>IF(ISNUMBER(SEARCH(Form!$C$11,Tabel2[[#This Row],[Coordinate Projection System]])),MAX($B$1:B383)+1,0)</f>
        <v>383</v>
      </c>
      <c r="C384" t="str">
        <f t="shared" si="5"/>
        <v>Deception Island</v>
      </c>
    </row>
    <row r="385" spans="1:3" x14ac:dyDescent="0.3">
      <c r="A385" t="s">
        <v>449</v>
      </c>
      <c r="B385">
        <f>IF(ISNUMBER(SEARCH(Form!$C$11,Tabel2[[#This Row],[Coordinate Projection System]])),MAX($B$1:B384)+1,0)</f>
        <v>384</v>
      </c>
      <c r="C385" t="str">
        <f t="shared" si="5"/>
        <v>Korea 2000</v>
      </c>
    </row>
    <row r="386" spans="1:3" x14ac:dyDescent="0.3">
      <c r="A386" t="s">
        <v>450</v>
      </c>
      <c r="B386">
        <f>IF(ISNUMBER(SEARCH(Form!$C$11,Tabel2[[#This Row],[Coordinate Projection System]])),MAX($B$1:B385)+1,0)</f>
        <v>385</v>
      </c>
      <c r="C386" t="str">
        <f t="shared" si="5"/>
        <v>Hong Kong 1963</v>
      </c>
    </row>
    <row r="387" spans="1:3" x14ac:dyDescent="0.3">
      <c r="A387" t="s">
        <v>451</v>
      </c>
      <c r="B387">
        <f>IF(ISNUMBER(SEARCH(Form!$C$11,Tabel2[[#This Row],[Coordinate Projection System]])),MAX($B$1:B386)+1,0)</f>
        <v>386</v>
      </c>
      <c r="C387" t="str">
        <f t="shared" ref="C387:C450" si="6">_xlfn.IFNA(INDEX(A387:A5898,MATCH(ROW(C386),B387:B5898,0)),"")</f>
        <v>Hong Kong 1963(67)</v>
      </c>
    </row>
    <row r="388" spans="1:3" x14ac:dyDescent="0.3">
      <c r="A388" t="s">
        <v>452</v>
      </c>
      <c r="B388">
        <f>IF(ISNUMBER(SEARCH(Form!$C$11,Tabel2[[#This Row],[Coordinate Projection System]])),MAX($B$1:B387)+1,0)</f>
        <v>387</v>
      </c>
      <c r="C388" t="str">
        <f t="shared" si="6"/>
        <v>PZ-90</v>
      </c>
    </row>
    <row r="389" spans="1:3" x14ac:dyDescent="0.3">
      <c r="A389" t="s">
        <v>453</v>
      </c>
      <c r="B389">
        <f>IF(ISNUMBER(SEARCH(Form!$C$11,Tabel2[[#This Row],[Coordinate Projection System]])),MAX($B$1:B388)+1,0)</f>
        <v>388</v>
      </c>
      <c r="C389" t="str">
        <f t="shared" si="6"/>
        <v>FD54</v>
      </c>
    </row>
    <row r="390" spans="1:3" x14ac:dyDescent="0.3">
      <c r="A390" t="s">
        <v>454</v>
      </c>
      <c r="B390">
        <f>IF(ISNUMBER(SEARCH(Form!$C$11,Tabel2[[#This Row],[Coordinate Projection System]])),MAX($B$1:B389)+1,0)</f>
        <v>389</v>
      </c>
      <c r="C390" t="str">
        <f t="shared" si="6"/>
        <v>GDM2000</v>
      </c>
    </row>
    <row r="391" spans="1:3" x14ac:dyDescent="0.3">
      <c r="A391" t="s">
        <v>455</v>
      </c>
      <c r="B391">
        <f>IF(ISNUMBER(SEARCH(Form!$C$11,Tabel2[[#This Row],[Coordinate Projection System]])),MAX($B$1:B390)+1,0)</f>
        <v>390</v>
      </c>
      <c r="C391" t="str">
        <f t="shared" si="6"/>
        <v>Karbala 1979</v>
      </c>
    </row>
    <row r="392" spans="1:3" x14ac:dyDescent="0.3">
      <c r="A392" t="s">
        <v>456</v>
      </c>
      <c r="B392">
        <f>IF(ISNUMBER(SEARCH(Form!$C$11,Tabel2[[#This Row],[Coordinate Projection System]])),MAX($B$1:B391)+1,0)</f>
        <v>391</v>
      </c>
      <c r="C392" t="str">
        <f t="shared" si="6"/>
        <v>Nahrwan 1934</v>
      </c>
    </row>
    <row r="393" spans="1:3" x14ac:dyDescent="0.3">
      <c r="A393" t="s">
        <v>457</v>
      </c>
      <c r="B393">
        <f>IF(ISNUMBER(SEARCH(Form!$C$11,Tabel2[[#This Row],[Coordinate Projection System]])),MAX($B$1:B392)+1,0)</f>
        <v>392</v>
      </c>
      <c r="C393" t="str">
        <f t="shared" si="6"/>
        <v>RD/83</v>
      </c>
    </row>
    <row r="394" spans="1:3" x14ac:dyDescent="0.3">
      <c r="A394" t="s">
        <v>458</v>
      </c>
      <c r="B394">
        <f>IF(ISNUMBER(SEARCH(Form!$C$11,Tabel2[[#This Row],[Coordinate Projection System]])),MAX($B$1:B393)+1,0)</f>
        <v>393</v>
      </c>
      <c r="C394" t="str">
        <f t="shared" si="6"/>
        <v>PD/83</v>
      </c>
    </row>
    <row r="395" spans="1:3" x14ac:dyDescent="0.3">
      <c r="A395" t="s">
        <v>459</v>
      </c>
      <c r="B395">
        <f>IF(ISNUMBER(SEARCH(Form!$C$11,Tabel2[[#This Row],[Coordinate Projection System]])),MAX($B$1:B394)+1,0)</f>
        <v>394</v>
      </c>
      <c r="C395" t="str">
        <f t="shared" si="6"/>
        <v>GR96</v>
      </c>
    </row>
    <row r="396" spans="1:3" x14ac:dyDescent="0.3">
      <c r="A396" t="s">
        <v>460</v>
      </c>
      <c r="B396">
        <f>IF(ISNUMBER(SEARCH(Form!$C$11,Tabel2[[#This Row],[Coordinate Projection System]])),MAX($B$1:B395)+1,0)</f>
        <v>395</v>
      </c>
      <c r="C396" t="str">
        <f t="shared" si="6"/>
        <v>Vanua Levu 1915</v>
      </c>
    </row>
    <row r="397" spans="1:3" x14ac:dyDescent="0.3">
      <c r="A397" t="s">
        <v>461</v>
      </c>
      <c r="B397">
        <f>IF(ISNUMBER(SEARCH(Form!$C$11,Tabel2[[#This Row],[Coordinate Projection System]])),MAX($B$1:B396)+1,0)</f>
        <v>396</v>
      </c>
      <c r="C397" t="str">
        <f t="shared" si="6"/>
        <v>RGNC91-93</v>
      </c>
    </row>
    <row r="398" spans="1:3" x14ac:dyDescent="0.3">
      <c r="A398" t="s">
        <v>359</v>
      </c>
      <c r="B398">
        <f>IF(ISNUMBER(SEARCH(Form!$C$11,Tabel2[[#This Row],[Coordinate Projection System]])),MAX($B$1:B397)+1,0)</f>
        <v>397</v>
      </c>
      <c r="C398" t="str">
        <f t="shared" si="6"/>
        <v>ST87 Ouvea</v>
      </c>
    </row>
    <row r="399" spans="1:3" x14ac:dyDescent="0.3">
      <c r="A399" t="s">
        <v>462</v>
      </c>
      <c r="B399">
        <f>IF(ISNUMBER(SEARCH(Form!$C$11,Tabel2[[#This Row],[Coordinate Projection System]])),MAX($B$1:B398)+1,0)</f>
        <v>398</v>
      </c>
      <c r="C399" t="str">
        <f t="shared" si="6"/>
        <v>Kertau (RSO)</v>
      </c>
    </row>
    <row r="400" spans="1:3" x14ac:dyDescent="0.3">
      <c r="A400" t="s">
        <v>463</v>
      </c>
      <c r="B400">
        <f>IF(ISNUMBER(SEARCH(Form!$C$11,Tabel2[[#This Row],[Coordinate Projection System]])),MAX($B$1:B399)+1,0)</f>
        <v>399</v>
      </c>
      <c r="C400" t="str">
        <f t="shared" si="6"/>
        <v>Viti Levu 1912</v>
      </c>
    </row>
    <row r="401" spans="1:3" x14ac:dyDescent="0.3">
      <c r="A401" t="s">
        <v>464</v>
      </c>
      <c r="B401">
        <f>IF(ISNUMBER(SEARCH(Form!$C$11,Tabel2[[#This Row],[Coordinate Projection System]])),MAX($B$1:B400)+1,0)</f>
        <v>400</v>
      </c>
      <c r="C401" t="str">
        <f t="shared" si="6"/>
        <v>fk89</v>
      </c>
    </row>
    <row r="402" spans="1:3" x14ac:dyDescent="0.3">
      <c r="A402" t="s">
        <v>465</v>
      </c>
      <c r="B402">
        <f>IF(ISNUMBER(SEARCH(Form!$C$11,Tabel2[[#This Row],[Coordinate Projection System]])),MAX($B$1:B401)+1,0)</f>
        <v>401</v>
      </c>
      <c r="C402" t="str">
        <f t="shared" si="6"/>
        <v>LGD2006</v>
      </c>
    </row>
    <row r="403" spans="1:3" x14ac:dyDescent="0.3">
      <c r="A403" t="s">
        <v>466</v>
      </c>
      <c r="B403">
        <f>IF(ISNUMBER(SEARCH(Form!$C$11,Tabel2[[#This Row],[Coordinate Projection System]])),MAX($B$1:B402)+1,0)</f>
        <v>402</v>
      </c>
      <c r="C403" t="str">
        <f t="shared" si="6"/>
        <v>DGN95</v>
      </c>
    </row>
    <row r="404" spans="1:3" x14ac:dyDescent="0.3">
      <c r="A404" t="s">
        <v>467</v>
      </c>
      <c r="B404">
        <f>IF(ISNUMBER(SEARCH(Form!$C$11,Tabel2[[#This Row],[Coordinate Projection System]])),MAX($B$1:B403)+1,0)</f>
        <v>403</v>
      </c>
      <c r="C404" t="str">
        <f t="shared" si="6"/>
        <v>VN-2000</v>
      </c>
    </row>
    <row r="405" spans="1:3" x14ac:dyDescent="0.3">
      <c r="A405" t="s">
        <v>468</v>
      </c>
      <c r="B405">
        <f>IF(ISNUMBER(SEARCH(Form!$C$11,Tabel2[[#This Row],[Coordinate Projection System]])),MAX($B$1:B404)+1,0)</f>
        <v>404</v>
      </c>
      <c r="C405" t="str">
        <f t="shared" si="6"/>
        <v>SVY21</v>
      </c>
    </row>
    <row r="406" spans="1:3" x14ac:dyDescent="0.3">
      <c r="A406" t="s">
        <v>469</v>
      </c>
      <c r="B406">
        <f>IF(ISNUMBER(SEARCH(Form!$C$11,Tabel2[[#This Row],[Coordinate Projection System]])),MAX($B$1:B405)+1,0)</f>
        <v>405</v>
      </c>
      <c r="C406" t="str">
        <f t="shared" si="6"/>
        <v>JAD2001</v>
      </c>
    </row>
    <row r="407" spans="1:3" x14ac:dyDescent="0.3">
      <c r="A407" t="s">
        <v>470</v>
      </c>
      <c r="B407">
        <f>IF(ISNUMBER(SEARCH(Form!$C$11,Tabel2[[#This Row],[Coordinate Projection System]])),MAX($B$1:B406)+1,0)</f>
        <v>406</v>
      </c>
      <c r="C407" t="str">
        <f t="shared" si="6"/>
        <v>NAD83(NSRS2007)</v>
      </c>
    </row>
    <row r="408" spans="1:3" x14ac:dyDescent="0.3">
      <c r="A408" t="s">
        <v>471</v>
      </c>
      <c r="B408">
        <f>IF(ISNUMBER(SEARCH(Form!$C$11,Tabel2[[#This Row],[Coordinate Projection System]])),MAX($B$1:B407)+1,0)</f>
        <v>407</v>
      </c>
      <c r="C408" t="str">
        <f t="shared" si="6"/>
        <v>WGS 66</v>
      </c>
    </row>
    <row r="409" spans="1:3" x14ac:dyDescent="0.3">
      <c r="A409" t="s">
        <v>472</v>
      </c>
      <c r="B409">
        <f>IF(ISNUMBER(SEARCH(Form!$C$11,Tabel2[[#This Row],[Coordinate Projection System]])),MAX($B$1:B408)+1,0)</f>
        <v>408</v>
      </c>
      <c r="C409" t="str">
        <f t="shared" si="6"/>
        <v>HTRS96</v>
      </c>
    </row>
    <row r="410" spans="1:3" x14ac:dyDescent="0.3">
      <c r="A410" t="s">
        <v>473</v>
      </c>
      <c r="B410">
        <f>IF(ISNUMBER(SEARCH(Form!$C$11,Tabel2[[#This Row],[Coordinate Projection System]])),MAX($B$1:B409)+1,0)</f>
        <v>409</v>
      </c>
      <c r="C410" t="str">
        <f t="shared" si="6"/>
        <v>BDA2000</v>
      </c>
    </row>
    <row r="411" spans="1:3" x14ac:dyDescent="0.3">
      <c r="A411" t="s">
        <v>474</v>
      </c>
      <c r="B411">
        <f>IF(ISNUMBER(SEARCH(Form!$C$11,Tabel2[[#This Row],[Coordinate Projection System]])),MAX($B$1:B410)+1,0)</f>
        <v>410</v>
      </c>
      <c r="C411" t="str">
        <f t="shared" si="6"/>
        <v>Pitcairn 2006</v>
      </c>
    </row>
    <row r="412" spans="1:3" x14ac:dyDescent="0.3">
      <c r="A412" t="s">
        <v>475</v>
      </c>
      <c r="B412">
        <f>IF(ISNUMBER(SEARCH(Form!$C$11,Tabel2[[#This Row],[Coordinate Projection System]])),MAX($B$1:B411)+1,0)</f>
        <v>411</v>
      </c>
      <c r="C412" t="str">
        <f t="shared" si="6"/>
        <v>RSRGD2000</v>
      </c>
    </row>
    <row r="413" spans="1:3" x14ac:dyDescent="0.3">
      <c r="A413" t="s">
        <v>476</v>
      </c>
      <c r="B413">
        <f>IF(ISNUMBER(SEARCH(Form!$C$11,Tabel2[[#This Row],[Coordinate Projection System]])),MAX($B$1:B412)+1,0)</f>
        <v>412</v>
      </c>
      <c r="C413" t="str">
        <f t="shared" si="6"/>
        <v>Slovenia 1996</v>
      </c>
    </row>
    <row r="414" spans="1:3" x14ac:dyDescent="0.3">
      <c r="A414" t="s">
        <v>477</v>
      </c>
      <c r="B414">
        <f>IF(ISNUMBER(SEARCH(Form!$C$11,Tabel2[[#This Row],[Coordinate Projection System]])),MAX($B$1:B413)+1,0)</f>
        <v>413</v>
      </c>
      <c r="C414" t="str">
        <f t="shared" si="6"/>
        <v>Bern 1898 (Bern)</v>
      </c>
    </row>
    <row r="415" spans="1:3" x14ac:dyDescent="0.3">
      <c r="A415" t="s">
        <v>478</v>
      </c>
      <c r="B415">
        <f>IF(ISNUMBER(SEARCH(Form!$C$11,Tabel2[[#This Row],[Coordinate Projection System]])),MAX($B$1:B414)+1,0)</f>
        <v>414</v>
      </c>
      <c r="C415" t="str">
        <f t="shared" si="6"/>
        <v>Bogota 1975 (Bogota)</v>
      </c>
    </row>
    <row r="416" spans="1:3" x14ac:dyDescent="0.3">
      <c r="A416" t="s">
        <v>479</v>
      </c>
      <c r="B416">
        <f>IF(ISNUMBER(SEARCH(Form!$C$11,Tabel2[[#This Row],[Coordinate Projection System]])),MAX($B$1:B415)+1,0)</f>
        <v>415</v>
      </c>
      <c r="C416" t="str">
        <f t="shared" si="6"/>
        <v>Lisbon (Lisbon)</v>
      </c>
    </row>
    <row r="417" spans="1:3" x14ac:dyDescent="0.3">
      <c r="A417" t="s">
        <v>480</v>
      </c>
      <c r="B417">
        <f>IF(ISNUMBER(SEARCH(Form!$C$11,Tabel2[[#This Row],[Coordinate Projection System]])),MAX($B$1:B416)+1,0)</f>
        <v>416</v>
      </c>
      <c r="C417" t="str">
        <f t="shared" si="6"/>
        <v>Makassar (Jakarta)</v>
      </c>
    </row>
    <row r="418" spans="1:3" x14ac:dyDescent="0.3">
      <c r="A418" t="s">
        <v>481</v>
      </c>
      <c r="B418">
        <f>IF(ISNUMBER(SEARCH(Form!$C$11,Tabel2[[#This Row],[Coordinate Projection System]])),MAX($B$1:B417)+1,0)</f>
        <v>417</v>
      </c>
      <c r="C418" t="str">
        <f t="shared" si="6"/>
        <v>MGI (Ferro)</v>
      </c>
    </row>
    <row r="419" spans="1:3" x14ac:dyDescent="0.3">
      <c r="A419" t="s">
        <v>482</v>
      </c>
      <c r="B419">
        <f>IF(ISNUMBER(SEARCH(Form!$C$11,Tabel2[[#This Row],[Coordinate Projection System]])),MAX($B$1:B418)+1,0)</f>
        <v>418</v>
      </c>
      <c r="C419" t="str">
        <f t="shared" si="6"/>
        <v>Monte Mario (Rome)</v>
      </c>
    </row>
    <row r="420" spans="1:3" x14ac:dyDescent="0.3">
      <c r="A420" t="s">
        <v>483</v>
      </c>
      <c r="B420">
        <f>IF(ISNUMBER(SEARCH(Form!$C$11,Tabel2[[#This Row],[Coordinate Projection System]])),MAX($B$1:B419)+1,0)</f>
        <v>419</v>
      </c>
      <c r="C420" t="str">
        <f t="shared" si="6"/>
        <v>NTF (Paris)</v>
      </c>
    </row>
    <row r="421" spans="1:3" x14ac:dyDescent="0.3">
      <c r="A421" t="s">
        <v>484</v>
      </c>
      <c r="B421">
        <f>IF(ISNUMBER(SEARCH(Form!$C$11,Tabel2[[#This Row],[Coordinate Projection System]])),MAX($B$1:B420)+1,0)</f>
        <v>420</v>
      </c>
      <c r="C421" t="str">
        <f t="shared" si="6"/>
        <v>Padang (Jakarta)</v>
      </c>
    </row>
    <row r="422" spans="1:3" x14ac:dyDescent="0.3">
      <c r="A422" t="s">
        <v>485</v>
      </c>
      <c r="B422">
        <f>IF(ISNUMBER(SEARCH(Form!$C$11,Tabel2[[#This Row],[Coordinate Projection System]])),MAX($B$1:B421)+1,0)</f>
        <v>421</v>
      </c>
      <c r="C422" t="str">
        <f t="shared" si="6"/>
        <v>Belge 1950 (Brussels)</v>
      </c>
    </row>
    <row r="423" spans="1:3" x14ac:dyDescent="0.3">
      <c r="A423" t="s">
        <v>486</v>
      </c>
      <c r="B423">
        <f>IF(ISNUMBER(SEARCH(Form!$C$11,Tabel2[[#This Row],[Coordinate Projection System]])),MAX($B$1:B422)+1,0)</f>
        <v>422</v>
      </c>
      <c r="C423" t="str">
        <f t="shared" si="6"/>
        <v>Tananarive (Paris)</v>
      </c>
    </row>
    <row r="424" spans="1:3" x14ac:dyDescent="0.3">
      <c r="A424" t="s">
        <v>487</v>
      </c>
      <c r="B424">
        <f>IF(ISNUMBER(SEARCH(Form!$C$11,Tabel2[[#This Row],[Coordinate Projection System]])),MAX($B$1:B423)+1,0)</f>
        <v>423</v>
      </c>
      <c r="C424" t="str">
        <f t="shared" si="6"/>
        <v>Voirol 1875 (Paris)</v>
      </c>
    </row>
    <row r="425" spans="1:3" x14ac:dyDescent="0.3">
      <c r="A425" t="s">
        <v>488</v>
      </c>
      <c r="B425">
        <f>IF(ISNUMBER(SEARCH(Form!$C$11,Tabel2[[#This Row],[Coordinate Projection System]])),MAX($B$1:B424)+1,0)</f>
        <v>424</v>
      </c>
      <c r="C425" t="str">
        <f t="shared" si="6"/>
        <v>Batavia (Jakarta)</v>
      </c>
    </row>
    <row r="426" spans="1:3" x14ac:dyDescent="0.3">
      <c r="A426" t="s">
        <v>489</v>
      </c>
      <c r="B426">
        <f>IF(ISNUMBER(SEARCH(Form!$C$11,Tabel2[[#This Row],[Coordinate Projection System]])),MAX($B$1:B425)+1,0)</f>
        <v>425</v>
      </c>
      <c r="C426" t="str">
        <f t="shared" si="6"/>
        <v>RT38 (Stockholm)</v>
      </c>
    </row>
    <row r="427" spans="1:3" x14ac:dyDescent="0.3">
      <c r="A427" t="s">
        <v>490</v>
      </c>
      <c r="B427">
        <f>IF(ISNUMBER(SEARCH(Form!$C$11,Tabel2[[#This Row],[Coordinate Projection System]])),MAX($B$1:B426)+1,0)</f>
        <v>426</v>
      </c>
      <c r="C427" t="str">
        <f t="shared" si="6"/>
        <v>Greek (Athens)</v>
      </c>
    </row>
    <row r="428" spans="1:3" x14ac:dyDescent="0.3">
      <c r="A428" t="s">
        <v>491</v>
      </c>
      <c r="B428">
        <f>IF(ISNUMBER(SEARCH(Form!$C$11,Tabel2[[#This Row],[Coordinate Projection System]])),MAX($B$1:B427)+1,0)</f>
        <v>427</v>
      </c>
      <c r="C428" t="str">
        <f t="shared" si="6"/>
        <v>Carthage (Paris)</v>
      </c>
    </row>
    <row r="429" spans="1:3" x14ac:dyDescent="0.3">
      <c r="A429" t="s">
        <v>492</v>
      </c>
      <c r="B429">
        <f>IF(ISNUMBER(SEARCH(Form!$C$11,Tabel2[[#This Row],[Coordinate Projection System]])),MAX($B$1:B428)+1,0)</f>
        <v>428</v>
      </c>
      <c r="C429" t="str">
        <f t="shared" si="6"/>
        <v>NGO 1948 (Oslo)</v>
      </c>
    </row>
    <row r="430" spans="1:3" x14ac:dyDescent="0.3">
      <c r="A430" t="s">
        <v>493</v>
      </c>
      <c r="B430">
        <f>IF(ISNUMBER(SEARCH(Form!$C$11,Tabel2[[#This Row],[Coordinate Projection System]])),MAX($B$1:B429)+1,0)</f>
        <v>429</v>
      </c>
      <c r="C430" t="str">
        <f t="shared" si="6"/>
        <v>S-JTSK (Ferro)</v>
      </c>
    </row>
    <row r="431" spans="1:3" x14ac:dyDescent="0.3">
      <c r="A431" t="s">
        <v>494</v>
      </c>
      <c r="B431">
        <f>IF(ISNUMBER(SEARCH(Form!$C$11,Tabel2[[#This Row],[Coordinate Projection System]])),MAX($B$1:B430)+1,0)</f>
        <v>430</v>
      </c>
      <c r="C431" t="str">
        <f t="shared" si="6"/>
        <v>Nord Sahara 1959 (Paris)</v>
      </c>
    </row>
    <row r="432" spans="1:3" x14ac:dyDescent="0.3">
      <c r="A432" t="s">
        <v>495</v>
      </c>
      <c r="B432">
        <f>IF(ISNUMBER(SEARCH(Form!$C$11,Tabel2[[#This Row],[Coordinate Projection System]])),MAX($B$1:B431)+1,0)</f>
        <v>431</v>
      </c>
      <c r="C432" t="str">
        <f t="shared" si="6"/>
        <v>Segara (Jakarta)</v>
      </c>
    </row>
    <row r="433" spans="1:3" x14ac:dyDescent="0.3">
      <c r="A433" t="s">
        <v>496</v>
      </c>
      <c r="B433">
        <f>IF(ISNUMBER(SEARCH(Form!$C$11,Tabel2[[#This Row],[Coordinate Projection System]])),MAX($B$1:B432)+1,0)</f>
        <v>432</v>
      </c>
      <c r="C433" t="str">
        <f t="shared" si="6"/>
        <v>Voirol 1879 (Paris)</v>
      </c>
    </row>
    <row r="434" spans="1:3" x14ac:dyDescent="0.3">
      <c r="A434" t="s">
        <v>497</v>
      </c>
      <c r="B434">
        <f>IF(ISNUMBER(SEARCH(Form!$C$11,Tabel2[[#This Row],[Coordinate Projection System]])),MAX($B$1:B433)+1,0)</f>
        <v>433</v>
      </c>
      <c r="C434" t="str">
        <f t="shared" si="6"/>
        <v>Sao Tome</v>
      </c>
    </row>
    <row r="435" spans="1:3" x14ac:dyDescent="0.3">
      <c r="A435" t="s">
        <v>498</v>
      </c>
      <c r="B435">
        <f>IF(ISNUMBER(SEARCH(Form!$C$11,Tabel2[[#This Row],[Coordinate Projection System]])),MAX($B$1:B434)+1,0)</f>
        <v>434</v>
      </c>
      <c r="C435" t="str">
        <f t="shared" si="6"/>
        <v>Principe</v>
      </c>
    </row>
    <row r="436" spans="1:3" x14ac:dyDescent="0.3">
      <c r="A436" t="s">
        <v>499</v>
      </c>
      <c r="B436">
        <f>IF(ISNUMBER(SEARCH(Form!$C$11,Tabel2[[#This Row],[Coordinate Projection System]])),MAX($B$1:B435)+1,0)</f>
        <v>435</v>
      </c>
      <c r="C436" t="str">
        <f t="shared" si="6"/>
        <v>ATF (Paris)</v>
      </c>
    </row>
    <row r="437" spans="1:3" x14ac:dyDescent="0.3">
      <c r="A437" t="s">
        <v>500</v>
      </c>
      <c r="B437">
        <f>IF(ISNUMBER(SEARCH(Form!$C$11,Tabel2[[#This Row],[Coordinate Projection System]])),MAX($B$1:B436)+1,0)</f>
        <v>436</v>
      </c>
      <c r="C437" t="str">
        <f t="shared" si="6"/>
        <v>NDG (Paris)</v>
      </c>
    </row>
    <row r="438" spans="1:3" x14ac:dyDescent="0.3">
      <c r="A438" t="s">
        <v>501</v>
      </c>
      <c r="B438">
        <f>IF(ISNUMBER(SEARCH(Form!$C$11,Tabel2[[#This Row],[Coordinate Projection System]])),MAX($B$1:B437)+1,0)</f>
        <v>437</v>
      </c>
      <c r="C438" t="str">
        <f t="shared" si="6"/>
        <v>Madrid 1870 (Madrid)</v>
      </c>
    </row>
    <row r="439" spans="1:3" x14ac:dyDescent="0.3">
      <c r="A439" t="s">
        <v>502</v>
      </c>
      <c r="B439">
        <f>IF(ISNUMBER(SEARCH(Form!$C$11,Tabel2[[#This Row],[Coordinate Projection System]])),MAX($B$1:B438)+1,0)</f>
        <v>438</v>
      </c>
      <c r="C439" t="str">
        <f t="shared" si="6"/>
        <v>Lisbon 1890 (Lisbon)</v>
      </c>
    </row>
    <row r="440" spans="1:3" x14ac:dyDescent="0.3">
      <c r="A440" t="s">
        <v>503</v>
      </c>
      <c r="B440">
        <f>IF(ISNUMBER(SEARCH(Form!$C$11,Tabel2[[#This Row],[Coordinate Projection System]])),MAX($B$1:B439)+1,0)</f>
        <v>439</v>
      </c>
      <c r="C440" t="str">
        <f t="shared" si="6"/>
        <v>PTRA08</v>
      </c>
    </row>
    <row r="441" spans="1:3" x14ac:dyDescent="0.3">
      <c r="A441" t="s">
        <v>504</v>
      </c>
      <c r="B441">
        <f>IF(ISNUMBER(SEARCH(Form!$C$11,Tabel2[[#This Row],[Coordinate Projection System]])),MAX($B$1:B440)+1,0)</f>
        <v>440</v>
      </c>
      <c r="C441" t="str">
        <f t="shared" si="6"/>
        <v>Tokyo 1892</v>
      </c>
    </row>
    <row r="442" spans="1:3" x14ac:dyDescent="0.3">
      <c r="A442" t="s">
        <v>505</v>
      </c>
      <c r="B442">
        <f>IF(ISNUMBER(SEARCH(Form!$C$11,Tabel2[[#This Row],[Coordinate Projection System]])),MAX($B$1:B441)+1,0)</f>
        <v>441</v>
      </c>
      <c r="C442" t="str">
        <f t="shared" si="6"/>
        <v>S-JTSK/05</v>
      </c>
    </row>
    <row r="443" spans="1:3" x14ac:dyDescent="0.3">
      <c r="A443" t="s">
        <v>506</v>
      </c>
      <c r="B443">
        <f>IF(ISNUMBER(SEARCH(Form!$C$11,Tabel2[[#This Row],[Coordinate Projection System]])),MAX($B$1:B442)+1,0)</f>
        <v>442</v>
      </c>
      <c r="C443" t="str">
        <f t="shared" si="6"/>
        <v>S-JTSK/05 (Ferro)</v>
      </c>
    </row>
    <row r="444" spans="1:3" x14ac:dyDescent="0.3">
      <c r="A444" t="s">
        <v>507</v>
      </c>
      <c r="B444">
        <f>IF(ISNUMBER(SEARCH(Form!$C$11,Tabel2[[#This Row],[Coordinate Projection System]])),MAX($B$1:B443)+1,0)</f>
        <v>443</v>
      </c>
      <c r="C444" t="str">
        <f t="shared" si="6"/>
        <v>SLD99</v>
      </c>
    </row>
    <row r="445" spans="1:3" x14ac:dyDescent="0.3">
      <c r="A445" t="s">
        <v>508</v>
      </c>
      <c r="B445">
        <f>IF(ISNUMBER(SEARCH(Form!$C$11,Tabel2[[#This Row],[Coordinate Projection System]])),MAX($B$1:B444)+1,0)</f>
        <v>444</v>
      </c>
      <c r="C445" t="str">
        <f t="shared" si="6"/>
        <v>GDBD2009</v>
      </c>
    </row>
    <row r="446" spans="1:3" x14ac:dyDescent="0.3">
      <c r="A446" t="s">
        <v>509</v>
      </c>
      <c r="B446">
        <f>IF(ISNUMBER(SEARCH(Form!$C$11,Tabel2[[#This Row],[Coordinate Projection System]])),MAX($B$1:B445)+1,0)</f>
        <v>445</v>
      </c>
      <c r="C446" t="str">
        <f t="shared" si="6"/>
        <v>TUREF</v>
      </c>
    </row>
    <row r="447" spans="1:3" x14ac:dyDescent="0.3">
      <c r="A447" t="s">
        <v>510</v>
      </c>
      <c r="B447">
        <f>IF(ISNUMBER(SEARCH(Form!$C$11,Tabel2[[#This Row],[Coordinate Projection System]])),MAX($B$1:B446)+1,0)</f>
        <v>446</v>
      </c>
      <c r="C447" t="str">
        <f t="shared" si="6"/>
        <v>DRUKREF 03</v>
      </c>
    </row>
    <row r="448" spans="1:3" x14ac:dyDescent="0.3">
      <c r="A448" t="s">
        <v>511</v>
      </c>
      <c r="B448">
        <f>IF(ISNUMBER(SEARCH(Form!$C$11,Tabel2[[#This Row],[Coordinate Projection System]])),MAX($B$1:B447)+1,0)</f>
        <v>447</v>
      </c>
      <c r="C448" t="str">
        <f t="shared" si="6"/>
        <v>ISN2004</v>
      </c>
    </row>
    <row r="449" spans="1:3" x14ac:dyDescent="0.3">
      <c r="A449" t="s">
        <v>512</v>
      </c>
      <c r="B449">
        <f>IF(ISNUMBER(SEARCH(Form!$C$11,Tabel2[[#This Row],[Coordinate Projection System]])),MAX($B$1:B448)+1,0)</f>
        <v>448</v>
      </c>
      <c r="C449" t="str">
        <f t="shared" si="6"/>
        <v>POSGAR 2007</v>
      </c>
    </row>
    <row r="450" spans="1:3" x14ac:dyDescent="0.3">
      <c r="A450" t="s">
        <v>513</v>
      </c>
      <c r="B450">
        <f>IF(ISNUMBER(SEARCH(Form!$C$11,Tabel2[[#This Row],[Coordinate Projection System]])),MAX($B$1:B449)+1,0)</f>
        <v>449</v>
      </c>
      <c r="C450" t="str">
        <f t="shared" si="6"/>
        <v>MARGEN</v>
      </c>
    </row>
    <row r="451" spans="1:3" x14ac:dyDescent="0.3">
      <c r="A451" t="s">
        <v>514</v>
      </c>
      <c r="B451">
        <f>IF(ISNUMBER(SEARCH(Form!$C$11,Tabel2[[#This Row],[Coordinate Projection System]])),MAX($B$1:B450)+1,0)</f>
        <v>450</v>
      </c>
      <c r="C451" t="str">
        <f t="shared" ref="C451:C514" si="7">_xlfn.IFNA(INDEX(A451:A5962,MATCH(ROW(C450),B451:B5962,0)),"")</f>
        <v>SIRGAS-Chile</v>
      </c>
    </row>
    <row r="452" spans="1:3" x14ac:dyDescent="0.3">
      <c r="A452" t="s">
        <v>515</v>
      </c>
      <c r="B452">
        <f>IF(ISNUMBER(SEARCH(Form!$C$11,Tabel2[[#This Row],[Coordinate Projection System]])),MAX($B$1:B451)+1,0)</f>
        <v>451</v>
      </c>
      <c r="C452" t="str">
        <f t="shared" si="7"/>
        <v>CR05</v>
      </c>
    </row>
    <row r="453" spans="1:3" x14ac:dyDescent="0.3">
      <c r="A453" t="s">
        <v>516</v>
      </c>
      <c r="B453">
        <f>IF(ISNUMBER(SEARCH(Form!$C$11,Tabel2[[#This Row],[Coordinate Projection System]])),MAX($B$1:B452)+1,0)</f>
        <v>452</v>
      </c>
      <c r="C453" t="str">
        <f t="shared" si="7"/>
        <v>MACARIO SOLIS</v>
      </c>
    </row>
    <row r="454" spans="1:3" x14ac:dyDescent="0.3">
      <c r="A454" t="s">
        <v>517</v>
      </c>
      <c r="B454">
        <f>IF(ISNUMBER(SEARCH(Form!$C$11,Tabel2[[#This Row],[Coordinate Projection System]])),MAX($B$1:B453)+1,0)</f>
        <v>453</v>
      </c>
      <c r="C454" t="str">
        <f t="shared" si="7"/>
        <v>Peru96</v>
      </c>
    </row>
    <row r="455" spans="1:3" x14ac:dyDescent="0.3">
      <c r="A455" t="s">
        <v>518</v>
      </c>
      <c r="B455">
        <f>IF(ISNUMBER(SEARCH(Form!$C$11,Tabel2[[#This Row],[Coordinate Projection System]])),MAX($B$1:B454)+1,0)</f>
        <v>454</v>
      </c>
      <c r="C455" t="str">
        <f t="shared" si="7"/>
        <v>SIRGAS-ROU98</v>
      </c>
    </row>
    <row r="456" spans="1:3" x14ac:dyDescent="0.3">
      <c r="A456" t="s">
        <v>519</v>
      </c>
      <c r="B456">
        <f>IF(ISNUMBER(SEARCH(Form!$C$11,Tabel2[[#This Row],[Coordinate Projection System]])),MAX($B$1:B455)+1,0)</f>
        <v>455</v>
      </c>
      <c r="C456" t="str">
        <f t="shared" si="7"/>
        <v>SIRGAS_ES2007.8</v>
      </c>
    </row>
    <row r="457" spans="1:3" x14ac:dyDescent="0.3">
      <c r="A457" t="s">
        <v>520</v>
      </c>
      <c r="B457">
        <f>IF(ISNUMBER(SEARCH(Form!$C$11,Tabel2[[#This Row],[Coordinate Projection System]])),MAX($B$1:B456)+1,0)</f>
        <v>456</v>
      </c>
      <c r="C457" t="str">
        <f t="shared" si="7"/>
        <v>Ocotepeque 1935</v>
      </c>
    </row>
    <row r="458" spans="1:3" x14ac:dyDescent="0.3">
      <c r="A458" t="s">
        <v>521</v>
      </c>
      <c r="B458">
        <f>IF(ISNUMBER(SEARCH(Form!$C$11,Tabel2[[#This Row],[Coordinate Projection System]])),MAX($B$1:B457)+1,0)</f>
        <v>457</v>
      </c>
      <c r="C458" t="str">
        <f t="shared" si="7"/>
        <v>Sibun Gorge 1922</v>
      </c>
    </row>
    <row r="459" spans="1:3" x14ac:dyDescent="0.3">
      <c r="A459" t="s">
        <v>522</v>
      </c>
      <c r="B459">
        <f>IF(ISNUMBER(SEARCH(Form!$C$11,Tabel2[[#This Row],[Coordinate Projection System]])),MAX($B$1:B458)+1,0)</f>
        <v>458</v>
      </c>
      <c r="C459" t="str">
        <f t="shared" si="7"/>
        <v>Panama-Colon 1911</v>
      </c>
    </row>
    <row r="460" spans="1:3" x14ac:dyDescent="0.3">
      <c r="A460" t="s">
        <v>523</v>
      </c>
      <c r="B460">
        <f>IF(ISNUMBER(SEARCH(Form!$C$11,Tabel2[[#This Row],[Coordinate Projection System]])),MAX($B$1:B459)+1,0)</f>
        <v>459</v>
      </c>
      <c r="C460" t="str">
        <f t="shared" si="7"/>
        <v>RGAF09</v>
      </c>
    </row>
    <row r="461" spans="1:3" x14ac:dyDescent="0.3">
      <c r="A461" t="s">
        <v>524</v>
      </c>
      <c r="B461">
        <f>IF(ISNUMBER(SEARCH(Form!$C$11,Tabel2[[#This Row],[Coordinate Projection System]])),MAX($B$1:B460)+1,0)</f>
        <v>460</v>
      </c>
      <c r="C461" t="str">
        <f t="shared" si="7"/>
        <v>Corrego Alegre 1961</v>
      </c>
    </row>
    <row r="462" spans="1:3" x14ac:dyDescent="0.3">
      <c r="A462" t="s">
        <v>525</v>
      </c>
      <c r="B462">
        <f>IF(ISNUMBER(SEARCH(Form!$C$11,Tabel2[[#This Row],[Coordinate Projection System]])),MAX($B$1:B461)+1,0)</f>
        <v>461</v>
      </c>
      <c r="C462" t="str">
        <f t="shared" si="7"/>
        <v>SAD69(96)</v>
      </c>
    </row>
    <row r="463" spans="1:3" x14ac:dyDescent="0.3">
      <c r="A463" t="s">
        <v>526</v>
      </c>
      <c r="B463">
        <f>IF(ISNUMBER(SEARCH(Form!$C$11,Tabel2[[#This Row],[Coordinate Projection System]])),MAX($B$1:B462)+1,0)</f>
        <v>462</v>
      </c>
      <c r="C463" t="str">
        <f t="shared" si="7"/>
        <v>PNG94</v>
      </c>
    </row>
    <row r="464" spans="1:3" x14ac:dyDescent="0.3">
      <c r="A464" t="s">
        <v>527</v>
      </c>
      <c r="B464">
        <f>IF(ISNUMBER(SEARCH(Form!$C$11,Tabel2[[#This Row],[Coordinate Projection System]])),MAX($B$1:B463)+1,0)</f>
        <v>463</v>
      </c>
      <c r="C464" t="str">
        <f t="shared" si="7"/>
        <v>UCS-2000</v>
      </c>
    </row>
    <row r="465" spans="1:3" x14ac:dyDescent="0.3">
      <c r="A465" t="s">
        <v>528</v>
      </c>
      <c r="B465">
        <f>IF(ISNUMBER(SEARCH(Form!$C$11,Tabel2[[#This Row],[Coordinate Projection System]])),MAX($B$1:B464)+1,0)</f>
        <v>464</v>
      </c>
      <c r="C465" t="str">
        <f t="shared" si="7"/>
        <v>FEH2010</v>
      </c>
    </row>
    <row r="466" spans="1:3" x14ac:dyDescent="0.3">
      <c r="A466" t="s">
        <v>529</v>
      </c>
      <c r="B466">
        <f>IF(ISNUMBER(SEARCH(Form!$C$11,Tabel2[[#This Row],[Coordinate Projection System]])),MAX($B$1:B465)+1,0)</f>
        <v>465</v>
      </c>
      <c r="C466" t="str">
        <f t="shared" si="7"/>
        <v>DB_REF</v>
      </c>
    </row>
    <row r="467" spans="1:3" x14ac:dyDescent="0.3">
      <c r="A467" t="s">
        <v>530</v>
      </c>
      <c r="B467">
        <f>IF(ISNUMBER(SEARCH(Form!$C$11,Tabel2[[#This Row],[Coordinate Projection System]])),MAX($B$1:B466)+1,0)</f>
        <v>466</v>
      </c>
      <c r="C467" t="str">
        <f t="shared" si="7"/>
        <v>TGD2005</v>
      </c>
    </row>
    <row r="468" spans="1:3" x14ac:dyDescent="0.3">
      <c r="A468" t="s">
        <v>531</v>
      </c>
      <c r="B468">
        <f>IF(ISNUMBER(SEARCH(Form!$C$11,Tabel2[[#This Row],[Coordinate Projection System]])),MAX($B$1:B467)+1,0)</f>
        <v>467</v>
      </c>
      <c r="C468" t="str">
        <f t="shared" si="7"/>
        <v>CIGD11</v>
      </c>
    </row>
    <row r="469" spans="1:3" x14ac:dyDescent="0.3">
      <c r="A469" t="s">
        <v>532</v>
      </c>
      <c r="B469">
        <f>IF(ISNUMBER(SEARCH(Form!$C$11,Tabel2[[#This Row],[Coordinate Projection System]])),MAX($B$1:B468)+1,0)</f>
        <v>468</v>
      </c>
      <c r="C469" t="str">
        <f t="shared" si="7"/>
        <v>Nepal 1981</v>
      </c>
    </row>
    <row r="470" spans="1:3" x14ac:dyDescent="0.3">
      <c r="A470" t="s">
        <v>533</v>
      </c>
      <c r="B470">
        <f>IF(ISNUMBER(SEARCH(Form!$C$11,Tabel2[[#This Row],[Coordinate Projection System]])),MAX($B$1:B469)+1,0)</f>
        <v>469</v>
      </c>
      <c r="C470" t="str">
        <f t="shared" si="7"/>
        <v>CGRS93</v>
      </c>
    </row>
    <row r="471" spans="1:3" x14ac:dyDescent="0.3">
      <c r="A471" t="s">
        <v>534</v>
      </c>
      <c r="B471">
        <f>IF(ISNUMBER(SEARCH(Form!$C$11,Tabel2[[#This Row],[Coordinate Projection System]])),MAX($B$1:B470)+1,0)</f>
        <v>470</v>
      </c>
      <c r="C471" t="str">
        <f t="shared" si="7"/>
        <v>NAD83(2011)</v>
      </c>
    </row>
    <row r="472" spans="1:3" x14ac:dyDescent="0.3">
      <c r="A472" t="s">
        <v>535</v>
      </c>
      <c r="B472">
        <f>IF(ISNUMBER(SEARCH(Form!$C$11,Tabel2[[#This Row],[Coordinate Projection System]])),MAX($B$1:B471)+1,0)</f>
        <v>471</v>
      </c>
      <c r="C472" t="str">
        <f t="shared" si="7"/>
        <v>NAD83(PA11)</v>
      </c>
    </row>
    <row r="473" spans="1:3" x14ac:dyDescent="0.3">
      <c r="A473" t="s">
        <v>536</v>
      </c>
      <c r="B473">
        <f>IF(ISNUMBER(SEARCH(Form!$C$11,Tabel2[[#This Row],[Coordinate Projection System]])),MAX($B$1:B472)+1,0)</f>
        <v>472</v>
      </c>
      <c r="C473" t="str">
        <f t="shared" si="7"/>
        <v>NAD83(MA11)</v>
      </c>
    </row>
    <row r="474" spans="1:3" x14ac:dyDescent="0.3">
      <c r="A474" t="s">
        <v>537</v>
      </c>
      <c r="B474">
        <f>IF(ISNUMBER(SEARCH(Form!$C$11,Tabel2[[#This Row],[Coordinate Projection System]])),MAX($B$1:B473)+1,0)</f>
        <v>473</v>
      </c>
      <c r="C474" t="str">
        <f t="shared" si="7"/>
        <v>Mexico ITRF2008</v>
      </c>
    </row>
    <row r="475" spans="1:3" x14ac:dyDescent="0.3">
      <c r="A475" t="s">
        <v>538</v>
      </c>
      <c r="B475">
        <f>IF(ISNUMBER(SEARCH(Form!$C$11,Tabel2[[#This Row],[Coordinate Projection System]])),MAX($B$1:B474)+1,0)</f>
        <v>474</v>
      </c>
      <c r="C475" t="str">
        <f t="shared" si="7"/>
        <v>JGD2011</v>
      </c>
    </row>
    <row r="476" spans="1:3" x14ac:dyDescent="0.3">
      <c r="A476" t="s">
        <v>539</v>
      </c>
      <c r="B476">
        <f>IF(ISNUMBER(SEARCH(Form!$C$11,Tabel2[[#This Row],[Coordinate Projection System]])),MAX($B$1:B475)+1,0)</f>
        <v>475</v>
      </c>
      <c r="C476" t="str">
        <f t="shared" si="7"/>
        <v>RDN2008</v>
      </c>
    </row>
    <row r="477" spans="1:3" x14ac:dyDescent="0.3">
      <c r="A477" t="s">
        <v>540</v>
      </c>
      <c r="B477">
        <f>IF(ISNUMBER(SEARCH(Form!$C$11,Tabel2[[#This Row],[Coordinate Projection System]])),MAX($B$1:B476)+1,0)</f>
        <v>476</v>
      </c>
      <c r="C477" t="str">
        <f t="shared" si="7"/>
        <v>NAD83(CORS96)</v>
      </c>
    </row>
    <row r="478" spans="1:3" x14ac:dyDescent="0.3">
      <c r="A478" t="s">
        <v>541</v>
      </c>
      <c r="B478">
        <f>IF(ISNUMBER(SEARCH(Form!$C$11,Tabel2[[#This Row],[Coordinate Projection System]])),MAX($B$1:B477)+1,0)</f>
        <v>477</v>
      </c>
      <c r="C478" t="str">
        <f t="shared" si="7"/>
        <v>Aden 1925</v>
      </c>
    </row>
    <row r="479" spans="1:3" x14ac:dyDescent="0.3">
      <c r="A479" t="s">
        <v>542</v>
      </c>
      <c r="B479">
        <f>IF(ISNUMBER(SEARCH(Form!$C$11,Tabel2[[#This Row],[Coordinate Projection System]])),MAX($B$1:B478)+1,0)</f>
        <v>478</v>
      </c>
      <c r="C479" t="str">
        <f t="shared" si="7"/>
        <v>Bekaa Valley 1920</v>
      </c>
    </row>
    <row r="480" spans="1:3" x14ac:dyDescent="0.3">
      <c r="A480" t="s">
        <v>543</v>
      </c>
      <c r="B480">
        <f>IF(ISNUMBER(SEARCH(Form!$C$11,Tabel2[[#This Row],[Coordinate Projection System]])),MAX($B$1:B479)+1,0)</f>
        <v>479</v>
      </c>
      <c r="C480" t="str">
        <f t="shared" si="7"/>
        <v>Bioko</v>
      </c>
    </row>
    <row r="481" spans="1:3" x14ac:dyDescent="0.3">
      <c r="A481" t="s">
        <v>544</v>
      </c>
      <c r="B481">
        <f>IF(ISNUMBER(SEARCH(Form!$C$11,Tabel2[[#This Row],[Coordinate Projection System]])),MAX($B$1:B480)+1,0)</f>
        <v>480</v>
      </c>
      <c r="C481" t="str">
        <f t="shared" si="7"/>
        <v>South East Island 1943</v>
      </c>
    </row>
    <row r="482" spans="1:3" x14ac:dyDescent="0.3">
      <c r="A482" t="s">
        <v>545</v>
      </c>
      <c r="B482">
        <f>IF(ISNUMBER(SEARCH(Form!$C$11,Tabel2[[#This Row],[Coordinate Projection System]])),MAX($B$1:B481)+1,0)</f>
        <v>481</v>
      </c>
      <c r="C482" t="str">
        <f t="shared" si="7"/>
        <v>Gambia</v>
      </c>
    </row>
    <row r="483" spans="1:3" x14ac:dyDescent="0.3">
      <c r="A483" t="s">
        <v>546</v>
      </c>
      <c r="B483">
        <f>IF(ISNUMBER(SEARCH(Form!$C$11,Tabel2[[#This Row],[Coordinate Projection System]])),MAX($B$1:B482)+1,0)</f>
        <v>482</v>
      </c>
      <c r="C483" t="str">
        <f t="shared" si="7"/>
        <v>IGD05</v>
      </c>
    </row>
    <row r="484" spans="1:3" x14ac:dyDescent="0.3">
      <c r="A484" t="s">
        <v>547</v>
      </c>
      <c r="B484">
        <f>IF(ISNUMBER(SEARCH(Form!$C$11,Tabel2[[#This Row],[Coordinate Projection System]])),MAX($B$1:B483)+1,0)</f>
        <v>483</v>
      </c>
      <c r="C484" t="str">
        <f t="shared" si="7"/>
        <v>IG05 Intermediate CRS</v>
      </c>
    </row>
    <row r="485" spans="1:3" x14ac:dyDescent="0.3">
      <c r="A485" t="s">
        <v>548</v>
      </c>
      <c r="B485">
        <f>IF(ISNUMBER(SEARCH(Form!$C$11,Tabel2[[#This Row],[Coordinate Projection System]])),MAX($B$1:B484)+1,0)</f>
        <v>484</v>
      </c>
      <c r="C485" t="str">
        <f t="shared" si="7"/>
        <v>IGD05/12</v>
      </c>
    </row>
    <row r="486" spans="1:3" x14ac:dyDescent="0.3">
      <c r="A486" t="s">
        <v>549</v>
      </c>
      <c r="B486">
        <f>IF(ISNUMBER(SEARCH(Form!$C$11,Tabel2[[#This Row],[Coordinate Projection System]])),MAX($B$1:B485)+1,0)</f>
        <v>485</v>
      </c>
      <c r="C486" t="str">
        <f t="shared" si="7"/>
        <v>IG05/12 Intermediate CRS</v>
      </c>
    </row>
    <row r="487" spans="1:3" x14ac:dyDescent="0.3">
      <c r="A487" t="s">
        <v>550</v>
      </c>
      <c r="B487">
        <f>IF(ISNUMBER(SEARCH(Form!$C$11,Tabel2[[#This Row],[Coordinate Projection System]])),MAX($B$1:B486)+1,0)</f>
        <v>486</v>
      </c>
      <c r="C487" t="str">
        <f t="shared" si="7"/>
        <v>RGSPM06 (lon-lat)</v>
      </c>
    </row>
    <row r="488" spans="1:3" x14ac:dyDescent="0.3">
      <c r="A488" t="s">
        <v>551</v>
      </c>
      <c r="B488">
        <f>IF(ISNUMBER(SEARCH(Form!$C$11,Tabel2[[#This Row],[Coordinate Projection System]])),MAX($B$1:B487)+1,0)</f>
        <v>487</v>
      </c>
      <c r="C488" t="str">
        <f t="shared" si="7"/>
        <v>RGR92 (lon-lat)</v>
      </c>
    </row>
    <row r="489" spans="1:3" x14ac:dyDescent="0.3">
      <c r="A489" t="s">
        <v>552</v>
      </c>
      <c r="B489">
        <f>IF(ISNUMBER(SEARCH(Form!$C$11,Tabel2[[#This Row],[Coordinate Projection System]])),MAX($B$1:B488)+1,0)</f>
        <v>488</v>
      </c>
      <c r="C489" t="str">
        <f t="shared" si="7"/>
        <v>RGM04 (lon-lat)</v>
      </c>
    </row>
    <row r="490" spans="1:3" x14ac:dyDescent="0.3">
      <c r="A490" t="s">
        <v>553</v>
      </c>
      <c r="B490">
        <f>IF(ISNUMBER(SEARCH(Form!$C$11,Tabel2[[#This Row],[Coordinate Projection System]])),MAX($B$1:B489)+1,0)</f>
        <v>489</v>
      </c>
      <c r="C490" t="str">
        <f t="shared" si="7"/>
        <v>RGFG95 (lon-lat)</v>
      </c>
    </row>
    <row r="491" spans="1:3" x14ac:dyDescent="0.3">
      <c r="A491" t="s">
        <v>554</v>
      </c>
      <c r="B491">
        <f>IF(ISNUMBER(SEARCH(Form!$C$11,Tabel2[[#This Row],[Coordinate Projection System]])),MAX($B$1:B490)+1,0)</f>
        <v>490</v>
      </c>
      <c r="C491" t="str">
        <f t="shared" si="7"/>
        <v>RGTAAF07</v>
      </c>
    </row>
    <row r="492" spans="1:3" x14ac:dyDescent="0.3">
      <c r="A492" t="s">
        <v>555</v>
      </c>
      <c r="B492">
        <f>IF(ISNUMBER(SEARCH(Form!$C$11,Tabel2[[#This Row],[Coordinate Projection System]])),MAX($B$1:B491)+1,0)</f>
        <v>491</v>
      </c>
      <c r="C492" t="str">
        <f t="shared" si="7"/>
        <v>RGF93 (lon-lat)</v>
      </c>
    </row>
    <row r="493" spans="1:3" x14ac:dyDescent="0.3">
      <c r="A493" t="s">
        <v>556</v>
      </c>
      <c r="B493">
        <f>IF(ISNUMBER(SEARCH(Form!$C$11,Tabel2[[#This Row],[Coordinate Projection System]])),MAX($B$1:B492)+1,0)</f>
        <v>492</v>
      </c>
      <c r="C493" t="str">
        <f t="shared" si="7"/>
        <v>RGAF09 (lon-lat)</v>
      </c>
    </row>
    <row r="494" spans="1:3" x14ac:dyDescent="0.3">
      <c r="A494" t="s">
        <v>557</v>
      </c>
      <c r="B494">
        <f>IF(ISNUMBER(SEARCH(Form!$C$11,Tabel2[[#This Row],[Coordinate Projection System]])),MAX($B$1:B493)+1,0)</f>
        <v>493</v>
      </c>
      <c r="C494" t="str">
        <f t="shared" si="7"/>
        <v>RGTAAF07 (lon-lat)</v>
      </c>
    </row>
    <row r="495" spans="1:3" x14ac:dyDescent="0.3">
      <c r="A495" t="s">
        <v>557</v>
      </c>
      <c r="B495">
        <f>IF(ISNUMBER(SEARCH(Form!$C$11,Tabel2[[#This Row],[Coordinate Projection System]])),MAX($B$1:B494)+1,0)</f>
        <v>494</v>
      </c>
      <c r="C495" t="str">
        <f t="shared" si="7"/>
        <v>RGTAAF07 (lon-lat)</v>
      </c>
    </row>
    <row r="496" spans="1:3" x14ac:dyDescent="0.3">
      <c r="A496" t="s">
        <v>546</v>
      </c>
      <c r="B496">
        <f>IF(ISNUMBER(SEARCH(Form!$C$11,Tabel2[[#This Row],[Coordinate Projection System]])),MAX($B$1:B495)+1,0)</f>
        <v>495</v>
      </c>
      <c r="C496" t="str">
        <f t="shared" si="7"/>
        <v>IGD05</v>
      </c>
    </row>
    <row r="497" spans="1:3" x14ac:dyDescent="0.3">
      <c r="A497" t="s">
        <v>548</v>
      </c>
      <c r="B497">
        <f>IF(ISNUMBER(SEARCH(Form!$C$11,Tabel2[[#This Row],[Coordinate Projection System]])),MAX($B$1:B496)+1,0)</f>
        <v>496</v>
      </c>
      <c r="C497" t="str">
        <f t="shared" si="7"/>
        <v>IGD05/12</v>
      </c>
    </row>
    <row r="498" spans="1:3" x14ac:dyDescent="0.3">
      <c r="A498" t="s">
        <v>558</v>
      </c>
      <c r="B498">
        <f>IF(ISNUMBER(SEARCH(Form!$C$11,Tabel2[[#This Row],[Coordinate Projection System]])),MAX($B$1:B497)+1,0)</f>
        <v>497</v>
      </c>
      <c r="C498" t="str">
        <f t="shared" si="7"/>
        <v>ONGD14</v>
      </c>
    </row>
    <row r="499" spans="1:3" x14ac:dyDescent="0.3">
      <c r="A499" t="s">
        <v>559</v>
      </c>
      <c r="B499">
        <f>IF(ISNUMBER(SEARCH(Form!$C$11,Tabel2[[#This Row],[Coordinate Projection System]])),MAX($B$1:B498)+1,0)</f>
        <v>498</v>
      </c>
      <c r="C499" t="str">
        <f t="shared" si="7"/>
        <v>Kyrg-06</v>
      </c>
    </row>
    <row r="500" spans="1:3" x14ac:dyDescent="0.3">
      <c r="A500" t="s">
        <v>560</v>
      </c>
      <c r="B500">
        <f>IF(ISNUMBER(SEARCH(Form!$C$11,Tabel2[[#This Row],[Coordinate Projection System]])),MAX($B$1:B499)+1,0)</f>
        <v>499</v>
      </c>
      <c r="C500" t="str">
        <f t="shared" si="7"/>
        <v>Anguilla 1957 / British West Indies Grid</v>
      </c>
    </row>
    <row r="501" spans="1:3" x14ac:dyDescent="0.3">
      <c r="A501" t="s">
        <v>561</v>
      </c>
      <c r="B501">
        <f>IF(ISNUMBER(SEARCH(Form!$C$11,Tabel2[[#This Row],[Coordinate Projection System]])),MAX($B$1:B500)+1,0)</f>
        <v>500</v>
      </c>
      <c r="C501" t="str">
        <f t="shared" si="7"/>
        <v>Antigua 1943 / British West Indies Grid</v>
      </c>
    </row>
    <row r="502" spans="1:3" x14ac:dyDescent="0.3">
      <c r="A502" t="s">
        <v>562</v>
      </c>
      <c r="B502">
        <f>IF(ISNUMBER(SEARCH(Form!$C$11,Tabel2[[#This Row],[Coordinate Projection System]])),MAX($B$1:B501)+1,0)</f>
        <v>501</v>
      </c>
      <c r="C502" t="str">
        <f t="shared" si="7"/>
        <v>Dominica 1945 / British West Indies Grid</v>
      </c>
    </row>
    <row r="503" spans="1:3" x14ac:dyDescent="0.3">
      <c r="A503" t="s">
        <v>563</v>
      </c>
      <c r="B503">
        <f>IF(ISNUMBER(SEARCH(Form!$C$11,Tabel2[[#This Row],[Coordinate Projection System]])),MAX($B$1:B502)+1,0)</f>
        <v>502</v>
      </c>
      <c r="C503" t="str">
        <f t="shared" si="7"/>
        <v>Grenada 1953 / British West Indies Grid</v>
      </c>
    </row>
    <row r="504" spans="1:3" x14ac:dyDescent="0.3">
      <c r="A504" t="s">
        <v>564</v>
      </c>
      <c r="B504">
        <f>IF(ISNUMBER(SEARCH(Form!$C$11,Tabel2[[#This Row],[Coordinate Projection System]])),MAX($B$1:B503)+1,0)</f>
        <v>503</v>
      </c>
      <c r="C504" t="str">
        <f t="shared" si="7"/>
        <v>Montserrat 1958 / British West Indies Grid</v>
      </c>
    </row>
    <row r="505" spans="1:3" x14ac:dyDescent="0.3">
      <c r="A505" t="s">
        <v>565</v>
      </c>
      <c r="B505">
        <f>IF(ISNUMBER(SEARCH(Form!$C$11,Tabel2[[#This Row],[Coordinate Projection System]])),MAX($B$1:B504)+1,0)</f>
        <v>504</v>
      </c>
      <c r="C505" t="str">
        <f t="shared" si="7"/>
        <v>St. Kitts 1955 / British West Indies Grid</v>
      </c>
    </row>
    <row r="506" spans="1:3" x14ac:dyDescent="0.3">
      <c r="A506" t="s">
        <v>566</v>
      </c>
      <c r="B506">
        <f>IF(ISNUMBER(SEARCH(Form!$C$11,Tabel2[[#This Row],[Coordinate Projection System]])),MAX($B$1:B505)+1,0)</f>
        <v>505</v>
      </c>
      <c r="C506" t="str">
        <f t="shared" si="7"/>
        <v>St. Lucia 1955 / British West Indies Grid</v>
      </c>
    </row>
    <row r="507" spans="1:3" x14ac:dyDescent="0.3">
      <c r="A507" t="s">
        <v>567</v>
      </c>
      <c r="B507">
        <f>IF(ISNUMBER(SEARCH(Form!$C$11,Tabel2[[#This Row],[Coordinate Projection System]])),MAX($B$1:B506)+1,0)</f>
        <v>506</v>
      </c>
      <c r="C507" t="str">
        <f t="shared" si="7"/>
        <v>St. Vincent 45 / British West Indies Grid</v>
      </c>
    </row>
    <row r="508" spans="1:3" x14ac:dyDescent="0.3">
      <c r="A508" t="s">
        <v>568</v>
      </c>
      <c r="B508">
        <f>IF(ISNUMBER(SEARCH(Form!$C$11,Tabel2[[#This Row],[Coordinate Projection System]])),MAX($B$1:B507)+1,0)</f>
        <v>507</v>
      </c>
      <c r="C508" t="str">
        <f t="shared" si="7"/>
        <v>NAD27(CGQ77) / SCoPQ zone 2 (deprecated)</v>
      </c>
    </row>
    <row r="509" spans="1:3" x14ac:dyDescent="0.3">
      <c r="A509" t="s">
        <v>569</v>
      </c>
      <c r="B509">
        <f>IF(ISNUMBER(SEARCH(Form!$C$11,Tabel2[[#This Row],[Coordinate Projection System]])),MAX($B$1:B508)+1,0)</f>
        <v>508</v>
      </c>
      <c r="C509" t="str">
        <f t="shared" si="7"/>
        <v>NAD27(CGQ77) / SCoPQ zone 3</v>
      </c>
    </row>
    <row r="510" spans="1:3" x14ac:dyDescent="0.3">
      <c r="A510" t="s">
        <v>570</v>
      </c>
      <c r="B510">
        <f>IF(ISNUMBER(SEARCH(Form!$C$11,Tabel2[[#This Row],[Coordinate Projection System]])),MAX($B$1:B509)+1,0)</f>
        <v>509</v>
      </c>
      <c r="C510" t="str">
        <f t="shared" si="7"/>
        <v>NAD27(CGQ77) / SCoPQ zone 4</v>
      </c>
    </row>
    <row r="511" spans="1:3" x14ac:dyDescent="0.3">
      <c r="A511" t="s">
        <v>571</v>
      </c>
      <c r="B511">
        <f>IF(ISNUMBER(SEARCH(Form!$C$11,Tabel2[[#This Row],[Coordinate Projection System]])),MAX($B$1:B510)+1,0)</f>
        <v>510</v>
      </c>
      <c r="C511" t="str">
        <f t="shared" si="7"/>
        <v>NAD27(CGQ77) / SCoPQ zone 5</v>
      </c>
    </row>
    <row r="512" spans="1:3" x14ac:dyDescent="0.3">
      <c r="A512" t="s">
        <v>572</v>
      </c>
      <c r="B512">
        <f>IF(ISNUMBER(SEARCH(Form!$C$11,Tabel2[[#This Row],[Coordinate Projection System]])),MAX($B$1:B511)+1,0)</f>
        <v>511</v>
      </c>
      <c r="C512" t="str">
        <f t="shared" si="7"/>
        <v>NAD27(CGQ77) / SCoPQ zone 6</v>
      </c>
    </row>
    <row r="513" spans="1:3" x14ac:dyDescent="0.3">
      <c r="A513" t="s">
        <v>573</v>
      </c>
      <c r="B513">
        <f>IF(ISNUMBER(SEARCH(Form!$C$11,Tabel2[[#This Row],[Coordinate Projection System]])),MAX($B$1:B512)+1,0)</f>
        <v>512</v>
      </c>
      <c r="C513" t="str">
        <f t="shared" si="7"/>
        <v>NAD27(CGQ77) / SCoPQ zone 7</v>
      </c>
    </row>
    <row r="514" spans="1:3" x14ac:dyDescent="0.3">
      <c r="A514" t="s">
        <v>574</v>
      </c>
      <c r="B514">
        <f>IF(ISNUMBER(SEARCH(Form!$C$11,Tabel2[[#This Row],[Coordinate Projection System]])),MAX($B$1:B513)+1,0)</f>
        <v>513</v>
      </c>
      <c r="C514" t="str">
        <f t="shared" si="7"/>
        <v>NAD27(CGQ77) / SCoPQ zone 8</v>
      </c>
    </row>
    <row r="515" spans="1:3" x14ac:dyDescent="0.3">
      <c r="A515" t="s">
        <v>575</v>
      </c>
      <c r="B515">
        <f>IF(ISNUMBER(SEARCH(Form!$C$11,Tabel2[[#This Row],[Coordinate Projection System]])),MAX($B$1:B514)+1,0)</f>
        <v>514</v>
      </c>
      <c r="C515" t="str">
        <f t="shared" ref="C515:C578" si="8">_xlfn.IFNA(INDEX(A515:A6026,MATCH(ROW(C514),B515:B6026,0)),"")</f>
        <v>NAD27(CGQ77) / SCoPQ zone 9</v>
      </c>
    </row>
    <row r="516" spans="1:3" x14ac:dyDescent="0.3">
      <c r="A516" t="s">
        <v>576</v>
      </c>
      <c r="B516">
        <f>IF(ISNUMBER(SEARCH(Form!$C$11,Tabel2[[#This Row],[Coordinate Projection System]])),MAX($B$1:B515)+1,0)</f>
        <v>515</v>
      </c>
      <c r="C516" t="str">
        <f t="shared" si="8"/>
        <v>NAD27(CGQ77) / SCoPQ zone 10</v>
      </c>
    </row>
    <row r="517" spans="1:3" x14ac:dyDescent="0.3">
      <c r="A517" t="s">
        <v>577</v>
      </c>
      <c r="B517">
        <f>IF(ISNUMBER(SEARCH(Form!$C$11,Tabel2[[#This Row],[Coordinate Projection System]])),MAX($B$1:B516)+1,0)</f>
        <v>516</v>
      </c>
      <c r="C517" t="str">
        <f t="shared" si="8"/>
        <v>NAD27(76) / MTM zone 8</v>
      </c>
    </row>
    <row r="518" spans="1:3" x14ac:dyDescent="0.3">
      <c r="A518" t="s">
        <v>578</v>
      </c>
      <c r="B518">
        <f>IF(ISNUMBER(SEARCH(Form!$C$11,Tabel2[[#This Row],[Coordinate Projection System]])),MAX($B$1:B517)+1,0)</f>
        <v>517</v>
      </c>
      <c r="C518" t="str">
        <f t="shared" si="8"/>
        <v>NAD27(76) / MTM zone 9</v>
      </c>
    </row>
    <row r="519" spans="1:3" x14ac:dyDescent="0.3">
      <c r="A519" t="s">
        <v>579</v>
      </c>
      <c r="B519">
        <f>IF(ISNUMBER(SEARCH(Form!$C$11,Tabel2[[#This Row],[Coordinate Projection System]])),MAX($B$1:B518)+1,0)</f>
        <v>518</v>
      </c>
      <c r="C519" t="str">
        <f t="shared" si="8"/>
        <v>NAD27(76) / MTM zone 10</v>
      </c>
    </row>
    <row r="520" spans="1:3" x14ac:dyDescent="0.3">
      <c r="A520" t="s">
        <v>580</v>
      </c>
      <c r="B520">
        <f>IF(ISNUMBER(SEARCH(Form!$C$11,Tabel2[[#This Row],[Coordinate Projection System]])),MAX($B$1:B519)+1,0)</f>
        <v>519</v>
      </c>
      <c r="C520" t="str">
        <f t="shared" si="8"/>
        <v>NAD27(76) / MTM zone 11</v>
      </c>
    </row>
    <row r="521" spans="1:3" x14ac:dyDescent="0.3">
      <c r="A521" t="s">
        <v>581</v>
      </c>
      <c r="B521">
        <f>IF(ISNUMBER(SEARCH(Form!$C$11,Tabel2[[#This Row],[Coordinate Projection System]])),MAX($B$1:B520)+1,0)</f>
        <v>520</v>
      </c>
      <c r="C521" t="str">
        <f t="shared" si="8"/>
        <v>NAD27(76) / MTM zone 12</v>
      </c>
    </row>
    <row r="522" spans="1:3" x14ac:dyDescent="0.3">
      <c r="A522" t="s">
        <v>582</v>
      </c>
      <c r="B522">
        <f>IF(ISNUMBER(SEARCH(Form!$C$11,Tabel2[[#This Row],[Coordinate Projection System]])),MAX($B$1:B521)+1,0)</f>
        <v>521</v>
      </c>
      <c r="C522" t="str">
        <f t="shared" si="8"/>
        <v>NAD27(76) / MTM zone 13</v>
      </c>
    </row>
    <row r="523" spans="1:3" x14ac:dyDescent="0.3">
      <c r="A523" t="s">
        <v>583</v>
      </c>
      <c r="B523">
        <f>IF(ISNUMBER(SEARCH(Form!$C$11,Tabel2[[#This Row],[Coordinate Projection System]])),MAX($B$1:B522)+1,0)</f>
        <v>522</v>
      </c>
      <c r="C523" t="str">
        <f t="shared" si="8"/>
        <v>NAD27(76) / MTM zone 14</v>
      </c>
    </row>
    <row r="524" spans="1:3" x14ac:dyDescent="0.3">
      <c r="A524" t="s">
        <v>584</v>
      </c>
      <c r="B524">
        <f>IF(ISNUMBER(SEARCH(Form!$C$11,Tabel2[[#This Row],[Coordinate Projection System]])),MAX($B$1:B523)+1,0)</f>
        <v>523</v>
      </c>
      <c r="C524" t="str">
        <f t="shared" si="8"/>
        <v>NAD27(76) / MTM zone 15</v>
      </c>
    </row>
    <row r="525" spans="1:3" x14ac:dyDescent="0.3">
      <c r="A525" t="s">
        <v>585</v>
      </c>
      <c r="B525">
        <f>IF(ISNUMBER(SEARCH(Form!$C$11,Tabel2[[#This Row],[Coordinate Projection System]])),MAX($B$1:B524)+1,0)</f>
        <v>524</v>
      </c>
      <c r="C525" t="str">
        <f t="shared" si="8"/>
        <v>NAD27(76) / MTM zone 16</v>
      </c>
    </row>
    <row r="526" spans="1:3" x14ac:dyDescent="0.3">
      <c r="A526" t="s">
        <v>586</v>
      </c>
      <c r="B526">
        <f>IF(ISNUMBER(SEARCH(Form!$C$11,Tabel2[[#This Row],[Coordinate Projection System]])),MAX($B$1:B525)+1,0)</f>
        <v>525</v>
      </c>
      <c r="C526" t="str">
        <f t="shared" si="8"/>
        <v>NAD27(76) / MTM zone 17</v>
      </c>
    </row>
    <row r="527" spans="1:3" x14ac:dyDescent="0.3">
      <c r="A527" t="s">
        <v>587</v>
      </c>
      <c r="B527">
        <f>IF(ISNUMBER(SEARCH(Form!$C$11,Tabel2[[#This Row],[Coordinate Projection System]])),MAX($B$1:B526)+1,0)</f>
        <v>526</v>
      </c>
      <c r="C527" t="str">
        <f t="shared" si="8"/>
        <v>NAD27(76) / UTM zone 15N</v>
      </c>
    </row>
    <row r="528" spans="1:3" x14ac:dyDescent="0.3">
      <c r="A528" t="s">
        <v>588</v>
      </c>
      <c r="B528">
        <f>IF(ISNUMBER(SEARCH(Form!$C$11,Tabel2[[#This Row],[Coordinate Projection System]])),MAX($B$1:B527)+1,0)</f>
        <v>527</v>
      </c>
      <c r="C528" t="str">
        <f t="shared" si="8"/>
        <v>NAD27(76) / UTM zone 16N</v>
      </c>
    </row>
    <row r="529" spans="1:3" x14ac:dyDescent="0.3">
      <c r="A529" t="s">
        <v>589</v>
      </c>
      <c r="B529">
        <f>IF(ISNUMBER(SEARCH(Form!$C$11,Tabel2[[#This Row],[Coordinate Projection System]])),MAX($B$1:B528)+1,0)</f>
        <v>528</v>
      </c>
      <c r="C529" t="str">
        <f t="shared" si="8"/>
        <v>NAD27(76) / UTM zone 17N</v>
      </c>
    </row>
    <row r="530" spans="1:3" x14ac:dyDescent="0.3">
      <c r="A530" t="s">
        <v>590</v>
      </c>
      <c r="B530">
        <f>IF(ISNUMBER(SEARCH(Form!$C$11,Tabel2[[#This Row],[Coordinate Projection System]])),MAX($B$1:B529)+1,0)</f>
        <v>529</v>
      </c>
      <c r="C530" t="str">
        <f t="shared" si="8"/>
        <v>NAD27(76) / UTM zone 18N</v>
      </c>
    </row>
    <row r="531" spans="1:3" x14ac:dyDescent="0.3">
      <c r="A531" t="s">
        <v>591</v>
      </c>
      <c r="B531">
        <f>IF(ISNUMBER(SEARCH(Form!$C$11,Tabel2[[#This Row],[Coordinate Projection System]])),MAX($B$1:B530)+1,0)</f>
        <v>530</v>
      </c>
      <c r="C531" t="str">
        <f t="shared" si="8"/>
        <v>NAD27(CGQ77) / UTM zone 17N</v>
      </c>
    </row>
    <row r="532" spans="1:3" x14ac:dyDescent="0.3">
      <c r="A532" t="s">
        <v>592</v>
      </c>
      <c r="B532">
        <f>IF(ISNUMBER(SEARCH(Form!$C$11,Tabel2[[#This Row],[Coordinate Projection System]])),MAX($B$1:B531)+1,0)</f>
        <v>531</v>
      </c>
      <c r="C532" t="str">
        <f t="shared" si="8"/>
        <v>NAD27(CGQ77) / UTM zone 18N</v>
      </c>
    </row>
    <row r="533" spans="1:3" x14ac:dyDescent="0.3">
      <c r="A533" t="s">
        <v>593</v>
      </c>
      <c r="B533">
        <f>IF(ISNUMBER(SEARCH(Form!$C$11,Tabel2[[#This Row],[Coordinate Projection System]])),MAX($B$1:B532)+1,0)</f>
        <v>532</v>
      </c>
      <c r="C533" t="str">
        <f t="shared" si="8"/>
        <v>NAD27(CGQ77) / UTM zone 19N</v>
      </c>
    </row>
    <row r="534" spans="1:3" x14ac:dyDescent="0.3">
      <c r="A534" t="s">
        <v>594</v>
      </c>
      <c r="B534">
        <f>IF(ISNUMBER(SEARCH(Form!$C$11,Tabel2[[#This Row],[Coordinate Projection System]])),MAX($B$1:B533)+1,0)</f>
        <v>533</v>
      </c>
      <c r="C534" t="str">
        <f t="shared" si="8"/>
        <v>NAD27(CGQ77) / UTM zone 20N</v>
      </c>
    </row>
    <row r="535" spans="1:3" x14ac:dyDescent="0.3">
      <c r="A535" t="s">
        <v>595</v>
      </c>
      <c r="B535">
        <f>IF(ISNUMBER(SEARCH(Form!$C$11,Tabel2[[#This Row],[Coordinate Projection System]])),MAX($B$1:B534)+1,0)</f>
        <v>534</v>
      </c>
      <c r="C535" t="str">
        <f t="shared" si="8"/>
        <v>NAD27(CGQ77) / UTM zone 21N</v>
      </c>
    </row>
    <row r="536" spans="1:3" x14ac:dyDescent="0.3">
      <c r="A536" t="s">
        <v>596</v>
      </c>
      <c r="B536">
        <f>IF(ISNUMBER(SEARCH(Form!$C$11,Tabel2[[#This Row],[Coordinate Projection System]])),MAX($B$1:B535)+1,0)</f>
        <v>535</v>
      </c>
      <c r="C536" t="str">
        <f t="shared" si="8"/>
        <v>NAD83(CSRS98) / New Brunswick Stereo (deprecated)</v>
      </c>
    </row>
    <row r="537" spans="1:3" x14ac:dyDescent="0.3">
      <c r="A537" t="s">
        <v>597</v>
      </c>
      <c r="B537">
        <f>IF(ISNUMBER(SEARCH(Form!$C$11,Tabel2[[#This Row],[Coordinate Projection System]])),MAX($B$1:B536)+1,0)</f>
        <v>536</v>
      </c>
      <c r="C537" t="str">
        <f t="shared" si="8"/>
        <v>NAD83(CSRS98) / UTM zone 19N (deprecated)</v>
      </c>
    </row>
    <row r="538" spans="1:3" x14ac:dyDescent="0.3">
      <c r="A538" t="s">
        <v>598</v>
      </c>
      <c r="B538">
        <f>IF(ISNUMBER(SEARCH(Form!$C$11,Tabel2[[#This Row],[Coordinate Projection System]])),MAX($B$1:B537)+1,0)</f>
        <v>537</v>
      </c>
      <c r="C538" t="str">
        <f t="shared" si="8"/>
        <v>NAD83(CSRS98) / UTM zone 20N (deprecated)</v>
      </c>
    </row>
    <row r="539" spans="1:3" x14ac:dyDescent="0.3">
      <c r="A539" t="s">
        <v>599</v>
      </c>
      <c r="B539">
        <f>IF(ISNUMBER(SEARCH(Form!$C$11,Tabel2[[#This Row],[Coordinate Projection System]])),MAX($B$1:B538)+1,0)</f>
        <v>538</v>
      </c>
      <c r="C539" t="str">
        <f t="shared" si="8"/>
        <v>Israel 1993 / Israeli TM Grid</v>
      </c>
    </row>
    <row r="540" spans="1:3" x14ac:dyDescent="0.3">
      <c r="A540" t="s">
        <v>600</v>
      </c>
      <c r="B540">
        <f>IF(ISNUMBER(SEARCH(Form!$C$11,Tabel2[[#This Row],[Coordinate Projection System]])),MAX($B$1:B539)+1,0)</f>
        <v>539</v>
      </c>
      <c r="C540" t="str">
        <f t="shared" si="8"/>
        <v>Locodjo 1965 / UTM zone 30N</v>
      </c>
    </row>
    <row r="541" spans="1:3" x14ac:dyDescent="0.3">
      <c r="A541" t="s">
        <v>601</v>
      </c>
      <c r="B541">
        <f>IF(ISNUMBER(SEARCH(Form!$C$11,Tabel2[[#This Row],[Coordinate Projection System]])),MAX($B$1:B540)+1,0)</f>
        <v>540</v>
      </c>
      <c r="C541" t="str">
        <f t="shared" si="8"/>
        <v>Abidjan 1987 / UTM zone 30N</v>
      </c>
    </row>
    <row r="542" spans="1:3" x14ac:dyDescent="0.3">
      <c r="A542" t="s">
        <v>602</v>
      </c>
      <c r="B542">
        <f>IF(ISNUMBER(SEARCH(Form!$C$11,Tabel2[[#This Row],[Coordinate Projection System]])),MAX($B$1:B541)+1,0)</f>
        <v>541</v>
      </c>
      <c r="C542" t="str">
        <f t="shared" si="8"/>
        <v>Locodjo 1965 / UTM zone 29N</v>
      </c>
    </row>
    <row r="543" spans="1:3" x14ac:dyDescent="0.3">
      <c r="A543" t="s">
        <v>603</v>
      </c>
      <c r="B543">
        <f>IF(ISNUMBER(SEARCH(Form!$C$11,Tabel2[[#This Row],[Coordinate Projection System]])),MAX($B$1:B542)+1,0)</f>
        <v>542</v>
      </c>
      <c r="C543" t="str">
        <f t="shared" si="8"/>
        <v>Abidjan 1987 / UTM zone 29N</v>
      </c>
    </row>
    <row r="544" spans="1:3" x14ac:dyDescent="0.3">
      <c r="A544" t="s">
        <v>604</v>
      </c>
      <c r="B544">
        <f>IF(ISNUMBER(SEARCH(Form!$C$11,Tabel2[[#This Row],[Coordinate Projection System]])),MAX($B$1:B543)+1,0)</f>
        <v>543</v>
      </c>
      <c r="C544" t="str">
        <f t="shared" si="8"/>
        <v>Hanoi 1972 / Gauss-Kruger zone 18</v>
      </c>
    </row>
    <row r="545" spans="1:3" x14ac:dyDescent="0.3">
      <c r="A545" t="s">
        <v>605</v>
      </c>
      <c r="B545">
        <f>IF(ISNUMBER(SEARCH(Form!$C$11,Tabel2[[#This Row],[Coordinate Projection System]])),MAX($B$1:B544)+1,0)</f>
        <v>544</v>
      </c>
      <c r="C545" t="str">
        <f t="shared" si="8"/>
        <v>Hanoi 1972 / Gauss-Kruger zone 19</v>
      </c>
    </row>
    <row r="546" spans="1:3" x14ac:dyDescent="0.3">
      <c r="A546" t="s">
        <v>606</v>
      </c>
      <c r="B546">
        <f>IF(ISNUMBER(SEARCH(Form!$C$11,Tabel2[[#This Row],[Coordinate Projection System]])),MAX($B$1:B545)+1,0)</f>
        <v>545</v>
      </c>
      <c r="C546" t="str">
        <f t="shared" si="8"/>
        <v>Hartebeesthoek94 / Lo15</v>
      </c>
    </row>
    <row r="547" spans="1:3" x14ac:dyDescent="0.3">
      <c r="A547" t="s">
        <v>607</v>
      </c>
      <c r="B547">
        <f>IF(ISNUMBER(SEARCH(Form!$C$11,Tabel2[[#This Row],[Coordinate Projection System]])),MAX($B$1:B546)+1,0)</f>
        <v>546</v>
      </c>
      <c r="C547" t="str">
        <f t="shared" si="8"/>
        <v>Hartebeesthoek94 / Lo17</v>
      </c>
    </row>
    <row r="548" spans="1:3" x14ac:dyDescent="0.3">
      <c r="A548" t="s">
        <v>608</v>
      </c>
      <c r="B548">
        <f>IF(ISNUMBER(SEARCH(Form!$C$11,Tabel2[[#This Row],[Coordinate Projection System]])),MAX($B$1:B547)+1,0)</f>
        <v>547</v>
      </c>
      <c r="C548" t="str">
        <f t="shared" si="8"/>
        <v>Hartebeesthoek94 / Lo19</v>
      </c>
    </row>
    <row r="549" spans="1:3" x14ac:dyDescent="0.3">
      <c r="A549" t="s">
        <v>609</v>
      </c>
      <c r="B549">
        <f>IF(ISNUMBER(SEARCH(Form!$C$11,Tabel2[[#This Row],[Coordinate Projection System]])),MAX($B$1:B548)+1,0)</f>
        <v>548</v>
      </c>
      <c r="C549" t="str">
        <f t="shared" si="8"/>
        <v>Hartebeesthoek94 / Lo21</v>
      </c>
    </row>
    <row r="550" spans="1:3" x14ac:dyDescent="0.3">
      <c r="A550" t="s">
        <v>610</v>
      </c>
      <c r="B550">
        <f>IF(ISNUMBER(SEARCH(Form!$C$11,Tabel2[[#This Row],[Coordinate Projection System]])),MAX($B$1:B549)+1,0)</f>
        <v>549</v>
      </c>
      <c r="C550" t="str">
        <f t="shared" si="8"/>
        <v>Hartebeesthoek94 / Lo23</v>
      </c>
    </row>
    <row r="551" spans="1:3" x14ac:dyDescent="0.3">
      <c r="A551" t="s">
        <v>611</v>
      </c>
      <c r="B551">
        <f>IF(ISNUMBER(SEARCH(Form!$C$11,Tabel2[[#This Row],[Coordinate Projection System]])),MAX($B$1:B550)+1,0)</f>
        <v>550</v>
      </c>
      <c r="C551" t="str">
        <f t="shared" si="8"/>
        <v>Hartebeesthoek94 / Lo25</v>
      </c>
    </row>
    <row r="552" spans="1:3" x14ac:dyDescent="0.3">
      <c r="A552" t="s">
        <v>612</v>
      </c>
      <c r="B552">
        <f>IF(ISNUMBER(SEARCH(Form!$C$11,Tabel2[[#This Row],[Coordinate Projection System]])),MAX($B$1:B551)+1,0)</f>
        <v>551</v>
      </c>
      <c r="C552" t="str">
        <f t="shared" si="8"/>
        <v>Hartebeesthoek94 / Lo27</v>
      </c>
    </row>
    <row r="553" spans="1:3" x14ac:dyDescent="0.3">
      <c r="A553" t="s">
        <v>613</v>
      </c>
      <c r="B553">
        <f>IF(ISNUMBER(SEARCH(Form!$C$11,Tabel2[[#This Row],[Coordinate Projection System]])),MAX($B$1:B552)+1,0)</f>
        <v>552</v>
      </c>
      <c r="C553" t="str">
        <f t="shared" si="8"/>
        <v>Hartebeesthoek94 / Lo29</v>
      </c>
    </row>
    <row r="554" spans="1:3" x14ac:dyDescent="0.3">
      <c r="A554" t="s">
        <v>614</v>
      </c>
      <c r="B554">
        <f>IF(ISNUMBER(SEARCH(Form!$C$11,Tabel2[[#This Row],[Coordinate Projection System]])),MAX($B$1:B553)+1,0)</f>
        <v>553</v>
      </c>
      <c r="C554" t="str">
        <f t="shared" si="8"/>
        <v>Hartebeesthoek94 / Lo31</v>
      </c>
    </row>
    <row r="555" spans="1:3" x14ac:dyDescent="0.3">
      <c r="A555" t="s">
        <v>615</v>
      </c>
      <c r="B555">
        <f>IF(ISNUMBER(SEARCH(Form!$C$11,Tabel2[[#This Row],[Coordinate Projection System]])),MAX($B$1:B554)+1,0)</f>
        <v>554</v>
      </c>
      <c r="C555" t="str">
        <f t="shared" si="8"/>
        <v>Hartebeesthoek94 / Lo33</v>
      </c>
    </row>
    <row r="556" spans="1:3" x14ac:dyDescent="0.3">
      <c r="A556" t="s">
        <v>616</v>
      </c>
      <c r="B556">
        <f>IF(ISNUMBER(SEARCH(Form!$C$11,Tabel2[[#This Row],[Coordinate Projection System]])),MAX($B$1:B555)+1,0)</f>
        <v>555</v>
      </c>
      <c r="C556" t="str">
        <f t="shared" si="8"/>
        <v>CH1903+ / LV95</v>
      </c>
    </row>
    <row r="557" spans="1:3" x14ac:dyDescent="0.3">
      <c r="A557" t="s">
        <v>617</v>
      </c>
      <c r="B557">
        <f>IF(ISNUMBER(SEARCH(Form!$C$11,Tabel2[[#This Row],[Coordinate Projection System]])),MAX($B$1:B556)+1,0)</f>
        <v>556</v>
      </c>
      <c r="C557" t="str">
        <f t="shared" si="8"/>
        <v>Rassadiran / Nakhl e Taqi</v>
      </c>
    </row>
    <row r="558" spans="1:3" x14ac:dyDescent="0.3">
      <c r="A558" t="s">
        <v>618</v>
      </c>
      <c r="B558">
        <f>IF(ISNUMBER(SEARCH(Form!$C$11,Tabel2[[#This Row],[Coordinate Projection System]])),MAX($B$1:B557)+1,0)</f>
        <v>557</v>
      </c>
      <c r="C558" t="str">
        <f t="shared" si="8"/>
        <v>ED50(ED77) / UTM zone 38N</v>
      </c>
    </row>
    <row r="559" spans="1:3" x14ac:dyDescent="0.3">
      <c r="A559" t="s">
        <v>619</v>
      </c>
      <c r="B559">
        <f>IF(ISNUMBER(SEARCH(Form!$C$11,Tabel2[[#This Row],[Coordinate Projection System]])),MAX($B$1:B558)+1,0)</f>
        <v>558</v>
      </c>
      <c r="C559" t="str">
        <f t="shared" si="8"/>
        <v>ED50(ED77) / UTM zone 39N</v>
      </c>
    </row>
    <row r="560" spans="1:3" x14ac:dyDescent="0.3">
      <c r="A560" t="s">
        <v>620</v>
      </c>
      <c r="B560">
        <f>IF(ISNUMBER(SEARCH(Form!$C$11,Tabel2[[#This Row],[Coordinate Projection System]])),MAX($B$1:B559)+1,0)</f>
        <v>559</v>
      </c>
      <c r="C560" t="str">
        <f t="shared" si="8"/>
        <v>ED50(ED77) / UTM zone 40N</v>
      </c>
    </row>
    <row r="561" spans="1:3" x14ac:dyDescent="0.3">
      <c r="A561" t="s">
        <v>621</v>
      </c>
      <c r="B561">
        <f>IF(ISNUMBER(SEARCH(Form!$C$11,Tabel2[[#This Row],[Coordinate Projection System]])),MAX($B$1:B560)+1,0)</f>
        <v>560</v>
      </c>
      <c r="C561" t="str">
        <f t="shared" si="8"/>
        <v>ED50(ED77) / UTM zone 41N</v>
      </c>
    </row>
    <row r="562" spans="1:3" x14ac:dyDescent="0.3">
      <c r="A562" t="s">
        <v>622</v>
      </c>
      <c r="B562">
        <f>IF(ISNUMBER(SEARCH(Form!$C$11,Tabel2[[#This Row],[Coordinate Projection System]])),MAX($B$1:B561)+1,0)</f>
        <v>561</v>
      </c>
      <c r="C562" t="str">
        <f t="shared" si="8"/>
        <v>Madrid 1870 (Madrid) / Spain</v>
      </c>
    </row>
    <row r="563" spans="1:3" x14ac:dyDescent="0.3">
      <c r="A563" t="s">
        <v>623</v>
      </c>
      <c r="B563">
        <f>IF(ISNUMBER(SEARCH(Form!$C$11,Tabel2[[#This Row],[Coordinate Projection System]])),MAX($B$1:B562)+1,0)</f>
        <v>562</v>
      </c>
      <c r="C563" t="str">
        <f t="shared" si="8"/>
        <v>Dabola 1981 / UTM zone 28N (deprecated)</v>
      </c>
    </row>
    <row r="564" spans="1:3" x14ac:dyDescent="0.3">
      <c r="A564" t="s">
        <v>624</v>
      </c>
      <c r="B564">
        <f>IF(ISNUMBER(SEARCH(Form!$C$11,Tabel2[[#This Row],[Coordinate Projection System]])),MAX($B$1:B563)+1,0)</f>
        <v>563</v>
      </c>
      <c r="C564" t="str">
        <f t="shared" si="8"/>
        <v>Dabola 1981 / UTM zone 29N (deprecated)</v>
      </c>
    </row>
    <row r="565" spans="1:3" x14ac:dyDescent="0.3">
      <c r="A565" t="s">
        <v>625</v>
      </c>
      <c r="B565">
        <f>IF(ISNUMBER(SEARCH(Form!$C$11,Tabel2[[#This Row],[Coordinate Projection System]])),MAX($B$1:B564)+1,0)</f>
        <v>564</v>
      </c>
      <c r="C565" t="str">
        <f t="shared" si="8"/>
        <v>S-JTSK (Ferro) / Krovak</v>
      </c>
    </row>
    <row r="566" spans="1:3" x14ac:dyDescent="0.3">
      <c r="A566" t="s">
        <v>626</v>
      </c>
      <c r="B566">
        <f>IF(ISNUMBER(SEARCH(Form!$C$11,Tabel2[[#This Row],[Coordinate Projection System]])),MAX($B$1:B565)+1,0)</f>
        <v>565</v>
      </c>
      <c r="C566" t="str">
        <f t="shared" si="8"/>
        <v>Mount Dillon / Tobago Grid</v>
      </c>
    </row>
    <row r="567" spans="1:3" x14ac:dyDescent="0.3">
      <c r="A567" t="s">
        <v>627</v>
      </c>
      <c r="B567">
        <f>IF(ISNUMBER(SEARCH(Form!$C$11,Tabel2[[#This Row],[Coordinate Projection System]])),MAX($B$1:B566)+1,0)</f>
        <v>566</v>
      </c>
      <c r="C567" t="str">
        <f t="shared" si="8"/>
        <v>Naparima 1955 / UTM zone 20N</v>
      </c>
    </row>
    <row r="568" spans="1:3" x14ac:dyDescent="0.3">
      <c r="A568" t="s">
        <v>628</v>
      </c>
      <c r="B568">
        <f>IF(ISNUMBER(SEARCH(Form!$C$11,Tabel2[[#This Row],[Coordinate Projection System]])),MAX($B$1:B567)+1,0)</f>
        <v>567</v>
      </c>
      <c r="C568" t="str">
        <f t="shared" si="8"/>
        <v>ELD79 / Libya zone 5</v>
      </c>
    </row>
    <row r="569" spans="1:3" x14ac:dyDescent="0.3">
      <c r="A569" t="s">
        <v>629</v>
      </c>
      <c r="B569">
        <f>IF(ISNUMBER(SEARCH(Form!$C$11,Tabel2[[#This Row],[Coordinate Projection System]])),MAX($B$1:B568)+1,0)</f>
        <v>568</v>
      </c>
      <c r="C569" t="str">
        <f t="shared" si="8"/>
        <v>ELD79 / Libya zone 6</v>
      </c>
    </row>
    <row r="570" spans="1:3" x14ac:dyDescent="0.3">
      <c r="A570" t="s">
        <v>630</v>
      </c>
      <c r="B570">
        <f>IF(ISNUMBER(SEARCH(Form!$C$11,Tabel2[[#This Row],[Coordinate Projection System]])),MAX($B$1:B569)+1,0)</f>
        <v>569</v>
      </c>
      <c r="C570" t="str">
        <f t="shared" si="8"/>
        <v>ELD79 / Libya zone 7</v>
      </c>
    </row>
    <row r="571" spans="1:3" x14ac:dyDescent="0.3">
      <c r="A571" t="s">
        <v>631</v>
      </c>
      <c r="B571">
        <f>IF(ISNUMBER(SEARCH(Form!$C$11,Tabel2[[#This Row],[Coordinate Projection System]])),MAX($B$1:B570)+1,0)</f>
        <v>570</v>
      </c>
      <c r="C571" t="str">
        <f t="shared" si="8"/>
        <v>ELD79 / Libya zone 8</v>
      </c>
    </row>
    <row r="572" spans="1:3" x14ac:dyDescent="0.3">
      <c r="A572" t="s">
        <v>632</v>
      </c>
      <c r="B572">
        <f>IF(ISNUMBER(SEARCH(Form!$C$11,Tabel2[[#This Row],[Coordinate Projection System]])),MAX($B$1:B571)+1,0)</f>
        <v>571</v>
      </c>
      <c r="C572" t="str">
        <f t="shared" si="8"/>
        <v>ELD79 / Libya zone 9</v>
      </c>
    </row>
    <row r="573" spans="1:3" x14ac:dyDescent="0.3">
      <c r="A573" t="s">
        <v>633</v>
      </c>
      <c r="B573">
        <f>IF(ISNUMBER(SEARCH(Form!$C$11,Tabel2[[#This Row],[Coordinate Projection System]])),MAX($B$1:B572)+1,0)</f>
        <v>572</v>
      </c>
      <c r="C573" t="str">
        <f t="shared" si="8"/>
        <v>ELD79 / Libya zone 10</v>
      </c>
    </row>
    <row r="574" spans="1:3" x14ac:dyDescent="0.3">
      <c r="A574" t="s">
        <v>634</v>
      </c>
      <c r="B574">
        <f>IF(ISNUMBER(SEARCH(Form!$C$11,Tabel2[[#This Row],[Coordinate Projection System]])),MAX($B$1:B573)+1,0)</f>
        <v>573</v>
      </c>
      <c r="C574" t="str">
        <f t="shared" si="8"/>
        <v>ELD79 / Libya zone 11</v>
      </c>
    </row>
    <row r="575" spans="1:3" x14ac:dyDescent="0.3">
      <c r="A575" t="s">
        <v>635</v>
      </c>
      <c r="B575">
        <f>IF(ISNUMBER(SEARCH(Form!$C$11,Tabel2[[#This Row],[Coordinate Projection System]])),MAX($B$1:B574)+1,0)</f>
        <v>574</v>
      </c>
      <c r="C575" t="str">
        <f t="shared" si="8"/>
        <v>ELD79 / Libya zone 12</v>
      </c>
    </row>
    <row r="576" spans="1:3" x14ac:dyDescent="0.3">
      <c r="A576" t="s">
        <v>636</v>
      </c>
      <c r="B576">
        <f>IF(ISNUMBER(SEARCH(Form!$C$11,Tabel2[[#This Row],[Coordinate Projection System]])),MAX($B$1:B575)+1,0)</f>
        <v>575</v>
      </c>
      <c r="C576" t="str">
        <f t="shared" si="8"/>
        <v>ELD79 / Libya zone 13</v>
      </c>
    </row>
    <row r="577" spans="1:3" x14ac:dyDescent="0.3">
      <c r="A577" t="s">
        <v>637</v>
      </c>
      <c r="B577">
        <f>IF(ISNUMBER(SEARCH(Form!$C$11,Tabel2[[#This Row],[Coordinate Projection System]])),MAX($B$1:B576)+1,0)</f>
        <v>576</v>
      </c>
      <c r="C577" t="str">
        <f t="shared" si="8"/>
        <v>ELD79 / UTM zone 32N</v>
      </c>
    </row>
    <row r="578" spans="1:3" x14ac:dyDescent="0.3">
      <c r="A578" t="s">
        <v>638</v>
      </c>
      <c r="B578">
        <f>IF(ISNUMBER(SEARCH(Form!$C$11,Tabel2[[#This Row],[Coordinate Projection System]])),MAX($B$1:B577)+1,0)</f>
        <v>577</v>
      </c>
      <c r="C578" t="str">
        <f t="shared" si="8"/>
        <v>ELD79 / UTM zone 33N</v>
      </c>
    </row>
    <row r="579" spans="1:3" x14ac:dyDescent="0.3">
      <c r="A579" t="s">
        <v>639</v>
      </c>
      <c r="B579">
        <f>IF(ISNUMBER(SEARCH(Form!$C$11,Tabel2[[#This Row],[Coordinate Projection System]])),MAX($B$1:B578)+1,0)</f>
        <v>578</v>
      </c>
      <c r="C579" t="str">
        <f t="shared" ref="C579:C642" si="9">_xlfn.IFNA(INDEX(A579:A6090,MATCH(ROW(C578),B579:B6090,0)),"")</f>
        <v>ELD79 / UTM zone 34N</v>
      </c>
    </row>
    <row r="580" spans="1:3" x14ac:dyDescent="0.3">
      <c r="A580" t="s">
        <v>640</v>
      </c>
      <c r="B580">
        <f>IF(ISNUMBER(SEARCH(Form!$C$11,Tabel2[[#This Row],[Coordinate Projection System]])),MAX($B$1:B579)+1,0)</f>
        <v>579</v>
      </c>
      <c r="C580" t="str">
        <f t="shared" si="9"/>
        <v>ELD79 / UTM zone 35N</v>
      </c>
    </row>
    <row r="581" spans="1:3" x14ac:dyDescent="0.3">
      <c r="A581" t="s">
        <v>641</v>
      </c>
      <c r="B581">
        <f>IF(ISNUMBER(SEARCH(Form!$C$11,Tabel2[[#This Row],[Coordinate Projection System]])),MAX($B$1:B580)+1,0)</f>
        <v>580</v>
      </c>
      <c r="C581" t="str">
        <f t="shared" si="9"/>
        <v>Chos Malal 1914 / Argentina 2</v>
      </c>
    </row>
    <row r="582" spans="1:3" x14ac:dyDescent="0.3">
      <c r="A582" t="s">
        <v>642</v>
      </c>
      <c r="B582">
        <f>IF(ISNUMBER(SEARCH(Form!$C$11,Tabel2[[#This Row],[Coordinate Projection System]])),MAX($B$1:B581)+1,0)</f>
        <v>581</v>
      </c>
      <c r="C582" t="str">
        <f t="shared" si="9"/>
        <v>Pampa del Castillo / Argentina 2</v>
      </c>
    </row>
    <row r="583" spans="1:3" x14ac:dyDescent="0.3">
      <c r="A583" t="s">
        <v>643</v>
      </c>
      <c r="B583">
        <f>IF(ISNUMBER(SEARCH(Form!$C$11,Tabel2[[#This Row],[Coordinate Projection System]])),MAX($B$1:B582)+1,0)</f>
        <v>582</v>
      </c>
      <c r="C583" t="str">
        <f t="shared" si="9"/>
        <v>Hito XVIII 1963 / Argentina 2</v>
      </c>
    </row>
    <row r="584" spans="1:3" x14ac:dyDescent="0.3">
      <c r="A584" t="s">
        <v>644</v>
      </c>
      <c r="B584">
        <f>IF(ISNUMBER(SEARCH(Form!$C$11,Tabel2[[#This Row],[Coordinate Projection System]])),MAX($B$1:B583)+1,0)</f>
        <v>583</v>
      </c>
      <c r="C584" t="str">
        <f t="shared" si="9"/>
        <v>Hito XVIII 1963 / UTM zone 19S</v>
      </c>
    </row>
    <row r="585" spans="1:3" x14ac:dyDescent="0.3">
      <c r="A585" t="s">
        <v>645</v>
      </c>
      <c r="B585">
        <f>IF(ISNUMBER(SEARCH(Form!$C$11,Tabel2[[#This Row],[Coordinate Projection System]])),MAX($B$1:B584)+1,0)</f>
        <v>584</v>
      </c>
      <c r="C585" t="str">
        <f t="shared" si="9"/>
        <v>NAD27 / Cuba Norte (deprecated)</v>
      </c>
    </row>
    <row r="586" spans="1:3" x14ac:dyDescent="0.3">
      <c r="A586" t="s">
        <v>646</v>
      </c>
      <c r="B586">
        <f>IF(ISNUMBER(SEARCH(Form!$C$11,Tabel2[[#This Row],[Coordinate Projection System]])),MAX($B$1:B585)+1,0)</f>
        <v>585</v>
      </c>
      <c r="C586" t="str">
        <f t="shared" si="9"/>
        <v>NAD27 / Cuba Sur (deprecated)</v>
      </c>
    </row>
    <row r="587" spans="1:3" x14ac:dyDescent="0.3">
      <c r="A587" t="s">
        <v>647</v>
      </c>
      <c r="B587">
        <f>IF(ISNUMBER(SEARCH(Form!$C$11,Tabel2[[#This Row],[Coordinate Projection System]])),MAX($B$1:B586)+1,0)</f>
        <v>586</v>
      </c>
      <c r="C587" t="str">
        <f t="shared" si="9"/>
        <v>ELD79 / TM 12 NE</v>
      </c>
    </row>
    <row r="588" spans="1:3" x14ac:dyDescent="0.3">
      <c r="A588" t="s">
        <v>648</v>
      </c>
      <c r="B588">
        <f>IF(ISNUMBER(SEARCH(Form!$C$11,Tabel2[[#This Row],[Coordinate Projection System]])),MAX($B$1:B587)+1,0)</f>
        <v>587</v>
      </c>
      <c r="C588" t="str">
        <f t="shared" si="9"/>
        <v>Carthage / TM 11 NE</v>
      </c>
    </row>
    <row r="589" spans="1:3" x14ac:dyDescent="0.3">
      <c r="A589" t="s">
        <v>649</v>
      </c>
      <c r="B589">
        <f>IF(ISNUMBER(SEARCH(Form!$C$11,Tabel2[[#This Row],[Coordinate Projection System]])),MAX($B$1:B588)+1,0)</f>
        <v>588</v>
      </c>
      <c r="C589" t="str">
        <f t="shared" si="9"/>
        <v>Yemen NGN96 / UTM zone 38N</v>
      </c>
    </row>
    <row r="590" spans="1:3" x14ac:dyDescent="0.3">
      <c r="A590" t="s">
        <v>650</v>
      </c>
      <c r="B590">
        <f>IF(ISNUMBER(SEARCH(Form!$C$11,Tabel2[[#This Row],[Coordinate Projection System]])),MAX($B$1:B589)+1,0)</f>
        <v>589</v>
      </c>
      <c r="C590" t="str">
        <f t="shared" si="9"/>
        <v>Yemen NGN96 / UTM zone 39N</v>
      </c>
    </row>
    <row r="591" spans="1:3" x14ac:dyDescent="0.3">
      <c r="A591" t="s">
        <v>651</v>
      </c>
      <c r="B591">
        <f>IF(ISNUMBER(SEARCH(Form!$C$11,Tabel2[[#This Row],[Coordinate Projection System]])),MAX($B$1:B590)+1,0)</f>
        <v>590</v>
      </c>
      <c r="C591" t="str">
        <f t="shared" si="9"/>
        <v>South Yemen / Gauss Kruger zone 8 (deprecated)</v>
      </c>
    </row>
    <row r="592" spans="1:3" x14ac:dyDescent="0.3">
      <c r="A592" t="s">
        <v>652</v>
      </c>
      <c r="B592">
        <f>IF(ISNUMBER(SEARCH(Form!$C$11,Tabel2[[#This Row],[Coordinate Projection System]])),MAX($B$1:B591)+1,0)</f>
        <v>591</v>
      </c>
      <c r="C592" t="str">
        <f t="shared" si="9"/>
        <v>South Yemen / Gauss Kruger zone 9 (deprecated)</v>
      </c>
    </row>
    <row r="593" spans="1:3" x14ac:dyDescent="0.3">
      <c r="A593" t="s">
        <v>653</v>
      </c>
      <c r="B593">
        <f>IF(ISNUMBER(SEARCH(Form!$C$11,Tabel2[[#This Row],[Coordinate Projection System]])),MAX($B$1:B592)+1,0)</f>
        <v>592</v>
      </c>
      <c r="C593" t="str">
        <f t="shared" si="9"/>
        <v>Hanoi 1972 / GK 106 NE</v>
      </c>
    </row>
    <row r="594" spans="1:3" x14ac:dyDescent="0.3">
      <c r="A594" t="s">
        <v>654</v>
      </c>
      <c r="B594">
        <f>IF(ISNUMBER(SEARCH(Form!$C$11,Tabel2[[#This Row],[Coordinate Projection System]])),MAX($B$1:B593)+1,0)</f>
        <v>593</v>
      </c>
      <c r="C594" t="str">
        <f t="shared" si="9"/>
        <v>WGS 72BE / TM 106 NE</v>
      </c>
    </row>
    <row r="595" spans="1:3" x14ac:dyDescent="0.3">
      <c r="A595" t="s">
        <v>655</v>
      </c>
      <c r="B595">
        <f>IF(ISNUMBER(SEARCH(Form!$C$11,Tabel2[[#This Row],[Coordinate Projection System]])),MAX($B$1:B594)+1,0)</f>
        <v>594</v>
      </c>
      <c r="C595" t="str">
        <f t="shared" si="9"/>
        <v>Bissau / UTM zone 28N</v>
      </c>
    </row>
    <row r="596" spans="1:3" x14ac:dyDescent="0.3">
      <c r="A596" t="s">
        <v>656</v>
      </c>
      <c r="B596">
        <f>IF(ISNUMBER(SEARCH(Form!$C$11,Tabel2[[#This Row],[Coordinate Projection System]])),MAX($B$1:B595)+1,0)</f>
        <v>595</v>
      </c>
      <c r="C596" t="str">
        <f t="shared" si="9"/>
        <v>Korean 1985 / East Belt</v>
      </c>
    </row>
    <row r="597" spans="1:3" x14ac:dyDescent="0.3">
      <c r="A597" t="s">
        <v>657</v>
      </c>
      <c r="B597">
        <f>IF(ISNUMBER(SEARCH(Form!$C$11,Tabel2[[#This Row],[Coordinate Projection System]])),MAX($B$1:B596)+1,0)</f>
        <v>596</v>
      </c>
      <c r="C597" t="str">
        <f t="shared" si="9"/>
        <v>Korean 1985 / Central Belt</v>
      </c>
    </row>
    <row r="598" spans="1:3" x14ac:dyDescent="0.3">
      <c r="A598" t="s">
        <v>658</v>
      </c>
      <c r="B598">
        <f>IF(ISNUMBER(SEARCH(Form!$C$11,Tabel2[[#This Row],[Coordinate Projection System]])),MAX($B$1:B597)+1,0)</f>
        <v>597</v>
      </c>
      <c r="C598" t="str">
        <f t="shared" si="9"/>
        <v>Korean 1985 / West Belt</v>
      </c>
    </row>
    <row r="599" spans="1:3" x14ac:dyDescent="0.3">
      <c r="A599" t="s">
        <v>659</v>
      </c>
      <c r="B599">
        <f>IF(ISNUMBER(SEARCH(Form!$C$11,Tabel2[[#This Row],[Coordinate Projection System]])),MAX($B$1:B598)+1,0)</f>
        <v>598</v>
      </c>
      <c r="C599" t="str">
        <f t="shared" si="9"/>
        <v>Qatar 1948 / Qatar Grid</v>
      </c>
    </row>
    <row r="600" spans="1:3" x14ac:dyDescent="0.3">
      <c r="A600" t="s">
        <v>660</v>
      </c>
      <c r="B600">
        <f>IF(ISNUMBER(SEARCH(Form!$C$11,Tabel2[[#This Row],[Coordinate Projection System]])),MAX($B$1:B599)+1,0)</f>
        <v>599</v>
      </c>
      <c r="C600" t="str">
        <f t="shared" si="9"/>
        <v>GGRS87 / Greek Grid</v>
      </c>
    </row>
    <row r="601" spans="1:3" x14ac:dyDescent="0.3">
      <c r="A601" t="s">
        <v>661</v>
      </c>
      <c r="B601">
        <f>IF(ISNUMBER(SEARCH(Form!$C$11,Tabel2[[#This Row],[Coordinate Projection System]])),MAX($B$1:B600)+1,0)</f>
        <v>600</v>
      </c>
      <c r="C601" t="str">
        <f t="shared" si="9"/>
        <v>Lake / Maracaibo Grid M1</v>
      </c>
    </row>
    <row r="602" spans="1:3" x14ac:dyDescent="0.3">
      <c r="A602" t="s">
        <v>662</v>
      </c>
      <c r="B602">
        <f>IF(ISNUMBER(SEARCH(Form!$C$11,Tabel2[[#This Row],[Coordinate Projection System]])),MAX($B$1:B601)+1,0)</f>
        <v>601</v>
      </c>
      <c r="C602" t="str">
        <f t="shared" si="9"/>
        <v>Lake / Maracaibo Grid</v>
      </c>
    </row>
    <row r="603" spans="1:3" x14ac:dyDescent="0.3">
      <c r="A603" t="s">
        <v>663</v>
      </c>
      <c r="B603">
        <f>IF(ISNUMBER(SEARCH(Form!$C$11,Tabel2[[#This Row],[Coordinate Projection System]])),MAX($B$1:B602)+1,0)</f>
        <v>602</v>
      </c>
      <c r="C603" t="str">
        <f t="shared" si="9"/>
        <v>Lake / Maracaibo Grid M3</v>
      </c>
    </row>
    <row r="604" spans="1:3" x14ac:dyDescent="0.3">
      <c r="A604" t="s">
        <v>664</v>
      </c>
      <c r="B604">
        <f>IF(ISNUMBER(SEARCH(Form!$C$11,Tabel2[[#This Row],[Coordinate Projection System]])),MAX($B$1:B603)+1,0)</f>
        <v>603</v>
      </c>
      <c r="C604" t="str">
        <f t="shared" si="9"/>
        <v>Lake / Maracaibo La Rosa Grid</v>
      </c>
    </row>
    <row r="605" spans="1:3" x14ac:dyDescent="0.3">
      <c r="A605" t="s">
        <v>665</v>
      </c>
      <c r="B605">
        <f>IF(ISNUMBER(SEARCH(Form!$C$11,Tabel2[[#This Row],[Coordinate Projection System]])),MAX($B$1:B604)+1,0)</f>
        <v>604</v>
      </c>
      <c r="C605" t="str">
        <f t="shared" si="9"/>
        <v>NZGD2000 / Mount Eden 2000</v>
      </c>
    </row>
    <row r="606" spans="1:3" x14ac:dyDescent="0.3">
      <c r="A606" t="s">
        <v>666</v>
      </c>
      <c r="B606">
        <f>IF(ISNUMBER(SEARCH(Form!$C$11,Tabel2[[#This Row],[Coordinate Projection System]])),MAX($B$1:B605)+1,0)</f>
        <v>605</v>
      </c>
      <c r="C606" t="str">
        <f t="shared" si="9"/>
        <v>NZGD2000 / Bay of Plenty 2000</v>
      </c>
    </row>
    <row r="607" spans="1:3" x14ac:dyDescent="0.3">
      <c r="A607" t="s">
        <v>667</v>
      </c>
      <c r="B607">
        <f>IF(ISNUMBER(SEARCH(Form!$C$11,Tabel2[[#This Row],[Coordinate Projection System]])),MAX($B$1:B606)+1,0)</f>
        <v>606</v>
      </c>
      <c r="C607" t="str">
        <f t="shared" si="9"/>
        <v>NZGD2000 / Poverty Bay 2000</v>
      </c>
    </row>
    <row r="608" spans="1:3" x14ac:dyDescent="0.3">
      <c r="A608" t="s">
        <v>668</v>
      </c>
      <c r="B608">
        <f>IF(ISNUMBER(SEARCH(Form!$C$11,Tabel2[[#This Row],[Coordinate Projection System]])),MAX($B$1:B607)+1,0)</f>
        <v>607</v>
      </c>
      <c r="C608" t="str">
        <f t="shared" si="9"/>
        <v>NZGD2000 / Hawkes Bay 2000</v>
      </c>
    </row>
    <row r="609" spans="1:3" x14ac:dyDescent="0.3">
      <c r="A609" t="s">
        <v>669</v>
      </c>
      <c r="B609">
        <f>IF(ISNUMBER(SEARCH(Form!$C$11,Tabel2[[#This Row],[Coordinate Projection System]])),MAX($B$1:B608)+1,0)</f>
        <v>608</v>
      </c>
      <c r="C609" t="str">
        <f t="shared" si="9"/>
        <v>NZGD2000 / Taranaki 2000</v>
      </c>
    </row>
    <row r="610" spans="1:3" x14ac:dyDescent="0.3">
      <c r="A610" t="s">
        <v>670</v>
      </c>
      <c r="B610">
        <f>IF(ISNUMBER(SEARCH(Form!$C$11,Tabel2[[#This Row],[Coordinate Projection System]])),MAX($B$1:B609)+1,0)</f>
        <v>609</v>
      </c>
      <c r="C610" t="str">
        <f t="shared" si="9"/>
        <v>NZGD2000 / Tuhirangi 2000</v>
      </c>
    </row>
    <row r="611" spans="1:3" x14ac:dyDescent="0.3">
      <c r="A611" t="s">
        <v>671</v>
      </c>
      <c r="B611">
        <f>IF(ISNUMBER(SEARCH(Form!$C$11,Tabel2[[#This Row],[Coordinate Projection System]])),MAX($B$1:B610)+1,0)</f>
        <v>610</v>
      </c>
      <c r="C611" t="str">
        <f t="shared" si="9"/>
        <v>NZGD2000 / Wanganui 2000</v>
      </c>
    </row>
    <row r="612" spans="1:3" x14ac:dyDescent="0.3">
      <c r="A612" t="s">
        <v>672</v>
      </c>
      <c r="B612">
        <f>IF(ISNUMBER(SEARCH(Form!$C$11,Tabel2[[#This Row],[Coordinate Projection System]])),MAX($B$1:B611)+1,0)</f>
        <v>611</v>
      </c>
      <c r="C612" t="str">
        <f t="shared" si="9"/>
        <v>NZGD2000 / Wairarapa 2000</v>
      </c>
    </row>
    <row r="613" spans="1:3" x14ac:dyDescent="0.3">
      <c r="A613" t="s">
        <v>673</v>
      </c>
      <c r="B613">
        <f>IF(ISNUMBER(SEARCH(Form!$C$11,Tabel2[[#This Row],[Coordinate Projection System]])),MAX($B$1:B612)+1,0)</f>
        <v>612</v>
      </c>
      <c r="C613" t="str">
        <f t="shared" si="9"/>
        <v>NZGD2000 / Wellington 2000</v>
      </c>
    </row>
    <row r="614" spans="1:3" x14ac:dyDescent="0.3">
      <c r="A614" t="s">
        <v>674</v>
      </c>
      <c r="B614">
        <f>IF(ISNUMBER(SEARCH(Form!$C$11,Tabel2[[#This Row],[Coordinate Projection System]])),MAX($B$1:B613)+1,0)</f>
        <v>613</v>
      </c>
      <c r="C614" t="str">
        <f t="shared" si="9"/>
        <v>NZGD2000 / Collingwood 2000</v>
      </c>
    </row>
    <row r="615" spans="1:3" x14ac:dyDescent="0.3">
      <c r="A615" t="s">
        <v>675</v>
      </c>
      <c r="B615">
        <f>IF(ISNUMBER(SEARCH(Form!$C$11,Tabel2[[#This Row],[Coordinate Projection System]])),MAX($B$1:B614)+1,0)</f>
        <v>614</v>
      </c>
      <c r="C615" t="str">
        <f t="shared" si="9"/>
        <v>NZGD2000 / Nelson 2000</v>
      </c>
    </row>
    <row r="616" spans="1:3" x14ac:dyDescent="0.3">
      <c r="A616" t="s">
        <v>676</v>
      </c>
      <c r="B616">
        <f>IF(ISNUMBER(SEARCH(Form!$C$11,Tabel2[[#This Row],[Coordinate Projection System]])),MAX($B$1:B615)+1,0)</f>
        <v>615</v>
      </c>
      <c r="C616" t="str">
        <f t="shared" si="9"/>
        <v>NZGD2000 / Karamea 2000</v>
      </c>
    </row>
    <row r="617" spans="1:3" x14ac:dyDescent="0.3">
      <c r="A617" t="s">
        <v>677</v>
      </c>
      <c r="B617">
        <f>IF(ISNUMBER(SEARCH(Form!$C$11,Tabel2[[#This Row],[Coordinate Projection System]])),MAX($B$1:B616)+1,0)</f>
        <v>616</v>
      </c>
      <c r="C617" t="str">
        <f t="shared" si="9"/>
        <v>NZGD2000 / Buller 2000</v>
      </c>
    </row>
    <row r="618" spans="1:3" x14ac:dyDescent="0.3">
      <c r="A618" t="s">
        <v>678</v>
      </c>
      <c r="B618">
        <f>IF(ISNUMBER(SEARCH(Form!$C$11,Tabel2[[#This Row],[Coordinate Projection System]])),MAX($B$1:B617)+1,0)</f>
        <v>617</v>
      </c>
      <c r="C618" t="str">
        <f t="shared" si="9"/>
        <v>NZGD2000 / Grey 2000</v>
      </c>
    </row>
    <row r="619" spans="1:3" x14ac:dyDescent="0.3">
      <c r="A619" t="s">
        <v>679</v>
      </c>
      <c r="B619">
        <f>IF(ISNUMBER(SEARCH(Form!$C$11,Tabel2[[#This Row],[Coordinate Projection System]])),MAX($B$1:B618)+1,0)</f>
        <v>618</v>
      </c>
      <c r="C619" t="str">
        <f t="shared" si="9"/>
        <v>NZGD2000 / Amuri 2000</v>
      </c>
    </row>
    <row r="620" spans="1:3" x14ac:dyDescent="0.3">
      <c r="A620" t="s">
        <v>680</v>
      </c>
      <c r="B620">
        <f>IF(ISNUMBER(SEARCH(Form!$C$11,Tabel2[[#This Row],[Coordinate Projection System]])),MAX($B$1:B619)+1,0)</f>
        <v>619</v>
      </c>
      <c r="C620" t="str">
        <f t="shared" si="9"/>
        <v>NZGD2000 / Marlborough 2000</v>
      </c>
    </row>
    <row r="621" spans="1:3" x14ac:dyDescent="0.3">
      <c r="A621" t="s">
        <v>681</v>
      </c>
      <c r="B621">
        <f>IF(ISNUMBER(SEARCH(Form!$C$11,Tabel2[[#This Row],[Coordinate Projection System]])),MAX($B$1:B620)+1,0)</f>
        <v>620</v>
      </c>
      <c r="C621" t="str">
        <f t="shared" si="9"/>
        <v>NZGD2000 / Hokitika 2000</v>
      </c>
    </row>
    <row r="622" spans="1:3" x14ac:dyDescent="0.3">
      <c r="A622" t="s">
        <v>682</v>
      </c>
      <c r="B622">
        <f>IF(ISNUMBER(SEARCH(Form!$C$11,Tabel2[[#This Row],[Coordinate Projection System]])),MAX($B$1:B621)+1,0)</f>
        <v>621</v>
      </c>
      <c r="C622" t="str">
        <f t="shared" si="9"/>
        <v>NZGD2000 / Okarito 2000</v>
      </c>
    </row>
    <row r="623" spans="1:3" x14ac:dyDescent="0.3">
      <c r="A623" t="s">
        <v>683</v>
      </c>
      <c r="B623">
        <f>IF(ISNUMBER(SEARCH(Form!$C$11,Tabel2[[#This Row],[Coordinate Projection System]])),MAX($B$1:B622)+1,0)</f>
        <v>622</v>
      </c>
      <c r="C623" t="str">
        <f t="shared" si="9"/>
        <v>NZGD2000 / Jacksons Bay 2000</v>
      </c>
    </row>
    <row r="624" spans="1:3" x14ac:dyDescent="0.3">
      <c r="A624" t="s">
        <v>684</v>
      </c>
      <c r="B624">
        <f>IF(ISNUMBER(SEARCH(Form!$C$11,Tabel2[[#This Row],[Coordinate Projection System]])),MAX($B$1:B623)+1,0)</f>
        <v>623</v>
      </c>
      <c r="C624" t="str">
        <f t="shared" si="9"/>
        <v>NZGD2000 / Mount Pleasant 2000</v>
      </c>
    </row>
    <row r="625" spans="1:3" x14ac:dyDescent="0.3">
      <c r="A625" t="s">
        <v>685</v>
      </c>
      <c r="B625">
        <f>IF(ISNUMBER(SEARCH(Form!$C$11,Tabel2[[#This Row],[Coordinate Projection System]])),MAX($B$1:B624)+1,0)</f>
        <v>624</v>
      </c>
      <c r="C625" t="str">
        <f t="shared" si="9"/>
        <v>NZGD2000 / Gawler 2000</v>
      </c>
    </row>
    <row r="626" spans="1:3" x14ac:dyDescent="0.3">
      <c r="A626" t="s">
        <v>686</v>
      </c>
      <c r="B626">
        <f>IF(ISNUMBER(SEARCH(Form!$C$11,Tabel2[[#This Row],[Coordinate Projection System]])),MAX($B$1:B625)+1,0)</f>
        <v>625</v>
      </c>
      <c r="C626" t="str">
        <f t="shared" si="9"/>
        <v>NZGD2000 / Timaru 2000</v>
      </c>
    </row>
    <row r="627" spans="1:3" x14ac:dyDescent="0.3">
      <c r="A627" t="s">
        <v>687</v>
      </c>
      <c r="B627">
        <f>IF(ISNUMBER(SEARCH(Form!$C$11,Tabel2[[#This Row],[Coordinate Projection System]])),MAX($B$1:B626)+1,0)</f>
        <v>626</v>
      </c>
      <c r="C627" t="str">
        <f t="shared" si="9"/>
        <v>NZGD2000 / Lindis Peak 2000</v>
      </c>
    </row>
    <row r="628" spans="1:3" x14ac:dyDescent="0.3">
      <c r="A628" t="s">
        <v>688</v>
      </c>
      <c r="B628">
        <f>IF(ISNUMBER(SEARCH(Form!$C$11,Tabel2[[#This Row],[Coordinate Projection System]])),MAX($B$1:B627)+1,0)</f>
        <v>627</v>
      </c>
      <c r="C628" t="str">
        <f t="shared" si="9"/>
        <v>NZGD2000 / Mount Nicholas 2000</v>
      </c>
    </row>
    <row r="629" spans="1:3" x14ac:dyDescent="0.3">
      <c r="A629" t="s">
        <v>689</v>
      </c>
      <c r="B629">
        <f>IF(ISNUMBER(SEARCH(Form!$C$11,Tabel2[[#This Row],[Coordinate Projection System]])),MAX($B$1:B628)+1,0)</f>
        <v>628</v>
      </c>
      <c r="C629" t="str">
        <f t="shared" si="9"/>
        <v>NZGD2000 / Mount York 2000</v>
      </c>
    </row>
    <row r="630" spans="1:3" x14ac:dyDescent="0.3">
      <c r="A630" t="s">
        <v>690</v>
      </c>
      <c r="B630">
        <f>IF(ISNUMBER(SEARCH(Form!$C$11,Tabel2[[#This Row],[Coordinate Projection System]])),MAX($B$1:B629)+1,0)</f>
        <v>629</v>
      </c>
      <c r="C630" t="str">
        <f t="shared" si="9"/>
        <v>NZGD2000 / Observation Point 2000</v>
      </c>
    </row>
    <row r="631" spans="1:3" x14ac:dyDescent="0.3">
      <c r="A631" t="s">
        <v>691</v>
      </c>
      <c r="B631">
        <f>IF(ISNUMBER(SEARCH(Form!$C$11,Tabel2[[#This Row],[Coordinate Projection System]])),MAX($B$1:B630)+1,0)</f>
        <v>630</v>
      </c>
      <c r="C631" t="str">
        <f t="shared" si="9"/>
        <v>NZGD2000 / North Taieri 2000</v>
      </c>
    </row>
    <row r="632" spans="1:3" x14ac:dyDescent="0.3">
      <c r="A632" t="s">
        <v>692</v>
      </c>
      <c r="B632">
        <f>IF(ISNUMBER(SEARCH(Form!$C$11,Tabel2[[#This Row],[Coordinate Projection System]])),MAX($B$1:B631)+1,0)</f>
        <v>631</v>
      </c>
      <c r="C632" t="str">
        <f t="shared" si="9"/>
        <v>NZGD2000 / Bluff 2000</v>
      </c>
    </row>
    <row r="633" spans="1:3" x14ac:dyDescent="0.3">
      <c r="A633" t="s">
        <v>693</v>
      </c>
      <c r="B633">
        <f>IF(ISNUMBER(SEARCH(Form!$C$11,Tabel2[[#This Row],[Coordinate Projection System]])),MAX($B$1:B632)+1,0)</f>
        <v>632</v>
      </c>
      <c r="C633" t="str">
        <f t="shared" si="9"/>
        <v>NZGD2000 / UTM zone 58S</v>
      </c>
    </row>
    <row r="634" spans="1:3" x14ac:dyDescent="0.3">
      <c r="A634" t="s">
        <v>694</v>
      </c>
      <c r="B634">
        <f>IF(ISNUMBER(SEARCH(Form!$C$11,Tabel2[[#This Row],[Coordinate Projection System]])),MAX($B$1:B633)+1,0)</f>
        <v>633</v>
      </c>
      <c r="C634" t="str">
        <f t="shared" si="9"/>
        <v>NZGD2000 / UTM zone 59S</v>
      </c>
    </row>
    <row r="635" spans="1:3" x14ac:dyDescent="0.3">
      <c r="A635" t="s">
        <v>695</v>
      </c>
      <c r="B635">
        <f>IF(ISNUMBER(SEARCH(Form!$C$11,Tabel2[[#This Row],[Coordinate Projection System]])),MAX($B$1:B634)+1,0)</f>
        <v>634</v>
      </c>
      <c r="C635" t="str">
        <f t="shared" si="9"/>
        <v>NZGD2000 / UTM zone 60S</v>
      </c>
    </row>
    <row r="636" spans="1:3" x14ac:dyDescent="0.3">
      <c r="A636" t="s">
        <v>696</v>
      </c>
      <c r="B636">
        <f>IF(ISNUMBER(SEARCH(Form!$C$11,Tabel2[[#This Row],[Coordinate Projection System]])),MAX($B$1:B635)+1,0)</f>
        <v>635</v>
      </c>
      <c r="C636" t="str">
        <f t="shared" si="9"/>
        <v>Accra / Ghana National Grid</v>
      </c>
    </row>
    <row r="637" spans="1:3" x14ac:dyDescent="0.3">
      <c r="A637" t="s">
        <v>697</v>
      </c>
      <c r="B637">
        <f>IF(ISNUMBER(SEARCH(Form!$C$11,Tabel2[[#This Row],[Coordinate Projection System]])),MAX($B$1:B636)+1,0)</f>
        <v>636</v>
      </c>
      <c r="C637" t="str">
        <f t="shared" si="9"/>
        <v>Accra / TM 1 NW</v>
      </c>
    </row>
    <row r="638" spans="1:3" x14ac:dyDescent="0.3">
      <c r="A638" t="s">
        <v>698</v>
      </c>
      <c r="B638">
        <f>IF(ISNUMBER(SEARCH(Form!$C$11,Tabel2[[#This Row],[Coordinate Projection System]])),MAX($B$1:B637)+1,0)</f>
        <v>637</v>
      </c>
      <c r="C638" t="str">
        <f t="shared" si="9"/>
        <v>NAD27(CGQ77) / Quebec Lambert</v>
      </c>
    </row>
    <row r="639" spans="1:3" x14ac:dyDescent="0.3">
      <c r="A639" t="s">
        <v>699</v>
      </c>
      <c r="B639">
        <f>IF(ISNUMBER(SEARCH(Form!$C$11,Tabel2[[#This Row],[Coordinate Projection System]])),MAX($B$1:B638)+1,0)</f>
        <v>638</v>
      </c>
      <c r="C639" t="str">
        <f t="shared" si="9"/>
        <v>NAD83(CSRS98) / SCoPQ zone 2 (deprecated)</v>
      </c>
    </row>
    <row r="640" spans="1:3" x14ac:dyDescent="0.3">
      <c r="A640" t="s">
        <v>700</v>
      </c>
      <c r="B640">
        <f>IF(ISNUMBER(SEARCH(Form!$C$11,Tabel2[[#This Row],[Coordinate Projection System]])),MAX($B$1:B639)+1,0)</f>
        <v>639</v>
      </c>
      <c r="C640" t="str">
        <f t="shared" si="9"/>
        <v>NAD83(CSRS98) / MTM zone 3 (deprecated)</v>
      </c>
    </row>
    <row r="641" spans="1:3" x14ac:dyDescent="0.3">
      <c r="A641" t="s">
        <v>701</v>
      </c>
      <c r="B641">
        <f>IF(ISNUMBER(SEARCH(Form!$C$11,Tabel2[[#This Row],[Coordinate Projection System]])),MAX($B$1:B640)+1,0)</f>
        <v>640</v>
      </c>
      <c r="C641" t="str">
        <f t="shared" si="9"/>
        <v>NAD83(CSRS98) / MTM zone 4 (deprecated)</v>
      </c>
    </row>
    <row r="642" spans="1:3" x14ac:dyDescent="0.3">
      <c r="A642" t="s">
        <v>702</v>
      </c>
      <c r="B642">
        <f>IF(ISNUMBER(SEARCH(Form!$C$11,Tabel2[[#This Row],[Coordinate Projection System]])),MAX($B$1:B641)+1,0)</f>
        <v>641</v>
      </c>
      <c r="C642" t="str">
        <f t="shared" si="9"/>
        <v>NAD83(CSRS98) / MTM zone 5 (deprecated)</v>
      </c>
    </row>
    <row r="643" spans="1:3" x14ac:dyDescent="0.3">
      <c r="A643" t="s">
        <v>703</v>
      </c>
      <c r="B643">
        <f>IF(ISNUMBER(SEARCH(Form!$C$11,Tabel2[[#This Row],[Coordinate Projection System]])),MAX($B$1:B642)+1,0)</f>
        <v>642</v>
      </c>
      <c r="C643" t="str">
        <f t="shared" ref="C643:C706" si="10">_xlfn.IFNA(INDEX(A643:A6154,MATCH(ROW(C642),B643:B6154,0)),"")</f>
        <v>NAD83(CSRS98) / MTM zone 6 (deprecated)</v>
      </c>
    </row>
    <row r="644" spans="1:3" x14ac:dyDescent="0.3">
      <c r="A644" t="s">
        <v>704</v>
      </c>
      <c r="B644">
        <f>IF(ISNUMBER(SEARCH(Form!$C$11,Tabel2[[#This Row],[Coordinate Projection System]])),MAX($B$1:B643)+1,0)</f>
        <v>643</v>
      </c>
      <c r="C644" t="str">
        <f t="shared" si="10"/>
        <v>NAD83(CSRS98) / MTM zone 7 (deprecated)</v>
      </c>
    </row>
    <row r="645" spans="1:3" x14ac:dyDescent="0.3">
      <c r="A645" t="s">
        <v>705</v>
      </c>
      <c r="B645">
        <f>IF(ISNUMBER(SEARCH(Form!$C$11,Tabel2[[#This Row],[Coordinate Projection System]])),MAX($B$1:B644)+1,0)</f>
        <v>644</v>
      </c>
      <c r="C645" t="str">
        <f t="shared" si="10"/>
        <v>NAD83(CSRS98) / MTM zone 8 (deprecated)</v>
      </c>
    </row>
    <row r="646" spans="1:3" x14ac:dyDescent="0.3">
      <c r="A646" t="s">
        <v>706</v>
      </c>
      <c r="B646">
        <f>IF(ISNUMBER(SEARCH(Form!$C$11,Tabel2[[#This Row],[Coordinate Projection System]])),MAX($B$1:B645)+1,0)</f>
        <v>645</v>
      </c>
      <c r="C646" t="str">
        <f t="shared" si="10"/>
        <v>NAD83(CSRS98) / MTM zone 9 (deprecated)</v>
      </c>
    </row>
    <row r="647" spans="1:3" x14ac:dyDescent="0.3">
      <c r="A647" t="s">
        <v>707</v>
      </c>
      <c r="B647">
        <f>IF(ISNUMBER(SEARCH(Form!$C$11,Tabel2[[#This Row],[Coordinate Projection System]])),MAX($B$1:B646)+1,0)</f>
        <v>646</v>
      </c>
      <c r="C647" t="str">
        <f t="shared" si="10"/>
        <v>NAD83(CSRS98) / MTM zone 10 (deprecated)</v>
      </c>
    </row>
    <row r="648" spans="1:3" x14ac:dyDescent="0.3">
      <c r="A648" t="s">
        <v>708</v>
      </c>
      <c r="B648">
        <f>IF(ISNUMBER(SEARCH(Form!$C$11,Tabel2[[#This Row],[Coordinate Projection System]])),MAX($B$1:B647)+1,0)</f>
        <v>647</v>
      </c>
      <c r="C648" t="str">
        <f t="shared" si="10"/>
        <v>NAD83(CSRS98) / UTM zone 21N (deprecated)</v>
      </c>
    </row>
    <row r="649" spans="1:3" x14ac:dyDescent="0.3">
      <c r="A649" t="s">
        <v>709</v>
      </c>
      <c r="B649">
        <f>IF(ISNUMBER(SEARCH(Form!$C$11,Tabel2[[#This Row],[Coordinate Projection System]])),MAX($B$1:B648)+1,0)</f>
        <v>648</v>
      </c>
      <c r="C649" t="str">
        <f t="shared" si="10"/>
        <v>NAD83(CSRS98) / UTM zone 18N (deprecated)</v>
      </c>
    </row>
    <row r="650" spans="1:3" x14ac:dyDescent="0.3">
      <c r="A650" t="s">
        <v>710</v>
      </c>
      <c r="B650">
        <f>IF(ISNUMBER(SEARCH(Form!$C$11,Tabel2[[#This Row],[Coordinate Projection System]])),MAX($B$1:B649)+1,0)</f>
        <v>649</v>
      </c>
      <c r="C650" t="str">
        <f t="shared" si="10"/>
        <v>NAD83(CSRS98) / UTM zone 17N (deprecated)</v>
      </c>
    </row>
    <row r="651" spans="1:3" x14ac:dyDescent="0.3">
      <c r="A651" t="s">
        <v>711</v>
      </c>
      <c r="B651">
        <f>IF(ISNUMBER(SEARCH(Form!$C$11,Tabel2[[#This Row],[Coordinate Projection System]])),MAX($B$1:B650)+1,0)</f>
        <v>650</v>
      </c>
      <c r="C651" t="str">
        <f t="shared" si="10"/>
        <v>NAD83(CSRS98) / UTM zone 13N (deprecated)</v>
      </c>
    </row>
    <row r="652" spans="1:3" x14ac:dyDescent="0.3">
      <c r="A652" t="s">
        <v>712</v>
      </c>
      <c r="B652">
        <f>IF(ISNUMBER(SEARCH(Form!$C$11,Tabel2[[#This Row],[Coordinate Projection System]])),MAX($B$1:B651)+1,0)</f>
        <v>651</v>
      </c>
      <c r="C652" t="str">
        <f t="shared" si="10"/>
        <v>NAD83(CSRS98) / UTM zone 12N (deprecated)</v>
      </c>
    </row>
    <row r="653" spans="1:3" x14ac:dyDescent="0.3">
      <c r="A653" t="s">
        <v>713</v>
      </c>
      <c r="B653">
        <f>IF(ISNUMBER(SEARCH(Form!$C$11,Tabel2[[#This Row],[Coordinate Projection System]])),MAX($B$1:B652)+1,0)</f>
        <v>652</v>
      </c>
      <c r="C653" t="str">
        <f t="shared" si="10"/>
        <v>NAD83(CSRS98) / UTM zone 11N (deprecated)</v>
      </c>
    </row>
    <row r="654" spans="1:3" x14ac:dyDescent="0.3">
      <c r="A654" t="s">
        <v>714</v>
      </c>
      <c r="B654">
        <f>IF(ISNUMBER(SEARCH(Form!$C$11,Tabel2[[#This Row],[Coordinate Projection System]])),MAX($B$1:B653)+1,0)</f>
        <v>653</v>
      </c>
      <c r="C654" t="str">
        <f t="shared" si="10"/>
        <v>RGF93 / Lambert-93</v>
      </c>
    </row>
    <row r="655" spans="1:3" x14ac:dyDescent="0.3">
      <c r="A655" t="s">
        <v>715</v>
      </c>
      <c r="B655">
        <f>IF(ISNUMBER(SEARCH(Form!$C$11,Tabel2[[#This Row],[Coordinate Projection System]])),MAX($B$1:B654)+1,0)</f>
        <v>654</v>
      </c>
      <c r="C655" t="str">
        <f t="shared" si="10"/>
        <v>American Samoa 1962 / American Samoa Lambert (deprecated)</v>
      </c>
    </row>
    <row r="656" spans="1:3" x14ac:dyDescent="0.3">
      <c r="A656" t="s">
        <v>716</v>
      </c>
      <c r="B656">
        <f>IF(ISNUMBER(SEARCH(Form!$C$11,Tabel2[[#This Row],[Coordinate Projection System]])),MAX($B$1:B655)+1,0)</f>
        <v>655</v>
      </c>
      <c r="C656" t="str">
        <f t="shared" si="10"/>
        <v>NAD83(HARN) / UTM zone 59S (deprecated)</v>
      </c>
    </row>
    <row r="657" spans="1:3" x14ac:dyDescent="0.3">
      <c r="A657" t="s">
        <v>717</v>
      </c>
      <c r="B657">
        <f>IF(ISNUMBER(SEARCH(Form!$C$11,Tabel2[[#This Row],[Coordinate Projection System]])),MAX($B$1:B656)+1,0)</f>
        <v>656</v>
      </c>
      <c r="C657" t="str">
        <f t="shared" si="10"/>
        <v>IRENET95 / Irish Transverse Mercator</v>
      </c>
    </row>
    <row r="658" spans="1:3" x14ac:dyDescent="0.3">
      <c r="A658" t="s">
        <v>718</v>
      </c>
      <c r="B658">
        <f>IF(ISNUMBER(SEARCH(Form!$C$11,Tabel2[[#This Row],[Coordinate Projection System]])),MAX($B$1:B657)+1,0)</f>
        <v>657</v>
      </c>
      <c r="C658" t="str">
        <f t="shared" si="10"/>
        <v>IRENET95 / UTM zone 29N</v>
      </c>
    </row>
    <row r="659" spans="1:3" x14ac:dyDescent="0.3">
      <c r="A659" t="s">
        <v>719</v>
      </c>
      <c r="B659">
        <f>IF(ISNUMBER(SEARCH(Form!$C$11,Tabel2[[#This Row],[Coordinate Projection System]])),MAX($B$1:B658)+1,0)</f>
        <v>658</v>
      </c>
      <c r="C659" t="str">
        <f t="shared" si="10"/>
        <v>Sierra Leone 1924 / New Colony Grid</v>
      </c>
    </row>
    <row r="660" spans="1:3" x14ac:dyDescent="0.3">
      <c r="A660" t="s">
        <v>720</v>
      </c>
      <c r="B660">
        <f>IF(ISNUMBER(SEARCH(Form!$C$11,Tabel2[[#This Row],[Coordinate Projection System]])),MAX($B$1:B659)+1,0)</f>
        <v>659</v>
      </c>
      <c r="C660" t="str">
        <f t="shared" si="10"/>
        <v>Sierra Leone 1924 / New War Office Grid</v>
      </c>
    </row>
    <row r="661" spans="1:3" x14ac:dyDescent="0.3">
      <c r="A661" t="s">
        <v>721</v>
      </c>
      <c r="B661">
        <f>IF(ISNUMBER(SEARCH(Form!$C$11,Tabel2[[#This Row],[Coordinate Projection System]])),MAX($B$1:B660)+1,0)</f>
        <v>660</v>
      </c>
      <c r="C661" t="str">
        <f t="shared" si="10"/>
        <v>Sierra Leone 1968 / UTM zone 28N</v>
      </c>
    </row>
    <row r="662" spans="1:3" x14ac:dyDescent="0.3">
      <c r="A662" t="s">
        <v>722</v>
      </c>
      <c r="B662">
        <f>IF(ISNUMBER(SEARCH(Form!$C$11,Tabel2[[#This Row],[Coordinate Projection System]])),MAX($B$1:B661)+1,0)</f>
        <v>661</v>
      </c>
      <c r="C662" t="str">
        <f t="shared" si="10"/>
        <v>Sierra Leone 1968 / UTM zone 29N</v>
      </c>
    </row>
    <row r="663" spans="1:3" x14ac:dyDescent="0.3">
      <c r="A663" t="s">
        <v>723</v>
      </c>
      <c r="B663">
        <f>IF(ISNUMBER(SEARCH(Form!$C$11,Tabel2[[#This Row],[Coordinate Projection System]])),MAX($B$1:B662)+1,0)</f>
        <v>662</v>
      </c>
      <c r="C663" t="str">
        <f t="shared" si="10"/>
        <v>US National Atlas Equal Area</v>
      </c>
    </row>
    <row r="664" spans="1:3" x14ac:dyDescent="0.3">
      <c r="A664" t="s">
        <v>724</v>
      </c>
      <c r="B664">
        <f>IF(ISNUMBER(SEARCH(Form!$C$11,Tabel2[[#This Row],[Coordinate Projection System]])),MAX($B$1:B663)+1,0)</f>
        <v>663</v>
      </c>
      <c r="C664" t="str">
        <f t="shared" si="10"/>
        <v>Locodjo 1965 / TM 5 NW</v>
      </c>
    </row>
    <row r="665" spans="1:3" x14ac:dyDescent="0.3">
      <c r="A665" t="s">
        <v>725</v>
      </c>
      <c r="B665">
        <f>IF(ISNUMBER(SEARCH(Form!$C$11,Tabel2[[#This Row],[Coordinate Projection System]])),MAX($B$1:B664)+1,0)</f>
        <v>664</v>
      </c>
      <c r="C665" t="str">
        <f t="shared" si="10"/>
        <v>Abidjan 1987 / TM 5 NW</v>
      </c>
    </row>
    <row r="666" spans="1:3" x14ac:dyDescent="0.3">
      <c r="A666" t="s">
        <v>726</v>
      </c>
      <c r="B666">
        <f>IF(ISNUMBER(SEARCH(Form!$C$11,Tabel2[[#This Row],[Coordinate Projection System]])),MAX($B$1:B665)+1,0)</f>
        <v>665</v>
      </c>
      <c r="C666" t="str">
        <f t="shared" si="10"/>
        <v>Pulkovo 1942(83) / Gauss Kruger zone 3 (deprecated)</v>
      </c>
    </row>
    <row r="667" spans="1:3" x14ac:dyDescent="0.3">
      <c r="A667" t="s">
        <v>727</v>
      </c>
      <c r="B667">
        <f>IF(ISNUMBER(SEARCH(Form!$C$11,Tabel2[[#This Row],[Coordinate Projection System]])),MAX($B$1:B666)+1,0)</f>
        <v>666</v>
      </c>
      <c r="C667" t="str">
        <f t="shared" si="10"/>
        <v>Pulkovo 1942(83) / Gauss Kruger zone 4 (deprecated)</v>
      </c>
    </row>
    <row r="668" spans="1:3" x14ac:dyDescent="0.3">
      <c r="A668" t="s">
        <v>728</v>
      </c>
      <c r="B668">
        <f>IF(ISNUMBER(SEARCH(Form!$C$11,Tabel2[[#This Row],[Coordinate Projection System]])),MAX($B$1:B667)+1,0)</f>
        <v>667</v>
      </c>
      <c r="C668" t="str">
        <f t="shared" si="10"/>
        <v>Pulkovo 1942(83) / Gauss Kruger zone 5 (deprecated)</v>
      </c>
    </row>
    <row r="669" spans="1:3" x14ac:dyDescent="0.3">
      <c r="A669" t="s">
        <v>729</v>
      </c>
      <c r="B669">
        <f>IF(ISNUMBER(SEARCH(Form!$C$11,Tabel2[[#This Row],[Coordinate Projection System]])),MAX($B$1:B668)+1,0)</f>
        <v>668</v>
      </c>
      <c r="C669" t="str">
        <f t="shared" si="10"/>
        <v>Luxembourg 1930 / Gauss</v>
      </c>
    </row>
    <row r="670" spans="1:3" x14ac:dyDescent="0.3">
      <c r="A670" t="s">
        <v>730</v>
      </c>
      <c r="B670">
        <f>IF(ISNUMBER(SEARCH(Form!$C$11,Tabel2[[#This Row],[Coordinate Projection System]])),MAX($B$1:B669)+1,0)</f>
        <v>669</v>
      </c>
      <c r="C670" t="str">
        <f t="shared" si="10"/>
        <v>MGI / Slovenia Grid (deprecated)</v>
      </c>
    </row>
    <row r="671" spans="1:3" x14ac:dyDescent="0.3">
      <c r="A671" t="s">
        <v>731</v>
      </c>
      <c r="B671">
        <f>IF(ISNUMBER(SEARCH(Form!$C$11,Tabel2[[#This Row],[Coordinate Projection System]])),MAX($B$1:B670)+1,0)</f>
        <v>670</v>
      </c>
      <c r="C671" t="str">
        <f t="shared" si="10"/>
        <v>Pulkovo 1942(58) / Poland zone I (deprecated)</v>
      </c>
    </row>
    <row r="672" spans="1:3" x14ac:dyDescent="0.3">
      <c r="A672" t="s">
        <v>732</v>
      </c>
      <c r="B672">
        <f>IF(ISNUMBER(SEARCH(Form!$C$11,Tabel2[[#This Row],[Coordinate Projection System]])),MAX($B$1:B671)+1,0)</f>
        <v>671</v>
      </c>
      <c r="C672" t="str">
        <f t="shared" si="10"/>
        <v>Pulkovo 1942(58) / Poland zone II</v>
      </c>
    </row>
    <row r="673" spans="1:3" x14ac:dyDescent="0.3">
      <c r="A673" t="s">
        <v>733</v>
      </c>
      <c r="B673">
        <f>IF(ISNUMBER(SEARCH(Form!$C$11,Tabel2[[#This Row],[Coordinate Projection System]])),MAX($B$1:B672)+1,0)</f>
        <v>672</v>
      </c>
      <c r="C673" t="str">
        <f t="shared" si="10"/>
        <v>Pulkovo 1942(58) / Poland zone III</v>
      </c>
    </row>
    <row r="674" spans="1:3" x14ac:dyDescent="0.3">
      <c r="A674" t="s">
        <v>734</v>
      </c>
      <c r="B674">
        <f>IF(ISNUMBER(SEARCH(Form!$C$11,Tabel2[[#This Row],[Coordinate Projection System]])),MAX($B$1:B673)+1,0)</f>
        <v>673</v>
      </c>
      <c r="C674" t="str">
        <f t="shared" si="10"/>
        <v>Pulkovo 1942(58) / Poland zone IV</v>
      </c>
    </row>
    <row r="675" spans="1:3" x14ac:dyDescent="0.3">
      <c r="A675" t="s">
        <v>735</v>
      </c>
      <c r="B675">
        <f>IF(ISNUMBER(SEARCH(Form!$C$11,Tabel2[[#This Row],[Coordinate Projection System]])),MAX($B$1:B674)+1,0)</f>
        <v>674</v>
      </c>
      <c r="C675" t="str">
        <f t="shared" si="10"/>
        <v>Pulkovo 1942(58) / Poland zone V</v>
      </c>
    </row>
    <row r="676" spans="1:3" x14ac:dyDescent="0.3">
      <c r="A676" t="s">
        <v>736</v>
      </c>
      <c r="B676">
        <f>IF(ISNUMBER(SEARCH(Form!$C$11,Tabel2[[#This Row],[Coordinate Projection System]])),MAX($B$1:B675)+1,0)</f>
        <v>675</v>
      </c>
      <c r="C676" t="str">
        <f t="shared" si="10"/>
        <v>ETRS89 / Poland CS2000 zone 5</v>
      </c>
    </row>
    <row r="677" spans="1:3" x14ac:dyDescent="0.3">
      <c r="A677" t="s">
        <v>737</v>
      </c>
      <c r="B677">
        <f>IF(ISNUMBER(SEARCH(Form!$C$11,Tabel2[[#This Row],[Coordinate Projection System]])),MAX($B$1:B676)+1,0)</f>
        <v>676</v>
      </c>
      <c r="C677" t="str">
        <f t="shared" si="10"/>
        <v>ETRS89 / Poland CS2000 zone 6</v>
      </c>
    </row>
    <row r="678" spans="1:3" x14ac:dyDescent="0.3">
      <c r="A678" t="s">
        <v>738</v>
      </c>
      <c r="B678">
        <f>IF(ISNUMBER(SEARCH(Form!$C$11,Tabel2[[#This Row],[Coordinate Projection System]])),MAX($B$1:B677)+1,0)</f>
        <v>677</v>
      </c>
      <c r="C678" t="str">
        <f t="shared" si="10"/>
        <v>ETRS89 / Poland CS2000 zone 7</v>
      </c>
    </row>
    <row r="679" spans="1:3" x14ac:dyDescent="0.3">
      <c r="A679" t="s">
        <v>739</v>
      </c>
      <c r="B679">
        <f>IF(ISNUMBER(SEARCH(Form!$C$11,Tabel2[[#This Row],[Coordinate Projection System]])),MAX($B$1:B678)+1,0)</f>
        <v>678</v>
      </c>
      <c r="C679" t="str">
        <f t="shared" si="10"/>
        <v>ETRS89 / Poland CS2000 zone 8</v>
      </c>
    </row>
    <row r="680" spans="1:3" x14ac:dyDescent="0.3">
      <c r="A680" t="s">
        <v>740</v>
      </c>
      <c r="B680">
        <f>IF(ISNUMBER(SEARCH(Form!$C$11,Tabel2[[#This Row],[Coordinate Projection System]])),MAX($B$1:B679)+1,0)</f>
        <v>679</v>
      </c>
      <c r="C680" t="str">
        <f t="shared" si="10"/>
        <v>ETRS89 / Poland CS92</v>
      </c>
    </row>
    <row r="681" spans="1:3" x14ac:dyDescent="0.3">
      <c r="A681" t="s">
        <v>741</v>
      </c>
      <c r="B681">
        <f>IF(ISNUMBER(SEARCH(Form!$C$11,Tabel2[[#This Row],[Coordinate Projection System]])),MAX($B$1:B680)+1,0)</f>
        <v>680</v>
      </c>
      <c r="C681" t="str">
        <f t="shared" si="10"/>
        <v>Azores Occidental 1939 / UTM zone 25N</v>
      </c>
    </row>
    <row r="682" spans="1:3" x14ac:dyDescent="0.3">
      <c r="A682" t="s">
        <v>742</v>
      </c>
      <c r="B682">
        <f>IF(ISNUMBER(SEARCH(Form!$C$11,Tabel2[[#This Row],[Coordinate Projection System]])),MAX($B$1:B681)+1,0)</f>
        <v>681</v>
      </c>
      <c r="C682" t="str">
        <f t="shared" si="10"/>
        <v>Azores Central 1948 / UTM zone 26N</v>
      </c>
    </row>
    <row r="683" spans="1:3" x14ac:dyDescent="0.3">
      <c r="A683" t="s">
        <v>743</v>
      </c>
      <c r="B683">
        <f>IF(ISNUMBER(SEARCH(Form!$C$11,Tabel2[[#This Row],[Coordinate Projection System]])),MAX($B$1:B682)+1,0)</f>
        <v>682</v>
      </c>
      <c r="C683" t="str">
        <f t="shared" si="10"/>
        <v>Azores Oriental 1940 / UTM zone 26N</v>
      </c>
    </row>
    <row r="684" spans="1:3" x14ac:dyDescent="0.3">
      <c r="A684" t="s">
        <v>744</v>
      </c>
      <c r="B684">
        <f>IF(ISNUMBER(SEARCH(Form!$C$11,Tabel2[[#This Row],[Coordinate Projection System]])),MAX($B$1:B683)+1,0)</f>
        <v>683</v>
      </c>
      <c r="C684" t="str">
        <f t="shared" si="10"/>
        <v>Madeira 1936 / UTM zone 28N (deprecated)</v>
      </c>
    </row>
    <row r="685" spans="1:3" x14ac:dyDescent="0.3">
      <c r="A685" t="s">
        <v>745</v>
      </c>
      <c r="B685">
        <f>IF(ISNUMBER(SEARCH(Form!$C$11,Tabel2[[#This Row],[Coordinate Projection System]])),MAX($B$1:B684)+1,0)</f>
        <v>684</v>
      </c>
      <c r="C685" t="str">
        <f t="shared" si="10"/>
        <v>ED50 / France EuroLambert (deprecated)</v>
      </c>
    </row>
    <row r="686" spans="1:3" x14ac:dyDescent="0.3">
      <c r="A686" t="s">
        <v>746</v>
      </c>
      <c r="B686">
        <f>IF(ISNUMBER(SEARCH(Form!$C$11,Tabel2[[#This Row],[Coordinate Projection System]])),MAX($B$1:B685)+1,0)</f>
        <v>685</v>
      </c>
      <c r="C686" t="str">
        <f t="shared" si="10"/>
        <v>NZGD2000 / New Zealand Transverse Mercator 2000</v>
      </c>
    </row>
    <row r="687" spans="1:3" x14ac:dyDescent="0.3">
      <c r="A687" t="s">
        <v>715</v>
      </c>
      <c r="B687">
        <f>IF(ISNUMBER(SEARCH(Form!$C$11,Tabel2[[#This Row],[Coordinate Projection System]])),MAX($B$1:B686)+1,0)</f>
        <v>686</v>
      </c>
      <c r="C687" t="str">
        <f t="shared" si="10"/>
        <v>American Samoa 1962 / American Samoa Lambert (deprecated)</v>
      </c>
    </row>
    <row r="688" spans="1:3" x14ac:dyDescent="0.3">
      <c r="A688" t="s">
        <v>747</v>
      </c>
      <c r="B688">
        <f>IF(ISNUMBER(SEARCH(Form!$C$11,Tabel2[[#This Row],[Coordinate Projection System]])),MAX($B$1:B687)+1,0)</f>
        <v>687</v>
      </c>
      <c r="C688" t="str">
        <f t="shared" si="10"/>
        <v>NAD83(HARN) / UTM zone 2S</v>
      </c>
    </row>
    <row r="689" spans="1:3" x14ac:dyDescent="0.3">
      <c r="A689" t="s">
        <v>748</v>
      </c>
      <c r="B689">
        <f>IF(ISNUMBER(SEARCH(Form!$C$11,Tabel2[[#This Row],[Coordinate Projection System]])),MAX($B$1:B688)+1,0)</f>
        <v>688</v>
      </c>
      <c r="C689" t="str">
        <f t="shared" si="10"/>
        <v>ETRS89 / Kp2000 Jutland</v>
      </c>
    </row>
    <row r="690" spans="1:3" x14ac:dyDescent="0.3">
      <c r="A690" t="s">
        <v>749</v>
      </c>
      <c r="B690">
        <f>IF(ISNUMBER(SEARCH(Form!$C$11,Tabel2[[#This Row],[Coordinate Projection System]])),MAX($B$1:B689)+1,0)</f>
        <v>689</v>
      </c>
      <c r="C690" t="str">
        <f t="shared" si="10"/>
        <v>ETRS89 / Kp2000 Zealand</v>
      </c>
    </row>
    <row r="691" spans="1:3" x14ac:dyDescent="0.3">
      <c r="A691" t="s">
        <v>750</v>
      </c>
      <c r="B691">
        <f>IF(ISNUMBER(SEARCH(Form!$C$11,Tabel2[[#This Row],[Coordinate Projection System]])),MAX($B$1:B690)+1,0)</f>
        <v>690</v>
      </c>
      <c r="C691" t="str">
        <f t="shared" si="10"/>
        <v>ETRS89 / Kp2000 Bornholm</v>
      </c>
    </row>
    <row r="692" spans="1:3" x14ac:dyDescent="0.3">
      <c r="A692" t="s">
        <v>751</v>
      </c>
      <c r="B692">
        <f>IF(ISNUMBER(SEARCH(Form!$C$11,Tabel2[[#This Row],[Coordinate Projection System]])),MAX($B$1:B691)+1,0)</f>
        <v>691</v>
      </c>
      <c r="C692" t="str">
        <f t="shared" si="10"/>
        <v>Albanian 1987 / Gauss Kruger zone 4 (deprecated)</v>
      </c>
    </row>
    <row r="693" spans="1:3" x14ac:dyDescent="0.3">
      <c r="A693" t="s">
        <v>752</v>
      </c>
      <c r="B693">
        <f>IF(ISNUMBER(SEARCH(Form!$C$11,Tabel2[[#This Row],[Coordinate Projection System]])),MAX($B$1:B692)+1,0)</f>
        <v>692</v>
      </c>
      <c r="C693" t="str">
        <f t="shared" si="10"/>
        <v>ATS77 / New Brunswick Stereographic (ATS77)</v>
      </c>
    </row>
    <row r="694" spans="1:3" x14ac:dyDescent="0.3">
      <c r="A694" t="s">
        <v>753</v>
      </c>
      <c r="B694">
        <f>IF(ISNUMBER(SEARCH(Form!$C$11,Tabel2[[#This Row],[Coordinate Projection System]])),MAX($B$1:B693)+1,0)</f>
        <v>693</v>
      </c>
      <c r="C694" t="str">
        <f t="shared" si="10"/>
        <v>REGVEN / UTM zone 18N</v>
      </c>
    </row>
    <row r="695" spans="1:3" x14ac:dyDescent="0.3">
      <c r="A695" t="s">
        <v>754</v>
      </c>
      <c r="B695">
        <f>IF(ISNUMBER(SEARCH(Form!$C$11,Tabel2[[#This Row],[Coordinate Projection System]])),MAX($B$1:B694)+1,0)</f>
        <v>694</v>
      </c>
      <c r="C695" t="str">
        <f t="shared" si="10"/>
        <v>REGVEN / UTM zone 19N</v>
      </c>
    </row>
    <row r="696" spans="1:3" x14ac:dyDescent="0.3">
      <c r="A696" t="s">
        <v>755</v>
      </c>
      <c r="B696">
        <f>IF(ISNUMBER(SEARCH(Form!$C$11,Tabel2[[#This Row],[Coordinate Projection System]])),MAX($B$1:B695)+1,0)</f>
        <v>695</v>
      </c>
      <c r="C696" t="str">
        <f t="shared" si="10"/>
        <v>REGVEN / UTM zone 20N</v>
      </c>
    </row>
    <row r="697" spans="1:3" x14ac:dyDescent="0.3">
      <c r="A697" t="s">
        <v>756</v>
      </c>
      <c r="B697">
        <f>IF(ISNUMBER(SEARCH(Form!$C$11,Tabel2[[#This Row],[Coordinate Projection System]])),MAX($B$1:B696)+1,0)</f>
        <v>696</v>
      </c>
      <c r="C697" t="str">
        <f t="shared" si="10"/>
        <v>NAD27 / Tennessee</v>
      </c>
    </row>
    <row r="698" spans="1:3" x14ac:dyDescent="0.3">
      <c r="A698" t="s">
        <v>757</v>
      </c>
      <c r="B698">
        <f>IF(ISNUMBER(SEARCH(Form!$C$11,Tabel2[[#This Row],[Coordinate Projection System]])),MAX($B$1:B697)+1,0)</f>
        <v>697</v>
      </c>
      <c r="C698" t="str">
        <f t="shared" si="10"/>
        <v>NAD83 / Kentucky North</v>
      </c>
    </row>
    <row r="699" spans="1:3" x14ac:dyDescent="0.3">
      <c r="A699" t="s">
        <v>758</v>
      </c>
      <c r="B699">
        <f>IF(ISNUMBER(SEARCH(Form!$C$11,Tabel2[[#This Row],[Coordinate Projection System]])),MAX($B$1:B698)+1,0)</f>
        <v>698</v>
      </c>
      <c r="C699" t="str">
        <f t="shared" si="10"/>
        <v>ED50 / 3-degree Gauss-Kruger zone 9</v>
      </c>
    </row>
    <row r="700" spans="1:3" x14ac:dyDescent="0.3">
      <c r="A700" t="s">
        <v>759</v>
      </c>
      <c r="B700">
        <f>IF(ISNUMBER(SEARCH(Form!$C$11,Tabel2[[#This Row],[Coordinate Projection System]])),MAX($B$1:B699)+1,0)</f>
        <v>699</v>
      </c>
      <c r="C700" t="str">
        <f t="shared" si="10"/>
        <v>ED50 / 3-degree Gauss-Kruger zone 10</v>
      </c>
    </row>
    <row r="701" spans="1:3" x14ac:dyDescent="0.3">
      <c r="A701" t="s">
        <v>760</v>
      </c>
      <c r="B701">
        <f>IF(ISNUMBER(SEARCH(Form!$C$11,Tabel2[[#This Row],[Coordinate Projection System]])),MAX($B$1:B700)+1,0)</f>
        <v>700</v>
      </c>
      <c r="C701" t="str">
        <f t="shared" si="10"/>
        <v>ED50 / 3-degree Gauss-Kruger zone 11</v>
      </c>
    </row>
    <row r="702" spans="1:3" x14ac:dyDescent="0.3">
      <c r="A702" t="s">
        <v>761</v>
      </c>
      <c r="B702">
        <f>IF(ISNUMBER(SEARCH(Form!$C$11,Tabel2[[#This Row],[Coordinate Projection System]])),MAX($B$1:B701)+1,0)</f>
        <v>701</v>
      </c>
      <c r="C702" t="str">
        <f t="shared" si="10"/>
        <v>ED50 / 3-degree Gauss-Kruger zone 12</v>
      </c>
    </row>
    <row r="703" spans="1:3" x14ac:dyDescent="0.3">
      <c r="A703" t="s">
        <v>762</v>
      </c>
      <c r="B703">
        <f>IF(ISNUMBER(SEARCH(Form!$C$11,Tabel2[[#This Row],[Coordinate Projection System]])),MAX($B$1:B702)+1,0)</f>
        <v>702</v>
      </c>
      <c r="C703" t="str">
        <f t="shared" si="10"/>
        <v>ED50 / 3-degree Gauss-Kruger zone 13</v>
      </c>
    </row>
    <row r="704" spans="1:3" x14ac:dyDescent="0.3">
      <c r="A704" t="s">
        <v>763</v>
      </c>
      <c r="B704">
        <f>IF(ISNUMBER(SEARCH(Form!$C$11,Tabel2[[#This Row],[Coordinate Projection System]])),MAX($B$1:B703)+1,0)</f>
        <v>703</v>
      </c>
      <c r="C704" t="str">
        <f t="shared" si="10"/>
        <v>ED50 / 3-degree Gauss-Kruger zone 14</v>
      </c>
    </row>
    <row r="705" spans="1:3" x14ac:dyDescent="0.3">
      <c r="A705" t="s">
        <v>764</v>
      </c>
      <c r="B705">
        <f>IF(ISNUMBER(SEARCH(Form!$C$11,Tabel2[[#This Row],[Coordinate Projection System]])),MAX($B$1:B704)+1,0)</f>
        <v>704</v>
      </c>
      <c r="C705" t="str">
        <f t="shared" si="10"/>
        <v>ED50 / 3-degree Gauss-Kruger zone 15</v>
      </c>
    </row>
    <row r="706" spans="1:3" x14ac:dyDescent="0.3">
      <c r="A706" t="s">
        <v>765</v>
      </c>
      <c r="B706">
        <f>IF(ISNUMBER(SEARCH(Form!$C$11,Tabel2[[#This Row],[Coordinate Projection System]])),MAX($B$1:B705)+1,0)</f>
        <v>705</v>
      </c>
      <c r="C706" t="str">
        <f t="shared" si="10"/>
        <v>ETRS89 / TM 30 NE</v>
      </c>
    </row>
    <row r="707" spans="1:3" x14ac:dyDescent="0.3">
      <c r="A707" t="s">
        <v>766</v>
      </c>
      <c r="B707">
        <f>IF(ISNUMBER(SEARCH(Form!$C$11,Tabel2[[#This Row],[Coordinate Projection System]])),MAX($B$1:B706)+1,0)</f>
        <v>706</v>
      </c>
      <c r="C707" t="str">
        <f t="shared" ref="C707:C770" si="11">_xlfn.IFNA(INDEX(A707:A6218,MATCH(ROW(C706),B707:B6218,0)),"")</f>
        <v>Douala 1948 / AOF west (deprecated)</v>
      </c>
    </row>
    <row r="708" spans="1:3" x14ac:dyDescent="0.3">
      <c r="A708" t="s">
        <v>767</v>
      </c>
      <c r="B708">
        <f>IF(ISNUMBER(SEARCH(Form!$C$11,Tabel2[[#This Row],[Coordinate Projection System]])),MAX($B$1:B707)+1,0)</f>
        <v>707</v>
      </c>
      <c r="C708" t="str">
        <f t="shared" si="11"/>
        <v>Manoca 1962 / UTM zone 32N</v>
      </c>
    </row>
    <row r="709" spans="1:3" x14ac:dyDescent="0.3">
      <c r="A709" t="s">
        <v>768</v>
      </c>
      <c r="B709">
        <f>IF(ISNUMBER(SEARCH(Form!$C$11,Tabel2[[#This Row],[Coordinate Projection System]])),MAX($B$1:B708)+1,0)</f>
        <v>708</v>
      </c>
      <c r="C709" t="str">
        <f t="shared" si="11"/>
        <v>Qornoq 1927 / UTM zone 22N</v>
      </c>
    </row>
    <row r="710" spans="1:3" x14ac:dyDescent="0.3">
      <c r="A710" t="s">
        <v>769</v>
      </c>
      <c r="B710">
        <f>IF(ISNUMBER(SEARCH(Form!$C$11,Tabel2[[#This Row],[Coordinate Projection System]])),MAX($B$1:B709)+1,0)</f>
        <v>709</v>
      </c>
      <c r="C710" t="str">
        <f t="shared" si="11"/>
        <v>Qornoq 1927 / UTM zone 23N</v>
      </c>
    </row>
    <row r="711" spans="1:3" x14ac:dyDescent="0.3">
      <c r="A711" t="s">
        <v>770</v>
      </c>
      <c r="B711">
        <f>IF(ISNUMBER(SEARCH(Form!$C$11,Tabel2[[#This Row],[Coordinate Projection System]])),MAX($B$1:B710)+1,0)</f>
        <v>710</v>
      </c>
      <c r="C711" t="str">
        <f t="shared" si="11"/>
        <v>Scoresbysund 1952 / Greenland zone 5 eastUnable to translate coordinate system EPSG:2218 into PROJ.4 format.</v>
      </c>
    </row>
    <row r="712" spans="1:3" x14ac:dyDescent="0.3">
      <c r="A712" t="s">
        <v>771</v>
      </c>
      <c r="B712">
        <f>IF(ISNUMBER(SEARCH(Form!$C$11,Tabel2[[#This Row],[Coordinate Projection System]])),MAX($B$1:B711)+1,0)</f>
        <v>711</v>
      </c>
      <c r="C712" t="str">
        <f t="shared" si="11"/>
        <v>ATS77 / UTM zone 19N</v>
      </c>
    </row>
    <row r="713" spans="1:3" x14ac:dyDescent="0.3">
      <c r="A713" t="s">
        <v>772</v>
      </c>
      <c r="B713">
        <f>IF(ISNUMBER(SEARCH(Form!$C$11,Tabel2[[#This Row],[Coordinate Projection System]])),MAX($B$1:B712)+1,0)</f>
        <v>712</v>
      </c>
      <c r="C713" t="str">
        <f t="shared" si="11"/>
        <v>ATS77 / UTM zone 20N</v>
      </c>
    </row>
    <row r="714" spans="1:3" x14ac:dyDescent="0.3">
      <c r="A714" t="s">
        <v>773</v>
      </c>
      <c r="B714">
        <f>IF(ISNUMBER(SEARCH(Form!$C$11,Tabel2[[#This Row],[Coordinate Projection System]])),MAX($B$1:B713)+1,0)</f>
        <v>713</v>
      </c>
      <c r="C714" t="str">
        <f t="shared" si="11"/>
        <v>Scoresbysund 1952 / Greenland zone 6 eastUnable to translate coordinate system EPSG:2221 into PROJ.4 format.</v>
      </c>
    </row>
    <row r="715" spans="1:3" x14ac:dyDescent="0.3">
      <c r="A715" t="s">
        <v>774</v>
      </c>
      <c r="B715">
        <f>IF(ISNUMBER(SEARCH(Form!$C$11,Tabel2[[#This Row],[Coordinate Projection System]])),MAX($B$1:B714)+1,0)</f>
        <v>714</v>
      </c>
      <c r="C715" t="str">
        <f t="shared" si="11"/>
        <v>NAD83 / Arizona East (ft)</v>
      </c>
    </row>
    <row r="716" spans="1:3" x14ac:dyDescent="0.3">
      <c r="A716" t="s">
        <v>775</v>
      </c>
      <c r="B716">
        <f>IF(ISNUMBER(SEARCH(Form!$C$11,Tabel2[[#This Row],[Coordinate Projection System]])),MAX($B$1:B715)+1,0)</f>
        <v>715</v>
      </c>
      <c r="C716" t="str">
        <f t="shared" si="11"/>
        <v>NAD83 / Arizona Central (ft)</v>
      </c>
    </row>
    <row r="717" spans="1:3" x14ac:dyDescent="0.3">
      <c r="A717" t="s">
        <v>776</v>
      </c>
      <c r="B717">
        <f>IF(ISNUMBER(SEARCH(Form!$C$11,Tabel2[[#This Row],[Coordinate Projection System]])),MAX($B$1:B716)+1,0)</f>
        <v>716</v>
      </c>
      <c r="C717" t="str">
        <f t="shared" si="11"/>
        <v>NAD83 / Arizona West (ft)</v>
      </c>
    </row>
    <row r="718" spans="1:3" x14ac:dyDescent="0.3">
      <c r="A718" t="s">
        <v>777</v>
      </c>
      <c r="B718">
        <f>IF(ISNUMBER(SEARCH(Form!$C$11,Tabel2[[#This Row],[Coordinate Projection System]])),MAX($B$1:B717)+1,0)</f>
        <v>717</v>
      </c>
      <c r="C718" t="str">
        <f t="shared" si="11"/>
        <v>NAD83 / California zone 1 (ftUS)</v>
      </c>
    </row>
    <row r="719" spans="1:3" x14ac:dyDescent="0.3">
      <c r="A719" t="s">
        <v>778</v>
      </c>
      <c r="B719">
        <f>IF(ISNUMBER(SEARCH(Form!$C$11,Tabel2[[#This Row],[Coordinate Projection System]])),MAX($B$1:B718)+1,0)</f>
        <v>718</v>
      </c>
      <c r="C719" t="str">
        <f t="shared" si="11"/>
        <v>NAD83 / California zone 2 (ftUS)</v>
      </c>
    </row>
    <row r="720" spans="1:3" x14ac:dyDescent="0.3">
      <c r="A720" t="s">
        <v>779</v>
      </c>
      <c r="B720">
        <f>IF(ISNUMBER(SEARCH(Form!$C$11,Tabel2[[#This Row],[Coordinate Projection System]])),MAX($B$1:B719)+1,0)</f>
        <v>719</v>
      </c>
      <c r="C720" t="str">
        <f t="shared" si="11"/>
        <v>NAD83 / California zone 3 (ftUS)</v>
      </c>
    </row>
    <row r="721" spans="1:3" x14ac:dyDescent="0.3">
      <c r="A721" t="s">
        <v>780</v>
      </c>
      <c r="B721">
        <f>IF(ISNUMBER(SEARCH(Form!$C$11,Tabel2[[#This Row],[Coordinate Projection System]])),MAX($B$1:B720)+1,0)</f>
        <v>720</v>
      </c>
      <c r="C721" t="str">
        <f t="shared" si="11"/>
        <v>NAD83 / California zone 4 (ftUS)</v>
      </c>
    </row>
    <row r="722" spans="1:3" x14ac:dyDescent="0.3">
      <c r="A722" t="s">
        <v>781</v>
      </c>
      <c r="B722">
        <f>IF(ISNUMBER(SEARCH(Form!$C$11,Tabel2[[#This Row],[Coordinate Projection System]])),MAX($B$1:B721)+1,0)</f>
        <v>721</v>
      </c>
      <c r="C722" t="str">
        <f t="shared" si="11"/>
        <v>NAD83 / California zone 5 (ftUS)</v>
      </c>
    </row>
    <row r="723" spans="1:3" x14ac:dyDescent="0.3">
      <c r="A723" t="s">
        <v>782</v>
      </c>
      <c r="B723">
        <f>IF(ISNUMBER(SEARCH(Form!$C$11,Tabel2[[#This Row],[Coordinate Projection System]])),MAX($B$1:B722)+1,0)</f>
        <v>722</v>
      </c>
      <c r="C723" t="str">
        <f t="shared" si="11"/>
        <v>NAD83 / California zone 6 (ftUS)</v>
      </c>
    </row>
    <row r="724" spans="1:3" x14ac:dyDescent="0.3">
      <c r="A724" t="s">
        <v>783</v>
      </c>
      <c r="B724">
        <f>IF(ISNUMBER(SEARCH(Form!$C$11,Tabel2[[#This Row],[Coordinate Projection System]])),MAX($B$1:B723)+1,0)</f>
        <v>723</v>
      </c>
      <c r="C724" t="str">
        <f t="shared" si="11"/>
        <v>NAD83 / Colorado North (ftUS)</v>
      </c>
    </row>
    <row r="725" spans="1:3" x14ac:dyDescent="0.3">
      <c r="A725" t="s">
        <v>784</v>
      </c>
      <c r="B725">
        <f>IF(ISNUMBER(SEARCH(Form!$C$11,Tabel2[[#This Row],[Coordinate Projection System]])),MAX($B$1:B724)+1,0)</f>
        <v>724</v>
      </c>
      <c r="C725" t="str">
        <f t="shared" si="11"/>
        <v>NAD83 / Colorado Central (ftUS)</v>
      </c>
    </row>
    <row r="726" spans="1:3" x14ac:dyDescent="0.3">
      <c r="A726" t="s">
        <v>785</v>
      </c>
      <c r="B726">
        <f>IF(ISNUMBER(SEARCH(Form!$C$11,Tabel2[[#This Row],[Coordinate Projection System]])),MAX($B$1:B725)+1,0)</f>
        <v>725</v>
      </c>
      <c r="C726" t="str">
        <f t="shared" si="11"/>
        <v>NAD83 / Colorado South (ftUS)</v>
      </c>
    </row>
    <row r="727" spans="1:3" x14ac:dyDescent="0.3">
      <c r="A727" t="s">
        <v>786</v>
      </c>
      <c r="B727">
        <f>IF(ISNUMBER(SEARCH(Form!$C$11,Tabel2[[#This Row],[Coordinate Projection System]])),MAX($B$1:B726)+1,0)</f>
        <v>726</v>
      </c>
      <c r="C727" t="str">
        <f t="shared" si="11"/>
        <v>NAD83 / Connecticut (ftUS)</v>
      </c>
    </row>
    <row r="728" spans="1:3" x14ac:dyDescent="0.3">
      <c r="A728" t="s">
        <v>787</v>
      </c>
      <c r="B728">
        <f>IF(ISNUMBER(SEARCH(Form!$C$11,Tabel2[[#This Row],[Coordinate Projection System]])),MAX($B$1:B727)+1,0)</f>
        <v>727</v>
      </c>
      <c r="C728" t="str">
        <f t="shared" si="11"/>
        <v>NAD83 / Delaware (ftUS)</v>
      </c>
    </row>
    <row r="729" spans="1:3" x14ac:dyDescent="0.3">
      <c r="A729" t="s">
        <v>788</v>
      </c>
      <c r="B729">
        <f>IF(ISNUMBER(SEARCH(Form!$C$11,Tabel2[[#This Row],[Coordinate Projection System]])),MAX($B$1:B728)+1,0)</f>
        <v>728</v>
      </c>
      <c r="C729" t="str">
        <f t="shared" si="11"/>
        <v>NAD83 / Florida East (ftUS)</v>
      </c>
    </row>
    <row r="730" spans="1:3" x14ac:dyDescent="0.3">
      <c r="A730" t="s">
        <v>789</v>
      </c>
      <c r="B730">
        <f>IF(ISNUMBER(SEARCH(Form!$C$11,Tabel2[[#This Row],[Coordinate Projection System]])),MAX($B$1:B729)+1,0)</f>
        <v>729</v>
      </c>
      <c r="C730" t="str">
        <f t="shared" si="11"/>
        <v>NAD83 / Florida West (ftUS)</v>
      </c>
    </row>
    <row r="731" spans="1:3" x14ac:dyDescent="0.3">
      <c r="A731" t="s">
        <v>790</v>
      </c>
      <c r="B731">
        <f>IF(ISNUMBER(SEARCH(Form!$C$11,Tabel2[[#This Row],[Coordinate Projection System]])),MAX($B$1:B730)+1,0)</f>
        <v>730</v>
      </c>
      <c r="C731" t="str">
        <f t="shared" si="11"/>
        <v>NAD83 / Florida North (ftUS)</v>
      </c>
    </row>
    <row r="732" spans="1:3" x14ac:dyDescent="0.3">
      <c r="A732" t="s">
        <v>791</v>
      </c>
      <c r="B732">
        <f>IF(ISNUMBER(SEARCH(Form!$C$11,Tabel2[[#This Row],[Coordinate Projection System]])),MAX($B$1:B731)+1,0)</f>
        <v>731</v>
      </c>
      <c r="C732" t="str">
        <f t="shared" si="11"/>
        <v>NAD83 / Georgia East (ftUS)</v>
      </c>
    </row>
    <row r="733" spans="1:3" x14ac:dyDescent="0.3">
      <c r="A733" t="s">
        <v>792</v>
      </c>
      <c r="B733">
        <f>IF(ISNUMBER(SEARCH(Form!$C$11,Tabel2[[#This Row],[Coordinate Projection System]])),MAX($B$1:B732)+1,0)</f>
        <v>732</v>
      </c>
      <c r="C733" t="str">
        <f t="shared" si="11"/>
        <v>NAD83 / Georgia West (ftUS)</v>
      </c>
    </row>
    <row r="734" spans="1:3" x14ac:dyDescent="0.3">
      <c r="A734" t="s">
        <v>793</v>
      </c>
      <c r="B734">
        <f>IF(ISNUMBER(SEARCH(Form!$C$11,Tabel2[[#This Row],[Coordinate Projection System]])),MAX($B$1:B733)+1,0)</f>
        <v>733</v>
      </c>
      <c r="C734" t="str">
        <f t="shared" si="11"/>
        <v>NAD83 / Idaho East (ftUS)</v>
      </c>
    </row>
    <row r="735" spans="1:3" x14ac:dyDescent="0.3">
      <c r="A735" t="s">
        <v>794</v>
      </c>
      <c r="B735">
        <f>IF(ISNUMBER(SEARCH(Form!$C$11,Tabel2[[#This Row],[Coordinate Projection System]])),MAX($B$1:B734)+1,0)</f>
        <v>734</v>
      </c>
      <c r="C735" t="str">
        <f t="shared" si="11"/>
        <v>NAD83 / Idaho Central (ftUS)</v>
      </c>
    </row>
    <row r="736" spans="1:3" x14ac:dyDescent="0.3">
      <c r="A736" t="s">
        <v>795</v>
      </c>
      <c r="B736">
        <f>IF(ISNUMBER(SEARCH(Form!$C$11,Tabel2[[#This Row],[Coordinate Projection System]])),MAX($B$1:B735)+1,0)</f>
        <v>735</v>
      </c>
      <c r="C736" t="str">
        <f t="shared" si="11"/>
        <v>NAD83 / Idaho West (ftUS)</v>
      </c>
    </row>
    <row r="737" spans="1:3" x14ac:dyDescent="0.3">
      <c r="A737" t="s">
        <v>796</v>
      </c>
      <c r="B737">
        <f>IF(ISNUMBER(SEARCH(Form!$C$11,Tabel2[[#This Row],[Coordinate Projection System]])),MAX($B$1:B736)+1,0)</f>
        <v>736</v>
      </c>
      <c r="C737" t="str">
        <f t="shared" si="11"/>
        <v>NAD83 / Indiana East (ftUS) (deprecated)</v>
      </c>
    </row>
    <row r="738" spans="1:3" x14ac:dyDescent="0.3">
      <c r="A738" t="s">
        <v>797</v>
      </c>
      <c r="B738">
        <f>IF(ISNUMBER(SEARCH(Form!$C$11,Tabel2[[#This Row],[Coordinate Projection System]])),MAX($B$1:B737)+1,0)</f>
        <v>737</v>
      </c>
      <c r="C738" t="str">
        <f t="shared" si="11"/>
        <v>NAD83 / Indiana West (ftUS) (deprecated)</v>
      </c>
    </row>
    <row r="739" spans="1:3" x14ac:dyDescent="0.3">
      <c r="A739" t="s">
        <v>798</v>
      </c>
      <c r="B739">
        <f>IF(ISNUMBER(SEARCH(Form!$C$11,Tabel2[[#This Row],[Coordinate Projection System]])),MAX($B$1:B738)+1,0)</f>
        <v>738</v>
      </c>
      <c r="C739" t="str">
        <f t="shared" si="11"/>
        <v>NAD83 / Kentucky North (ftUS)</v>
      </c>
    </row>
    <row r="740" spans="1:3" x14ac:dyDescent="0.3">
      <c r="A740" t="s">
        <v>799</v>
      </c>
      <c r="B740">
        <f>IF(ISNUMBER(SEARCH(Form!$C$11,Tabel2[[#This Row],[Coordinate Projection System]])),MAX($B$1:B739)+1,0)</f>
        <v>739</v>
      </c>
      <c r="C740" t="str">
        <f t="shared" si="11"/>
        <v>NAD83 / Kentucky South (ftUS)</v>
      </c>
    </row>
    <row r="741" spans="1:3" x14ac:dyDescent="0.3">
      <c r="A741" t="s">
        <v>800</v>
      </c>
      <c r="B741">
        <f>IF(ISNUMBER(SEARCH(Form!$C$11,Tabel2[[#This Row],[Coordinate Projection System]])),MAX($B$1:B740)+1,0)</f>
        <v>740</v>
      </c>
      <c r="C741" t="str">
        <f t="shared" si="11"/>
        <v>NAD83 / Maryland (ftUS)</v>
      </c>
    </row>
    <row r="742" spans="1:3" x14ac:dyDescent="0.3">
      <c r="A742" t="s">
        <v>801</v>
      </c>
      <c r="B742">
        <f>IF(ISNUMBER(SEARCH(Form!$C$11,Tabel2[[#This Row],[Coordinate Projection System]])),MAX($B$1:B741)+1,0)</f>
        <v>741</v>
      </c>
      <c r="C742" t="str">
        <f t="shared" si="11"/>
        <v>NAD83 / Massachusetts Mainland (ftUS)</v>
      </c>
    </row>
    <row r="743" spans="1:3" x14ac:dyDescent="0.3">
      <c r="A743" t="s">
        <v>802</v>
      </c>
      <c r="B743">
        <f>IF(ISNUMBER(SEARCH(Form!$C$11,Tabel2[[#This Row],[Coordinate Projection System]])),MAX($B$1:B742)+1,0)</f>
        <v>742</v>
      </c>
      <c r="C743" t="str">
        <f t="shared" si="11"/>
        <v>NAD83 / Massachusetts Island (ftUS)</v>
      </c>
    </row>
    <row r="744" spans="1:3" x14ac:dyDescent="0.3">
      <c r="A744" t="s">
        <v>803</v>
      </c>
      <c r="B744">
        <f>IF(ISNUMBER(SEARCH(Form!$C$11,Tabel2[[#This Row],[Coordinate Projection System]])),MAX($B$1:B743)+1,0)</f>
        <v>743</v>
      </c>
      <c r="C744" t="str">
        <f t="shared" si="11"/>
        <v>NAD83 / Michigan North (ft)</v>
      </c>
    </row>
    <row r="745" spans="1:3" x14ac:dyDescent="0.3">
      <c r="A745" t="s">
        <v>804</v>
      </c>
      <c r="B745">
        <f>IF(ISNUMBER(SEARCH(Form!$C$11,Tabel2[[#This Row],[Coordinate Projection System]])),MAX($B$1:B744)+1,0)</f>
        <v>744</v>
      </c>
      <c r="C745" t="str">
        <f t="shared" si="11"/>
        <v>NAD83 / Michigan Central (ft)</v>
      </c>
    </row>
    <row r="746" spans="1:3" x14ac:dyDescent="0.3">
      <c r="A746" t="s">
        <v>805</v>
      </c>
      <c r="B746">
        <f>IF(ISNUMBER(SEARCH(Form!$C$11,Tabel2[[#This Row],[Coordinate Projection System]])),MAX($B$1:B745)+1,0)</f>
        <v>745</v>
      </c>
      <c r="C746" t="str">
        <f t="shared" si="11"/>
        <v>NAD83 / Michigan South (ft)</v>
      </c>
    </row>
    <row r="747" spans="1:3" x14ac:dyDescent="0.3">
      <c r="A747" t="s">
        <v>806</v>
      </c>
      <c r="B747">
        <f>IF(ISNUMBER(SEARCH(Form!$C$11,Tabel2[[#This Row],[Coordinate Projection System]])),MAX($B$1:B746)+1,0)</f>
        <v>746</v>
      </c>
      <c r="C747" t="str">
        <f t="shared" si="11"/>
        <v>NAD83 / Mississippi East (ftUS)</v>
      </c>
    </row>
    <row r="748" spans="1:3" x14ac:dyDescent="0.3">
      <c r="A748" t="s">
        <v>807</v>
      </c>
      <c r="B748">
        <f>IF(ISNUMBER(SEARCH(Form!$C$11,Tabel2[[#This Row],[Coordinate Projection System]])),MAX($B$1:B747)+1,0)</f>
        <v>747</v>
      </c>
      <c r="C748" t="str">
        <f t="shared" si="11"/>
        <v>NAD83 / Mississippi West (ftUS)</v>
      </c>
    </row>
    <row r="749" spans="1:3" x14ac:dyDescent="0.3">
      <c r="A749" t="s">
        <v>808</v>
      </c>
      <c r="B749">
        <f>IF(ISNUMBER(SEARCH(Form!$C$11,Tabel2[[#This Row],[Coordinate Projection System]])),MAX($B$1:B748)+1,0)</f>
        <v>748</v>
      </c>
      <c r="C749" t="str">
        <f t="shared" si="11"/>
        <v>NAD83 / Montana (ft)</v>
      </c>
    </row>
    <row r="750" spans="1:3" x14ac:dyDescent="0.3">
      <c r="A750" t="s">
        <v>809</v>
      </c>
      <c r="B750">
        <f>IF(ISNUMBER(SEARCH(Form!$C$11,Tabel2[[#This Row],[Coordinate Projection System]])),MAX($B$1:B749)+1,0)</f>
        <v>749</v>
      </c>
      <c r="C750" t="str">
        <f t="shared" si="11"/>
        <v>NAD83 / New Mexico East (ftUS)</v>
      </c>
    </row>
    <row r="751" spans="1:3" x14ac:dyDescent="0.3">
      <c r="A751" t="s">
        <v>810</v>
      </c>
      <c r="B751">
        <f>IF(ISNUMBER(SEARCH(Form!$C$11,Tabel2[[#This Row],[Coordinate Projection System]])),MAX($B$1:B750)+1,0)</f>
        <v>750</v>
      </c>
      <c r="C751" t="str">
        <f t="shared" si="11"/>
        <v>NAD83 / New Mexico Central (ftUS)</v>
      </c>
    </row>
    <row r="752" spans="1:3" x14ac:dyDescent="0.3">
      <c r="A752" t="s">
        <v>811</v>
      </c>
      <c r="B752">
        <f>IF(ISNUMBER(SEARCH(Form!$C$11,Tabel2[[#This Row],[Coordinate Projection System]])),MAX($B$1:B751)+1,0)</f>
        <v>751</v>
      </c>
      <c r="C752" t="str">
        <f t="shared" si="11"/>
        <v>NAD83 / New Mexico West (ftUS)</v>
      </c>
    </row>
    <row r="753" spans="1:3" x14ac:dyDescent="0.3">
      <c r="A753" t="s">
        <v>812</v>
      </c>
      <c r="B753">
        <f>IF(ISNUMBER(SEARCH(Form!$C$11,Tabel2[[#This Row],[Coordinate Projection System]])),MAX($B$1:B752)+1,0)</f>
        <v>752</v>
      </c>
      <c r="C753" t="str">
        <f t="shared" si="11"/>
        <v>NAD83 / New York East (ftUS)</v>
      </c>
    </row>
    <row r="754" spans="1:3" x14ac:dyDescent="0.3">
      <c r="A754" t="s">
        <v>813</v>
      </c>
      <c r="B754">
        <f>IF(ISNUMBER(SEARCH(Form!$C$11,Tabel2[[#This Row],[Coordinate Projection System]])),MAX($B$1:B753)+1,0)</f>
        <v>753</v>
      </c>
      <c r="C754" t="str">
        <f t="shared" si="11"/>
        <v>NAD83 / New York Central (ftUS)</v>
      </c>
    </row>
    <row r="755" spans="1:3" x14ac:dyDescent="0.3">
      <c r="A755" t="s">
        <v>814</v>
      </c>
      <c r="B755">
        <f>IF(ISNUMBER(SEARCH(Form!$C$11,Tabel2[[#This Row],[Coordinate Projection System]])),MAX($B$1:B754)+1,0)</f>
        <v>754</v>
      </c>
      <c r="C755" t="str">
        <f t="shared" si="11"/>
        <v>NAD83 / New York West (ftUS)</v>
      </c>
    </row>
    <row r="756" spans="1:3" x14ac:dyDescent="0.3">
      <c r="A756" t="s">
        <v>815</v>
      </c>
      <c r="B756">
        <f>IF(ISNUMBER(SEARCH(Form!$C$11,Tabel2[[#This Row],[Coordinate Projection System]])),MAX($B$1:B755)+1,0)</f>
        <v>755</v>
      </c>
      <c r="C756" t="str">
        <f t="shared" si="11"/>
        <v>NAD83 / New York Long Island (ftUS)</v>
      </c>
    </row>
    <row r="757" spans="1:3" x14ac:dyDescent="0.3">
      <c r="A757" t="s">
        <v>816</v>
      </c>
      <c r="B757">
        <f>IF(ISNUMBER(SEARCH(Form!$C$11,Tabel2[[#This Row],[Coordinate Projection System]])),MAX($B$1:B756)+1,0)</f>
        <v>756</v>
      </c>
      <c r="C757" t="str">
        <f t="shared" si="11"/>
        <v>NAD83 / North Carolina (ftUS)</v>
      </c>
    </row>
    <row r="758" spans="1:3" x14ac:dyDescent="0.3">
      <c r="A758" t="s">
        <v>817</v>
      </c>
      <c r="B758">
        <f>IF(ISNUMBER(SEARCH(Form!$C$11,Tabel2[[#This Row],[Coordinate Projection System]])),MAX($B$1:B757)+1,0)</f>
        <v>757</v>
      </c>
      <c r="C758" t="str">
        <f t="shared" si="11"/>
        <v>NAD83 / North Dakota North (ft)</v>
      </c>
    </row>
    <row r="759" spans="1:3" x14ac:dyDescent="0.3">
      <c r="A759" t="s">
        <v>818</v>
      </c>
      <c r="B759">
        <f>IF(ISNUMBER(SEARCH(Form!$C$11,Tabel2[[#This Row],[Coordinate Projection System]])),MAX($B$1:B758)+1,0)</f>
        <v>758</v>
      </c>
      <c r="C759" t="str">
        <f t="shared" si="11"/>
        <v>NAD83 / North Dakota South (ft)</v>
      </c>
    </row>
    <row r="760" spans="1:3" x14ac:dyDescent="0.3">
      <c r="A760" t="s">
        <v>819</v>
      </c>
      <c r="B760">
        <f>IF(ISNUMBER(SEARCH(Form!$C$11,Tabel2[[#This Row],[Coordinate Projection System]])),MAX($B$1:B759)+1,0)</f>
        <v>759</v>
      </c>
      <c r="C760" t="str">
        <f t="shared" si="11"/>
        <v>NAD83 / Oklahoma North (ftUS)</v>
      </c>
    </row>
    <row r="761" spans="1:3" x14ac:dyDescent="0.3">
      <c r="A761" t="s">
        <v>820</v>
      </c>
      <c r="B761">
        <f>IF(ISNUMBER(SEARCH(Form!$C$11,Tabel2[[#This Row],[Coordinate Projection System]])),MAX($B$1:B760)+1,0)</f>
        <v>760</v>
      </c>
      <c r="C761" t="str">
        <f t="shared" si="11"/>
        <v>NAD83 / Oklahoma South (ftUS)</v>
      </c>
    </row>
    <row r="762" spans="1:3" x14ac:dyDescent="0.3">
      <c r="A762" t="s">
        <v>821</v>
      </c>
      <c r="B762">
        <f>IF(ISNUMBER(SEARCH(Form!$C$11,Tabel2[[#This Row],[Coordinate Projection System]])),MAX($B$1:B761)+1,0)</f>
        <v>761</v>
      </c>
      <c r="C762" t="str">
        <f t="shared" si="11"/>
        <v>NAD83 / Oregon North (ft)</v>
      </c>
    </row>
    <row r="763" spans="1:3" x14ac:dyDescent="0.3">
      <c r="A763" t="s">
        <v>822</v>
      </c>
      <c r="B763">
        <f>IF(ISNUMBER(SEARCH(Form!$C$11,Tabel2[[#This Row],[Coordinate Projection System]])),MAX($B$1:B762)+1,0)</f>
        <v>762</v>
      </c>
      <c r="C763" t="str">
        <f t="shared" si="11"/>
        <v>NAD83 / Oregon South (ft)</v>
      </c>
    </row>
    <row r="764" spans="1:3" x14ac:dyDescent="0.3">
      <c r="A764" t="s">
        <v>823</v>
      </c>
      <c r="B764">
        <f>IF(ISNUMBER(SEARCH(Form!$C$11,Tabel2[[#This Row],[Coordinate Projection System]])),MAX($B$1:B763)+1,0)</f>
        <v>763</v>
      </c>
      <c r="C764" t="str">
        <f t="shared" si="11"/>
        <v>NAD83 / Pennsylvania North (ftUS)</v>
      </c>
    </row>
    <row r="765" spans="1:3" x14ac:dyDescent="0.3">
      <c r="A765" t="s">
        <v>824</v>
      </c>
      <c r="B765">
        <f>IF(ISNUMBER(SEARCH(Form!$C$11,Tabel2[[#This Row],[Coordinate Projection System]])),MAX($B$1:B764)+1,0)</f>
        <v>764</v>
      </c>
      <c r="C765" t="str">
        <f t="shared" si="11"/>
        <v>NAD83 / Pennsylvania South (ftUS)</v>
      </c>
    </row>
    <row r="766" spans="1:3" x14ac:dyDescent="0.3">
      <c r="A766" t="s">
        <v>825</v>
      </c>
      <c r="B766">
        <f>IF(ISNUMBER(SEARCH(Form!$C$11,Tabel2[[#This Row],[Coordinate Projection System]])),MAX($B$1:B765)+1,0)</f>
        <v>765</v>
      </c>
      <c r="C766" t="str">
        <f t="shared" si="11"/>
        <v>NAD83 / South Carolina (ft)</v>
      </c>
    </row>
    <row r="767" spans="1:3" x14ac:dyDescent="0.3">
      <c r="A767" t="s">
        <v>826</v>
      </c>
      <c r="B767">
        <f>IF(ISNUMBER(SEARCH(Form!$C$11,Tabel2[[#This Row],[Coordinate Projection System]])),MAX($B$1:B766)+1,0)</f>
        <v>766</v>
      </c>
      <c r="C767" t="str">
        <f t="shared" si="11"/>
        <v>NAD83 / Tennessee (ftUS)</v>
      </c>
    </row>
    <row r="768" spans="1:3" x14ac:dyDescent="0.3">
      <c r="A768" t="s">
        <v>827</v>
      </c>
      <c r="B768">
        <f>IF(ISNUMBER(SEARCH(Form!$C$11,Tabel2[[#This Row],[Coordinate Projection System]])),MAX($B$1:B767)+1,0)</f>
        <v>767</v>
      </c>
      <c r="C768" t="str">
        <f t="shared" si="11"/>
        <v>NAD83 / Texas North (ftUS)</v>
      </c>
    </row>
    <row r="769" spans="1:3" x14ac:dyDescent="0.3">
      <c r="A769" t="s">
        <v>828</v>
      </c>
      <c r="B769">
        <f>IF(ISNUMBER(SEARCH(Form!$C$11,Tabel2[[#This Row],[Coordinate Projection System]])),MAX($B$1:B768)+1,0)</f>
        <v>768</v>
      </c>
      <c r="C769" t="str">
        <f t="shared" si="11"/>
        <v>NAD83 / Texas North Central (ftUS)</v>
      </c>
    </row>
    <row r="770" spans="1:3" x14ac:dyDescent="0.3">
      <c r="A770" t="s">
        <v>829</v>
      </c>
      <c r="B770">
        <f>IF(ISNUMBER(SEARCH(Form!$C$11,Tabel2[[#This Row],[Coordinate Projection System]])),MAX($B$1:B769)+1,0)</f>
        <v>769</v>
      </c>
      <c r="C770" t="str">
        <f t="shared" si="11"/>
        <v>NAD83 / Texas Central (ftUS)</v>
      </c>
    </row>
    <row r="771" spans="1:3" x14ac:dyDescent="0.3">
      <c r="A771" t="s">
        <v>830</v>
      </c>
      <c r="B771">
        <f>IF(ISNUMBER(SEARCH(Form!$C$11,Tabel2[[#This Row],[Coordinate Projection System]])),MAX($B$1:B770)+1,0)</f>
        <v>770</v>
      </c>
      <c r="C771" t="str">
        <f t="shared" ref="C771:C834" si="12">_xlfn.IFNA(INDEX(A771:A6282,MATCH(ROW(C770),B771:B6282,0)),"")</f>
        <v>NAD83 / Texas South Central (ftUS)</v>
      </c>
    </row>
    <row r="772" spans="1:3" x14ac:dyDescent="0.3">
      <c r="A772" t="s">
        <v>831</v>
      </c>
      <c r="B772">
        <f>IF(ISNUMBER(SEARCH(Form!$C$11,Tabel2[[#This Row],[Coordinate Projection System]])),MAX($B$1:B771)+1,0)</f>
        <v>771</v>
      </c>
      <c r="C772" t="str">
        <f t="shared" si="12"/>
        <v>NAD83 / Texas South (ftUS)</v>
      </c>
    </row>
    <row r="773" spans="1:3" x14ac:dyDescent="0.3">
      <c r="A773" t="s">
        <v>832</v>
      </c>
      <c r="B773">
        <f>IF(ISNUMBER(SEARCH(Form!$C$11,Tabel2[[#This Row],[Coordinate Projection System]])),MAX($B$1:B772)+1,0)</f>
        <v>772</v>
      </c>
      <c r="C773" t="str">
        <f t="shared" si="12"/>
        <v>NAD83 / Utah North (ft)</v>
      </c>
    </row>
    <row r="774" spans="1:3" x14ac:dyDescent="0.3">
      <c r="A774" t="s">
        <v>833</v>
      </c>
      <c r="B774">
        <f>IF(ISNUMBER(SEARCH(Form!$C$11,Tabel2[[#This Row],[Coordinate Projection System]])),MAX($B$1:B773)+1,0)</f>
        <v>773</v>
      </c>
      <c r="C774" t="str">
        <f t="shared" si="12"/>
        <v>NAD83 / Utah Central (ft)</v>
      </c>
    </row>
    <row r="775" spans="1:3" x14ac:dyDescent="0.3">
      <c r="A775" t="s">
        <v>834</v>
      </c>
      <c r="B775">
        <f>IF(ISNUMBER(SEARCH(Form!$C$11,Tabel2[[#This Row],[Coordinate Projection System]])),MAX($B$1:B774)+1,0)</f>
        <v>774</v>
      </c>
      <c r="C775" t="str">
        <f t="shared" si="12"/>
        <v>NAD83 / Utah South (ft)</v>
      </c>
    </row>
    <row r="776" spans="1:3" x14ac:dyDescent="0.3">
      <c r="A776" t="s">
        <v>835</v>
      </c>
      <c r="B776">
        <f>IF(ISNUMBER(SEARCH(Form!$C$11,Tabel2[[#This Row],[Coordinate Projection System]])),MAX($B$1:B775)+1,0)</f>
        <v>775</v>
      </c>
      <c r="C776" t="str">
        <f t="shared" si="12"/>
        <v>NAD83 / Virginia North (ftUS)</v>
      </c>
    </row>
    <row r="777" spans="1:3" x14ac:dyDescent="0.3">
      <c r="A777" t="s">
        <v>836</v>
      </c>
      <c r="B777">
        <f>IF(ISNUMBER(SEARCH(Form!$C$11,Tabel2[[#This Row],[Coordinate Projection System]])),MAX($B$1:B776)+1,0)</f>
        <v>776</v>
      </c>
      <c r="C777" t="str">
        <f t="shared" si="12"/>
        <v>NAD83 / Virginia South (ftUS)</v>
      </c>
    </row>
    <row r="778" spans="1:3" x14ac:dyDescent="0.3">
      <c r="A778" t="s">
        <v>837</v>
      </c>
      <c r="B778">
        <f>IF(ISNUMBER(SEARCH(Form!$C$11,Tabel2[[#This Row],[Coordinate Projection System]])),MAX($B$1:B777)+1,0)</f>
        <v>777</v>
      </c>
      <c r="C778" t="str">
        <f t="shared" si="12"/>
        <v>NAD83 / Washington North (ftUS)</v>
      </c>
    </row>
    <row r="779" spans="1:3" x14ac:dyDescent="0.3">
      <c r="A779" t="s">
        <v>838</v>
      </c>
      <c r="B779">
        <f>IF(ISNUMBER(SEARCH(Form!$C$11,Tabel2[[#This Row],[Coordinate Projection System]])),MAX($B$1:B778)+1,0)</f>
        <v>778</v>
      </c>
      <c r="C779" t="str">
        <f t="shared" si="12"/>
        <v>NAD83 / Washington South (ftUS)</v>
      </c>
    </row>
    <row r="780" spans="1:3" x14ac:dyDescent="0.3">
      <c r="A780" t="s">
        <v>839</v>
      </c>
      <c r="B780">
        <f>IF(ISNUMBER(SEARCH(Form!$C$11,Tabel2[[#This Row],[Coordinate Projection System]])),MAX($B$1:B779)+1,0)</f>
        <v>779</v>
      </c>
      <c r="C780" t="str">
        <f t="shared" si="12"/>
        <v>NAD83 / Wisconsin North (ftUS)</v>
      </c>
    </row>
    <row r="781" spans="1:3" x14ac:dyDescent="0.3">
      <c r="A781" t="s">
        <v>840</v>
      </c>
      <c r="B781">
        <f>IF(ISNUMBER(SEARCH(Form!$C$11,Tabel2[[#This Row],[Coordinate Projection System]])),MAX($B$1:B780)+1,0)</f>
        <v>780</v>
      </c>
      <c r="C781" t="str">
        <f t="shared" si="12"/>
        <v>NAD83 / Wisconsin Central (ftUS)</v>
      </c>
    </row>
    <row r="782" spans="1:3" x14ac:dyDescent="0.3">
      <c r="A782" t="s">
        <v>841</v>
      </c>
      <c r="B782">
        <f>IF(ISNUMBER(SEARCH(Form!$C$11,Tabel2[[#This Row],[Coordinate Projection System]])),MAX($B$1:B781)+1,0)</f>
        <v>781</v>
      </c>
      <c r="C782" t="str">
        <f t="shared" si="12"/>
        <v>NAD83 / Wisconsin South (ftUS)</v>
      </c>
    </row>
    <row r="783" spans="1:3" x14ac:dyDescent="0.3">
      <c r="A783" t="s">
        <v>842</v>
      </c>
      <c r="B783">
        <f>IF(ISNUMBER(SEARCH(Form!$C$11,Tabel2[[#This Row],[Coordinate Projection System]])),MAX($B$1:B782)+1,0)</f>
        <v>782</v>
      </c>
      <c r="C783" t="str">
        <f t="shared" si="12"/>
        <v>ATS77 / Prince Edward Isl. Stereographic (ATS77)</v>
      </c>
    </row>
    <row r="784" spans="1:3" x14ac:dyDescent="0.3">
      <c r="A784" t="s">
        <v>843</v>
      </c>
      <c r="B784">
        <f>IF(ISNUMBER(SEARCH(Form!$C$11,Tabel2[[#This Row],[Coordinate Projection System]])),MAX($B$1:B783)+1,0)</f>
        <v>783</v>
      </c>
      <c r="C784" t="str">
        <f t="shared" si="12"/>
        <v>NAD83(CSRS98) / Prince Edward Isl. Stereographic (NAD83) (deprecated)</v>
      </c>
    </row>
    <row r="785" spans="1:3" x14ac:dyDescent="0.3">
      <c r="A785" t="s">
        <v>843</v>
      </c>
      <c r="B785">
        <f>IF(ISNUMBER(SEARCH(Form!$C$11,Tabel2[[#This Row],[Coordinate Projection System]])),MAX($B$1:B784)+1,0)</f>
        <v>784</v>
      </c>
      <c r="C785" t="str">
        <f t="shared" si="12"/>
        <v>NAD83(CSRS98) / Prince Edward Isl. Stereographic (NAD83) (deprecated)</v>
      </c>
    </row>
    <row r="786" spans="1:3" x14ac:dyDescent="0.3">
      <c r="A786" t="s">
        <v>844</v>
      </c>
      <c r="B786">
        <f>IF(ISNUMBER(SEARCH(Form!$C$11,Tabel2[[#This Row],[Coordinate Projection System]])),MAX($B$1:B785)+1,0)</f>
        <v>785</v>
      </c>
      <c r="C786" t="str">
        <f t="shared" si="12"/>
        <v>ATS77 / MTM Nova Scotia zone 4</v>
      </c>
    </row>
    <row r="787" spans="1:3" x14ac:dyDescent="0.3">
      <c r="A787" t="s">
        <v>845</v>
      </c>
      <c r="B787">
        <f>IF(ISNUMBER(SEARCH(Form!$C$11,Tabel2[[#This Row],[Coordinate Projection System]])),MAX($B$1:B786)+1,0)</f>
        <v>786</v>
      </c>
      <c r="C787" t="str">
        <f t="shared" si="12"/>
        <v>ATS77 / MTM Nova Scotia zone 5</v>
      </c>
    </row>
    <row r="788" spans="1:3" x14ac:dyDescent="0.3">
      <c r="A788" t="s">
        <v>846</v>
      </c>
      <c r="B788">
        <f>IF(ISNUMBER(SEARCH(Form!$C$11,Tabel2[[#This Row],[Coordinate Projection System]])),MAX($B$1:B787)+1,0)</f>
        <v>787</v>
      </c>
      <c r="C788" t="str">
        <f t="shared" si="12"/>
        <v>Ammassalik 1958 / Greenland zone 7 eastUnable to translate coordinate system EPSG:2296 into PROJ.4 format.</v>
      </c>
    </row>
    <row r="789" spans="1:3" x14ac:dyDescent="0.3">
      <c r="A789" t="s">
        <v>847</v>
      </c>
      <c r="B789">
        <f>IF(ISNUMBER(SEARCH(Form!$C$11,Tabel2[[#This Row],[Coordinate Projection System]])),MAX($B$1:B788)+1,0)</f>
        <v>788</v>
      </c>
      <c r="C789" t="str">
        <f t="shared" si="12"/>
        <v>Qornoq 1927 / Greenland zone 1 east (deprecated)Unable to translate coordinate system EPSG:2297 into PROJ.4 format.</v>
      </c>
    </row>
    <row r="790" spans="1:3" x14ac:dyDescent="0.3">
      <c r="A790" t="s">
        <v>848</v>
      </c>
      <c r="B790">
        <f>IF(ISNUMBER(SEARCH(Form!$C$11,Tabel2[[#This Row],[Coordinate Projection System]])),MAX($B$1:B789)+1,0)</f>
        <v>789</v>
      </c>
      <c r="C790" t="str">
        <f t="shared" si="12"/>
        <v>Qornoq 1927 / Greenland zone 2 east (deprecated)Unable to translate coordinate system EPSG:2298 into PROJ.4 format.</v>
      </c>
    </row>
    <row r="791" spans="1:3" x14ac:dyDescent="0.3">
      <c r="A791" t="s">
        <v>849</v>
      </c>
      <c r="B791">
        <f>IF(ISNUMBER(SEARCH(Form!$C$11,Tabel2[[#This Row],[Coordinate Projection System]])),MAX($B$1:B790)+1,0)</f>
        <v>790</v>
      </c>
      <c r="C791" t="str">
        <f t="shared" si="12"/>
        <v>Qornoq 1927 / Greenland zone 2 westUnable to translate coordinate system EPSG:2299 into PROJ.4 format.</v>
      </c>
    </row>
    <row r="792" spans="1:3" x14ac:dyDescent="0.3">
      <c r="A792" t="s">
        <v>850</v>
      </c>
      <c r="B792">
        <f>IF(ISNUMBER(SEARCH(Form!$C$11,Tabel2[[#This Row],[Coordinate Projection System]])),MAX($B$1:B791)+1,0)</f>
        <v>791</v>
      </c>
      <c r="C792" t="str">
        <f t="shared" si="12"/>
        <v>Qornoq 1927 / Greenland zone 3 east (deprecated)Unable to translate coordinate system EPSG:2300 into PROJ.4 format.</v>
      </c>
    </row>
    <row r="793" spans="1:3" x14ac:dyDescent="0.3">
      <c r="A793" t="s">
        <v>851</v>
      </c>
      <c r="B793">
        <f>IF(ISNUMBER(SEARCH(Form!$C$11,Tabel2[[#This Row],[Coordinate Projection System]])),MAX($B$1:B792)+1,0)</f>
        <v>792</v>
      </c>
      <c r="C793" t="str">
        <f t="shared" si="12"/>
        <v>Qornoq 1927 / Greenland zone 3 westUnable to translate coordinate system EPSG:2301 into PROJ.4 format.</v>
      </c>
    </row>
    <row r="794" spans="1:3" x14ac:dyDescent="0.3">
      <c r="A794" t="s">
        <v>852</v>
      </c>
      <c r="B794">
        <f>IF(ISNUMBER(SEARCH(Form!$C$11,Tabel2[[#This Row],[Coordinate Projection System]])),MAX($B$1:B793)+1,0)</f>
        <v>793</v>
      </c>
      <c r="C794" t="str">
        <f t="shared" si="12"/>
        <v>Qornoq 1927 / Greenland zone 4 east (deprecated)Unable to translate coordinate system EPSG:2302 into PROJ.4 format.</v>
      </c>
    </row>
    <row r="795" spans="1:3" x14ac:dyDescent="0.3">
      <c r="A795" t="s">
        <v>853</v>
      </c>
      <c r="B795">
        <f>IF(ISNUMBER(SEARCH(Form!$C$11,Tabel2[[#This Row],[Coordinate Projection System]])),MAX($B$1:B794)+1,0)</f>
        <v>794</v>
      </c>
      <c r="C795" t="str">
        <f t="shared" si="12"/>
        <v>Qornoq 1927 / Greenland zone 4 westUnable to translate coordinate system EPSG:2303 into PROJ.4 format.</v>
      </c>
    </row>
    <row r="796" spans="1:3" x14ac:dyDescent="0.3">
      <c r="A796" t="s">
        <v>854</v>
      </c>
      <c r="B796">
        <f>IF(ISNUMBER(SEARCH(Form!$C$11,Tabel2[[#This Row],[Coordinate Projection System]])),MAX($B$1:B795)+1,0)</f>
        <v>795</v>
      </c>
      <c r="C796" t="str">
        <f t="shared" si="12"/>
        <v>Qornoq 1927 / Greenland zone 5 westUnable to translate coordinate system EPSG:2304 into PROJ.4 format.</v>
      </c>
    </row>
    <row r="797" spans="1:3" x14ac:dyDescent="0.3">
      <c r="A797" t="s">
        <v>855</v>
      </c>
      <c r="B797">
        <f>IF(ISNUMBER(SEARCH(Form!$C$11,Tabel2[[#This Row],[Coordinate Projection System]])),MAX($B$1:B796)+1,0)</f>
        <v>796</v>
      </c>
      <c r="C797" t="str">
        <f t="shared" si="12"/>
        <v>Qornoq 1927 / Greenland zone 6 westUnable to translate coordinate system EPSG:2305 into PROJ.4 format.</v>
      </c>
    </row>
    <row r="798" spans="1:3" x14ac:dyDescent="0.3">
      <c r="A798" t="s">
        <v>856</v>
      </c>
      <c r="B798">
        <f>IF(ISNUMBER(SEARCH(Form!$C$11,Tabel2[[#This Row],[Coordinate Projection System]])),MAX($B$1:B797)+1,0)</f>
        <v>797</v>
      </c>
      <c r="C798" t="str">
        <f t="shared" si="12"/>
        <v>Qornoq 1927 / Greenland zone 7 westUnable to translate coordinate system EPSG:2306 into PROJ.4 format.</v>
      </c>
    </row>
    <row r="799" spans="1:3" x14ac:dyDescent="0.3">
      <c r="A799" t="s">
        <v>857</v>
      </c>
      <c r="B799">
        <f>IF(ISNUMBER(SEARCH(Form!$C$11,Tabel2[[#This Row],[Coordinate Projection System]])),MAX($B$1:B798)+1,0)</f>
        <v>798</v>
      </c>
      <c r="C799" t="str">
        <f t="shared" si="12"/>
        <v>Qornoq 1927 / Greenland zone 8 eastUnable to translate coordinate system EPSG:2307 into PROJ.4 format.</v>
      </c>
    </row>
    <row r="800" spans="1:3" x14ac:dyDescent="0.3">
      <c r="A800" t="s">
        <v>858</v>
      </c>
      <c r="B800">
        <f>IF(ISNUMBER(SEARCH(Form!$C$11,Tabel2[[#This Row],[Coordinate Projection System]])),MAX($B$1:B799)+1,0)</f>
        <v>799</v>
      </c>
      <c r="C800" t="str">
        <f t="shared" si="12"/>
        <v>Batavia / TM 109 SE</v>
      </c>
    </row>
    <row r="801" spans="1:3" x14ac:dyDescent="0.3">
      <c r="A801" t="s">
        <v>859</v>
      </c>
      <c r="B801">
        <f>IF(ISNUMBER(SEARCH(Form!$C$11,Tabel2[[#This Row],[Coordinate Projection System]])),MAX($B$1:B800)+1,0)</f>
        <v>800</v>
      </c>
      <c r="C801" t="str">
        <f t="shared" si="12"/>
        <v>WGS 84 / TM 116 SE</v>
      </c>
    </row>
    <row r="802" spans="1:3" x14ac:dyDescent="0.3">
      <c r="A802" t="s">
        <v>860</v>
      </c>
      <c r="B802">
        <f>IF(ISNUMBER(SEARCH(Form!$C$11,Tabel2[[#This Row],[Coordinate Projection System]])),MAX($B$1:B801)+1,0)</f>
        <v>801</v>
      </c>
      <c r="C802" t="str">
        <f t="shared" si="12"/>
        <v>WGS 84 / TM 132 SE</v>
      </c>
    </row>
    <row r="803" spans="1:3" x14ac:dyDescent="0.3">
      <c r="A803" t="s">
        <v>861</v>
      </c>
      <c r="B803">
        <f>IF(ISNUMBER(SEARCH(Form!$C$11,Tabel2[[#This Row],[Coordinate Projection System]])),MAX($B$1:B802)+1,0)</f>
        <v>802</v>
      </c>
      <c r="C803" t="str">
        <f t="shared" si="12"/>
        <v>WGS 84 / TM 6 NE</v>
      </c>
    </row>
    <row r="804" spans="1:3" x14ac:dyDescent="0.3">
      <c r="A804" t="s">
        <v>862</v>
      </c>
      <c r="B804">
        <f>IF(ISNUMBER(SEARCH(Form!$C$11,Tabel2[[#This Row],[Coordinate Projection System]])),MAX($B$1:B803)+1,0)</f>
        <v>803</v>
      </c>
      <c r="C804" t="str">
        <f t="shared" si="12"/>
        <v>Garoua / UTM zone 33N</v>
      </c>
    </row>
    <row r="805" spans="1:3" x14ac:dyDescent="0.3">
      <c r="A805" t="s">
        <v>863</v>
      </c>
      <c r="B805">
        <f>IF(ISNUMBER(SEARCH(Form!$C$11,Tabel2[[#This Row],[Coordinate Projection System]])),MAX($B$1:B804)+1,0)</f>
        <v>804</v>
      </c>
      <c r="C805" t="str">
        <f t="shared" si="12"/>
        <v>Kousseri / UTM zone 33N</v>
      </c>
    </row>
    <row r="806" spans="1:3" x14ac:dyDescent="0.3">
      <c r="A806" t="s">
        <v>864</v>
      </c>
      <c r="B806">
        <f>IF(ISNUMBER(SEARCH(Form!$C$11,Tabel2[[#This Row],[Coordinate Projection System]])),MAX($B$1:B805)+1,0)</f>
        <v>805</v>
      </c>
      <c r="C806" t="str">
        <f t="shared" si="12"/>
        <v>Trinidad 1903 / Trinidad Grid (ftCla)</v>
      </c>
    </row>
    <row r="807" spans="1:3" x14ac:dyDescent="0.3">
      <c r="A807" t="s">
        <v>865</v>
      </c>
      <c r="B807">
        <f>IF(ISNUMBER(SEARCH(Form!$C$11,Tabel2[[#This Row],[Coordinate Projection System]])),MAX($B$1:B806)+1,0)</f>
        <v>806</v>
      </c>
      <c r="C807" t="str">
        <f t="shared" si="12"/>
        <v>Campo Inchauspe / UTM zone 19S</v>
      </c>
    </row>
    <row r="808" spans="1:3" x14ac:dyDescent="0.3">
      <c r="A808" t="s">
        <v>866</v>
      </c>
      <c r="B808">
        <f>IF(ISNUMBER(SEARCH(Form!$C$11,Tabel2[[#This Row],[Coordinate Projection System]])),MAX($B$1:B807)+1,0)</f>
        <v>807</v>
      </c>
      <c r="C808" t="str">
        <f t="shared" si="12"/>
        <v>Campo Inchauspe / UTM zone 20S</v>
      </c>
    </row>
    <row r="809" spans="1:3" x14ac:dyDescent="0.3">
      <c r="A809" t="s">
        <v>867</v>
      </c>
      <c r="B809">
        <f>IF(ISNUMBER(SEARCH(Form!$C$11,Tabel2[[#This Row],[Coordinate Projection System]])),MAX($B$1:B808)+1,0)</f>
        <v>808</v>
      </c>
      <c r="C809" t="str">
        <f t="shared" si="12"/>
        <v>PSAD56 / ICN Regional</v>
      </c>
    </row>
    <row r="810" spans="1:3" x14ac:dyDescent="0.3">
      <c r="A810" t="s">
        <v>868</v>
      </c>
      <c r="B810">
        <f>IF(ISNUMBER(SEARCH(Form!$C$11,Tabel2[[#This Row],[Coordinate Projection System]])),MAX($B$1:B809)+1,0)</f>
        <v>809</v>
      </c>
      <c r="C810" t="str">
        <f t="shared" si="12"/>
        <v>Ain el Abd / Aramco Lambert</v>
      </c>
    </row>
    <row r="811" spans="1:3" x14ac:dyDescent="0.3">
      <c r="A811" t="s">
        <v>869</v>
      </c>
      <c r="B811">
        <f>IF(ISNUMBER(SEARCH(Form!$C$11,Tabel2[[#This Row],[Coordinate Projection System]])),MAX($B$1:B810)+1,0)</f>
        <v>810</v>
      </c>
      <c r="C811" t="str">
        <f t="shared" si="12"/>
        <v>ED50 / TM27</v>
      </c>
    </row>
    <row r="812" spans="1:3" x14ac:dyDescent="0.3">
      <c r="A812" t="s">
        <v>870</v>
      </c>
      <c r="B812">
        <f>IF(ISNUMBER(SEARCH(Form!$C$11,Tabel2[[#This Row],[Coordinate Projection System]])),MAX($B$1:B811)+1,0)</f>
        <v>811</v>
      </c>
      <c r="C812" t="str">
        <f t="shared" si="12"/>
        <v>ED50 / TM30</v>
      </c>
    </row>
    <row r="813" spans="1:3" x14ac:dyDescent="0.3">
      <c r="A813" t="s">
        <v>871</v>
      </c>
      <c r="B813">
        <f>IF(ISNUMBER(SEARCH(Form!$C$11,Tabel2[[#This Row],[Coordinate Projection System]])),MAX($B$1:B812)+1,0)</f>
        <v>812</v>
      </c>
      <c r="C813" t="str">
        <f t="shared" si="12"/>
        <v>ED50 / TM33</v>
      </c>
    </row>
    <row r="814" spans="1:3" x14ac:dyDescent="0.3">
      <c r="A814" t="s">
        <v>872</v>
      </c>
      <c r="B814">
        <f>IF(ISNUMBER(SEARCH(Form!$C$11,Tabel2[[#This Row],[Coordinate Projection System]])),MAX($B$1:B813)+1,0)</f>
        <v>813</v>
      </c>
      <c r="C814" t="str">
        <f t="shared" si="12"/>
        <v>ED50 / TM36</v>
      </c>
    </row>
    <row r="815" spans="1:3" x14ac:dyDescent="0.3">
      <c r="A815" t="s">
        <v>873</v>
      </c>
      <c r="B815">
        <f>IF(ISNUMBER(SEARCH(Form!$C$11,Tabel2[[#This Row],[Coordinate Projection System]])),MAX($B$1:B814)+1,0)</f>
        <v>814</v>
      </c>
      <c r="C815" t="str">
        <f t="shared" si="12"/>
        <v>ED50 / TM39</v>
      </c>
    </row>
    <row r="816" spans="1:3" x14ac:dyDescent="0.3">
      <c r="A816" t="s">
        <v>874</v>
      </c>
      <c r="B816">
        <f>IF(ISNUMBER(SEARCH(Form!$C$11,Tabel2[[#This Row],[Coordinate Projection System]])),MAX($B$1:B815)+1,0)</f>
        <v>815</v>
      </c>
      <c r="C816" t="str">
        <f t="shared" si="12"/>
        <v>ED50 / TM42</v>
      </c>
    </row>
    <row r="817" spans="1:3" x14ac:dyDescent="0.3">
      <c r="A817" t="s">
        <v>875</v>
      </c>
      <c r="B817">
        <f>IF(ISNUMBER(SEARCH(Form!$C$11,Tabel2[[#This Row],[Coordinate Projection System]])),MAX($B$1:B816)+1,0)</f>
        <v>816</v>
      </c>
      <c r="C817" t="str">
        <f t="shared" si="12"/>
        <v>ED50 / TM45</v>
      </c>
    </row>
    <row r="818" spans="1:3" x14ac:dyDescent="0.3">
      <c r="A818" t="s">
        <v>876</v>
      </c>
      <c r="B818">
        <f>IF(ISNUMBER(SEARCH(Form!$C$11,Tabel2[[#This Row],[Coordinate Projection System]])),MAX($B$1:B817)+1,0)</f>
        <v>817</v>
      </c>
      <c r="C818" t="str">
        <f t="shared" si="12"/>
        <v>Hong Kong 1980 Grid System</v>
      </c>
    </row>
    <row r="819" spans="1:3" x14ac:dyDescent="0.3">
      <c r="A819" t="s">
        <v>877</v>
      </c>
      <c r="B819">
        <f>IF(ISNUMBER(SEARCH(Form!$C$11,Tabel2[[#This Row],[Coordinate Projection System]])),MAX($B$1:B818)+1,0)</f>
        <v>818</v>
      </c>
      <c r="C819" t="str">
        <f t="shared" si="12"/>
        <v>Xian 1980 / Gauss-Kruger zone 13</v>
      </c>
    </row>
    <row r="820" spans="1:3" x14ac:dyDescent="0.3">
      <c r="A820" t="s">
        <v>878</v>
      </c>
      <c r="B820">
        <f>IF(ISNUMBER(SEARCH(Form!$C$11,Tabel2[[#This Row],[Coordinate Projection System]])),MAX($B$1:B819)+1,0)</f>
        <v>819</v>
      </c>
      <c r="C820" t="str">
        <f t="shared" si="12"/>
        <v>Xian 1980 / Gauss-Kruger zone 14</v>
      </c>
    </row>
    <row r="821" spans="1:3" x14ac:dyDescent="0.3">
      <c r="A821" t="s">
        <v>879</v>
      </c>
      <c r="B821">
        <f>IF(ISNUMBER(SEARCH(Form!$C$11,Tabel2[[#This Row],[Coordinate Projection System]])),MAX($B$1:B820)+1,0)</f>
        <v>820</v>
      </c>
      <c r="C821" t="str">
        <f t="shared" si="12"/>
        <v>Xian 1980 / Gauss-Kruger zone 15</v>
      </c>
    </row>
    <row r="822" spans="1:3" x14ac:dyDescent="0.3">
      <c r="A822" t="s">
        <v>880</v>
      </c>
      <c r="B822">
        <f>IF(ISNUMBER(SEARCH(Form!$C$11,Tabel2[[#This Row],[Coordinate Projection System]])),MAX($B$1:B821)+1,0)</f>
        <v>821</v>
      </c>
      <c r="C822" t="str">
        <f t="shared" si="12"/>
        <v>Xian 1980 / Gauss-Kruger zone 16</v>
      </c>
    </row>
    <row r="823" spans="1:3" x14ac:dyDescent="0.3">
      <c r="A823" t="s">
        <v>881</v>
      </c>
      <c r="B823">
        <f>IF(ISNUMBER(SEARCH(Form!$C$11,Tabel2[[#This Row],[Coordinate Projection System]])),MAX($B$1:B822)+1,0)</f>
        <v>822</v>
      </c>
      <c r="C823" t="str">
        <f t="shared" si="12"/>
        <v>Xian 1980 / Gauss-Kruger zone 17</v>
      </c>
    </row>
    <row r="824" spans="1:3" x14ac:dyDescent="0.3">
      <c r="A824" t="s">
        <v>882</v>
      </c>
      <c r="B824">
        <f>IF(ISNUMBER(SEARCH(Form!$C$11,Tabel2[[#This Row],[Coordinate Projection System]])),MAX($B$1:B823)+1,0)</f>
        <v>823</v>
      </c>
      <c r="C824" t="str">
        <f t="shared" si="12"/>
        <v>Xian 1980 / Gauss-Kruger zone 18</v>
      </c>
    </row>
    <row r="825" spans="1:3" x14ac:dyDescent="0.3">
      <c r="A825" t="s">
        <v>883</v>
      </c>
      <c r="B825">
        <f>IF(ISNUMBER(SEARCH(Form!$C$11,Tabel2[[#This Row],[Coordinate Projection System]])),MAX($B$1:B824)+1,0)</f>
        <v>824</v>
      </c>
      <c r="C825" t="str">
        <f t="shared" si="12"/>
        <v>Xian 1980 / Gauss-Kruger zone 19</v>
      </c>
    </row>
    <row r="826" spans="1:3" x14ac:dyDescent="0.3">
      <c r="A826" t="s">
        <v>884</v>
      </c>
      <c r="B826">
        <f>IF(ISNUMBER(SEARCH(Form!$C$11,Tabel2[[#This Row],[Coordinate Projection System]])),MAX($B$1:B825)+1,0)</f>
        <v>825</v>
      </c>
      <c r="C826" t="str">
        <f t="shared" si="12"/>
        <v>Xian 1980 / Gauss-Kruger zone 20</v>
      </c>
    </row>
    <row r="827" spans="1:3" x14ac:dyDescent="0.3">
      <c r="A827" t="s">
        <v>885</v>
      </c>
      <c r="B827">
        <f>IF(ISNUMBER(SEARCH(Form!$C$11,Tabel2[[#This Row],[Coordinate Projection System]])),MAX($B$1:B826)+1,0)</f>
        <v>826</v>
      </c>
      <c r="C827" t="str">
        <f t="shared" si="12"/>
        <v>Xian 1980 / Gauss-Kruger zone 21</v>
      </c>
    </row>
    <row r="828" spans="1:3" x14ac:dyDescent="0.3">
      <c r="A828" t="s">
        <v>886</v>
      </c>
      <c r="B828">
        <f>IF(ISNUMBER(SEARCH(Form!$C$11,Tabel2[[#This Row],[Coordinate Projection System]])),MAX($B$1:B827)+1,0)</f>
        <v>827</v>
      </c>
      <c r="C828" t="str">
        <f t="shared" si="12"/>
        <v>Xian 1980 / Gauss-Kruger zone 22</v>
      </c>
    </row>
    <row r="829" spans="1:3" x14ac:dyDescent="0.3">
      <c r="A829" t="s">
        <v>887</v>
      </c>
      <c r="B829">
        <f>IF(ISNUMBER(SEARCH(Form!$C$11,Tabel2[[#This Row],[Coordinate Projection System]])),MAX($B$1:B828)+1,0)</f>
        <v>828</v>
      </c>
      <c r="C829" t="str">
        <f t="shared" si="12"/>
        <v>Xian 1980 / Gauss-Kruger zone 23</v>
      </c>
    </row>
    <row r="830" spans="1:3" x14ac:dyDescent="0.3">
      <c r="A830" t="s">
        <v>888</v>
      </c>
      <c r="B830">
        <f>IF(ISNUMBER(SEARCH(Form!$C$11,Tabel2[[#This Row],[Coordinate Projection System]])),MAX($B$1:B829)+1,0)</f>
        <v>829</v>
      </c>
      <c r="C830" t="str">
        <f t="shared" si="12"/>
        <v>Xian 1980 / Gauss-Kruger CM 75E</v>
      </c>
    </row>
    <row r="831" spans="1:3" x14ac:dyDescent="0.3">
      <c r="A831" t="s">
        <v>889</v>
      </c>
      <c r="B831">
        <f>IF(ISNUMBER(SEARCH(Form!$C$11,Tabel2[[#This Row],[Coordinate Projection System]])),MAX($B$1:B830)+1,0)</f>
        <v>830</v>
      </c>
      <c r="C831" t="str">
        <f t="shared" si="12"/>
        <v>Xian 1980 / Gauss-Kruger CM 81E</v>
      </c>
    </row>
    <row r="832" spans="1:3" x14ac:dyDescent="0.3">
      <c r="A832" t="s">
        <v>890</v>
      </c>
      <c r="B832">
        <f>IF(ISNUMBER(SEARCH(Form!$C$11,Tabel2[[#This Row],[Coordinate Projection System]])),MAX($B$1:B831)+1,0)</f>
        <v>831</v>
      </c>
      <c r="C832" t="str">
        <f t="shared" si="12"/>
        <v>Xian 1980 / Gauss-Kruger CM 87E</v>
      </c>
    </row>
    <row r="833" spans="1:3" x14ac:dyDescent="0.3">
      <c r="A833" t="s">
        <v>891</v>
      </c>
      <c r="B833">
        <f>IF(ISNUMBER(SEARCH(Form!$C$11,Tabel2[[#This Row],[Coordinate Projection System]])),MAX($B$1:B832)+1,0)</f>
        <v>832</v>
      </c>
      <c r="C833" t="str">
        <f t="shared" si="12"/>
        <v>Xian 1980 / Gauss-Kruger CM 93E</v>
      </c>
    </row>
    <row r="834" spans="1:3" x14ac:dyDescent="0.3">
      <c r="A834" t="s">
        <v>892</v>
      </c>
      <c r="B834">
        <f>IF(ISNUMBER(SEARCH(Form!$C$11,Tabel2[[#This Row],[Coordinate Projection System]])),MAX($B$1:B833)+1,0)</f>
        <v>833</v>
      </c>
      <c r="C834" t="str">
        <f t="shared" si="12"/>
        <v>Xian 1980 / Gauss-Kruger CM 99E</v>
      </c>
    </row>
    <row r="835" spans="1:3" x14ac:dyDescent="0.3">
      <c r="A835" t="s">
        <v>893</v>
      </c>
      <c r="B835">
        <f>IF(ISNUMBER(SEARCH(Form!$C$11,Tabel2[[#This Row],[Coordinate Projection System]])),MAX($B$1:B834)+1,0)</f>
        <v>834</v>
      </c>
      <c r="C835" t="str">
        <f t="shared" ref="C835:C898" si="13">_xlfn.IFNA(INDEX(A835:A6346,MATCH(ROW(C834),B835:B6346,0)),"")</f>
        <v>Xian 1980 / Gauss-Kruger CM 105E</v>
      </c>
    </row>
    <row r="836" spans="1:3" x14ac:dyDescent="0.3">
      <c r="A836" t="s">
        <v>894</v>
      </c>
      <c r="B836">
        <f>IF(ISNUMBER(SEARCH(Form!$C$11,Tabel2[[#This Row],[Coordinate Projection System]])),MAX($B$1:B835)+1,0)</f>
        <v>835</v>
      </c>
      <c r="C836" t="str">
        <f t="shared" si="13"/>
        <v>Xian 1980 / Gauss-Kruger CM 111E</v>
      </c>
    </row>
    <row r="837" spans="1:3" x14ac:dyDescent="0.3">
      <c r="A837" t="s">
        <v>895</v>
      </c>
      <c r="B837">
        <f>IF(ISNUMBER(SEARCH(Form!$C$11,Tabel2[[#This Row],[Coordinate Projection System]])),MAX($B$1:B836)+1,0)</f>
        <v>836</v>
      </c>
      <c r="C837" t="str">
        <f t="shared" si="13"/>
        <v>Xian 1980 / Gauss-Kruger CM 117E</v>
      </c>
    </row>
    <row r="838" spans="1:3" x14ac:dyDescent="0.3">
      <c r="A838" t="s">
        <v>896</v>
      </c>
      <c r="B838">
        <f>IF(ISNUMBER(SEARCH(Form!$C$11,Tabel2[[#This Row],[Coordinate Projection System]])),MAX($B$1:B837)+1,0)</f>
        <v>837</v>
      </c>
      <c r="C838" t="str">
        <f t="shared" si="13"/>
        <v>Xian 1980 / Gauss-Kruger CM 123E</v>
      </c>
    </row>
    <row r="839" spans="1:3" x14ac:dyDescent="0.3">
      <c r="A839" t="s">
        <v>897</v>
      </c>
      <c r="B839">
        <f>IF(ISNUMBER(SEARCH(Form!$C$11,Tabel2[[#This Row],[Coordinate Projection System]])),MAX($B$1:B838)+1,0)</f>
        <v>838</v>
      </c>
      <c r="C839" t="str">
        <f t="shared" si="13"/>
        <v>Xian 1980 / Gauss-Kruger CM 129E</v>
      </c>
    </row>
    <row r="840" spans="1:3" x14ac:dyDescent="0.3">
      <c r="A840" t="s">
        <v>898</v>
      </c>
      <c r="B840">
        <f>IF(ISNUMBER(SEARCH(Form!$C$11,Tabel2[[#This Row],[Coordinate Projection System]])),MAX($B$1:B839)+1,0)</f>
        <v>839</v>
      </c>
      <c r="C840" t="str">
        <f t="shared" si="13"/>
        <v>Xian 1980 / Gauss-Kruger CM 135E</v>
      </c>
    </row>
    <row r="841" spans="1:3" x14ac:dyDescent="0.3">
      <c r="A841" t="s">
        <v>899</v>
      </c>
      <c r="B841">
        <f>IF(ISNUMBER(SEARCH(Form!$C$11,Tabel2[[#This Row],[Coordinate Projection System]])),MAX($B$1:B840)+1,0)</f>
        <v>840</v>
      </c>
      <c r="C841" t="str">
        <f t="shared" si="13"/>
        <v>Xian 1980 / 3-degree Gauss-Kruger zone 25</v>
      </c>
    </row>
    <row r="842" spans="1:3" x14ac:dyDescent="0.3">
      <c r="A842" t="s">
        <v>900</v>
      </c>
      <c r="B842">
        <f>IF(ISNUMBER(SEARCH(Form!$C$11,Tabel2[[#This Row],[Coordinate Projection System]])),MAX($B$1:B841)+1,0)</f>
        <v>841</v>
      </c>
      <c r="C842" t="str">
        <f t="shared" si="13"/>
        <v>Xian 1980 / 3-degree Gauss-Kruger zone 26</v>
      </c>
    </row>
    <row r="843" spans="1:3" x14ac:dyDescent="0.3">
      <c r="A843" t="s">
        <v>901</v>
      </c>
      <c r="B843">
        <f>IF(ISNUMBER(SEARCH(Form!$C$11,Tabel2[[#This Row],[Coordinate Projection System]])),MAX($B$1:B842)+1,0)</f>
        <v>842</v>
      </c>
      <c r="C843" t="str">
        <f t="shared" si="13"/>
        <v>Xian 1980 / 3-degree Gauss-Kruger zone 27</v>
      </c>
    </row>
    <row r="844" spans="1:3" x14ac:dyDescent="0.3">
      <c r="A844" t="s">
        <v>902</v>
      </c>
      <c r="B844">
        <f>IF(ISNUMBER(SEARCH(Form!$C$11,Tabel2[[#This Row],[Coordinate Projection System]])),MAX($B$1:B843)+1,0)</f>
        <v>843</v>
      </c>
      <c r="C844" t="str">
        <f t="shared" si="13"/>
        <v>Xian 1980 / 3-degree Gauss-Kruger zone 28</v>
      </c>
    </row>
    <row r="845" spans="1:3" x14ac:dyDescent="0.3">
      <c r="A845" t="s">
        <v>903</v>
      </c>
      <c r="B845">
        <f>IF(ISNUMBER(SEARCH(Form!$C$11,Tabel2[[#This Row],[Coordinate Projection System]])),MAX($B$1:B844)+1,0)</f>
        <v>844</v>
      </c>
      <c r="C845" t="str">
        <f t="shared" si="13"/>
        <v>Xian 1980 / 3-degree Gauss-Kruger zone 29</v>
      </c>
    </row>
    <row r="846" spans="1:3" x14ac:dyDescent="0.3">
      <c r="A846" t="s">
        <v>904</v>
      </c>
      <c r="B846">
        <f>IF(ISNUMBER(SEARCH(Form!$C$11,Tabel2[[#This Row],[Coordinate Projection System]])),MAX($B$1:B845)+1,0)</f>
        <v>845</v>
      </c>
      <c r="C846" t="str">
        <f t="shared" si="13"/>
        <v>Xian 1980 / 3-degree Gauss-Kruger zone 30</v>
      </c>
    </row>
    <row r="847" spans="1:3" x14ac:dyDescent="0.3">
      <c r="A847" t="s">
        <v>905</v>
      </c>
      <c r="B847">
        <f>IF(ISNUMBER(SEARCH(Form!$C$11,Tabel2[[#This Row],[Coordinate Projection System]])),MAX($B$1:B846)+1,0)</f>
        <v>846</v>
      </c>
      <c r="C847" t="str">
        <f t="shared" si="13"/>
        <v>Xian 1980 / 3-degree Gauss-Kruger zone 31</v>
      </c>
    </row>
    <row r="848" spans="1:3" x14ac:dyDescent="0.3">
      <c r="A848" t="s">
        <v>906</v>
      </c>
      <c r="B848">
        <f>IF(ISNUMBER(SEARCH(Form!$C$11,Tabel2[[#This Row],[Coordinate Projection System]])),MAX($B$1:B847)+1,0)</f>
        <v>847</v>
      </c>
      <c r="C848" t="str">
        <f t="shared" si="13"/>
        <v>Xian 1980 / 3-degree Gauss-Kruger zone 32</v>
      </c>
    </row>
    <row r="849" spans="1:3" x14ac:dyDescent="0.3">
      <c r="A849" t="s">
        <v>907</v>
      </c>
      <c r="B849">
        <f>IF(ISNUMBER(SEARCH(Form!$C$11,Tabel2[[#This Row],[Coordinate Projection System]])),MAX($B$1:B848)+1,0)</f>
        <v>848</v>
      </c>
      <c r="C849" t="str">
        <f t="shared" si="13"/>
        <v>Xian 1980 / 3-degree Gauss-Kruger zone 33</v>
      </c>
    </row>
    <row r="850" spans="1:3" x14ac:dyDescent="0.3">
      <c r="A850" t="s">
        <v>908</v>
      </c>
      <c r="B850">
        <f>IF(ISNUMBER(SEARCH(Form!$C$11,Tabel2[[#This Row],[Coordinate Projection System]])),MAX($B$1:B849)+1,0)</f>
        <v>849</v>
      </c>
      <c r="C850" t="str">
        <f t="shared" si="13"/>
        <v>Xian 1980 / 3-degree Gauss-Kruger zone 34</v>
      </c>
    </row>
    <row r="851" spans="1:3" x14ac:dyDescent="0.3">
      <c r="A851" t="s">
        <v>909</v>
      </c>
      <c r="B851">
        <f>IF(ISNUMBER(SEARCH(Form!$C$11,Tabel2[[#This Row],[Coordinate Projection System]])),MAX($B$1:B850)+1,0)</f>
        <v>850</v>
      </c>
      <c r="C851" t="str">
        <f t="shared" si="13"/>
        <v>Xian 1980 / 3-degree Gauss-Kruger zone 35</v>
      </c>
    </row>
    <row r="852" spans="1:3" x14ac:dyDescent="0.3">
      <c r="A852" t="s">
        <v>910</v>
      </c>
      <c r="B852">
        <f>IF(ISNUMBER(SEARCH(Form!$C$11,Tabel2[[#This Row],[Coordinate Projection System]])),MAX($B$1:B851)+1,0)</f>
        <v>851</v>
      </c>
      <c r="C852" t="str">
        <f t="shared" si="13"/>
        <v>Xian 1980 / 3-degree Gauss-Kruger zone 36</v>
      </c>
    </row>
    <row r="853" spans="1:3" x14ac:dyDescent="0.3">
      <c r="A853" t="s">
        <v>911</v>
      </c>
      <c r="B853">
        <f>IF(ISNUMBER(SEARCH(Form!$C$11,Tabel2[[#This Row],[Coordinate Projection System]])),MAX($B$1:B852)+1,0)</f>
        <v>852</v>
      </c>
      <c r="C853" t="str">
        <f t="shared" si="13"/>
        <v>Xian 1980 / 3-degree Gauss-Kruger zone 37</v>
      </c>
    </row>
    <row r="854" spans="1:3" x14ac:dyDescent="0.3">
      <c r="A854" t="s">
        <v>912</v>
      </c>
      <c r="B854">
        <f>IF(ISNUMBER(SEARCH(Form!$C$11,Tabel2[[#This Row],[Coordinate Projection System]])),MAX($B$1:B853)+1,0)</f>
        <v>853</v>
      </c>
      <c r="C854" t="str">
        <f t="shared" si="13"/>
        <v>Xian 1980 / 3-degree Gauss-Kruger zone 38</v>
      </c>
    </row>
    <row r="855" spans="1:3" x14ac:dyDescent="0.3">
      <c r="A855" t="s">
        <v>913</v>
      </c>
      <c r="B855">
        <f>IF(ISNUMBER(SEARCH(Form!$C$11,Tabel2[[#This Row],[Coordinate Projection System]])),MAX($B$1:B854)+1,0)</f>
        <v>854</v>
      </c>
      <c r="C855" t="str">
        <f t="shared" si="13"/>
        <v>Xian 1980 / 3-degree Gauss-Kruger zone 39</v>
      </c>
    </row>
    <row r="856" spans="1:3" x14ac:dyDescent="0.3">
      <c r="A856" t="s">
        <v>914</v>
      </c>
      <c r="B856">
        <f>IF(ISNUMBER(SEARCH(Form!$C$11,Tabel2[[#This Row],[Coordinate Projection System]])),MAX($B$1:B855)+1,0)</f>
        <v>855</v>
      </c>
      <c r="C856" t="str">
        <f t="shared" si="13"/>
        <v>Xian 1980 / 3-degree Gauss-Kruger zone 40</v>
      </c>
    </row>
    <row r="857" spans="1:3" x14ac:dyDescent="0.3">
      <c r="A857" t="s">
        <v>915</v>
      </c>
      <c r="B857">
        <f>IF(ISNUMBER(SEARCH(Form!$C$11,Tabel2[[#This Row],[Coordinate Projection System]])),MAX($B$1:B856)+1,0)</f>
        <v>856</v>
      </c>
      <c r="C857" t="str">
        <f t="shared" si="13"/>
        <v>Xian 1980 / 3-degree Gauss-Kruger zone 41</v>
      </c>
    </row>
    <row r="858" spans="1:3" x14ac:dyDescent="0.3">
      <c r="A858" t="s">
        <v>916</v>
      </c>
      <c r="B858">
        <f>IF(ISNUMBER(SEARCH(Form!$C$11,Tabel2[[#This Row],[Coordinate Projection System]])),MAX($B$1:B857)+1,0)</f>
        <v>857</v>
      </c>
      <c r="C858" t="str">
        <f t="shared" si="13"/>
        <v>Xian 1980 / 3-degree Gauss-Kruger zone 42</v>
      </c>
    </row>
    <row r="859" spans="1:3" x14ac:dyDescent="0.3">
      <c r="A859" t="s">
        <v>917</v>
      </c>
      <c r="B859">
        <f>IF(ISNUMBER(SEARCH(Form!$C$11,Tabel2[[#This Row],[Coordinate Projection System]])),MAX($B$1:B858)+1,0)</f>
        <v>858</v>
      </c>
      <c r="C859" t="str">
        <f t="shared" si="13"/>
        <v>Xian 1980 / 3-degree Gauss-Kruger zone 43</v>
      </c>
    </row>
    <row r="860" spans="1:3" x14ac:dyDescent="0.3">
      <c r="A860" t="s">
        <v>918</v>
      </c>
      <c r="B860">
        <f>IF(ISNUMBER(SEARCH(Form!$C$11,Tabel2[[#This Row],[Coordinate Projection System]])),MAX($B$1:B859)+1,0)</f>
        <v>859</v>
      </c>
      <c r="C860" t="str">
        <f t="shared" si="13"/>
        <v>Xian 1980 / 3-degree Gauss-Kruger zone 44</v>
      </c>
    </row>
    <row r="861" spans="1:3" x14ac:dyDescent="0.3">
      <c r="A861" t="s">
        <v>919</v>
      </c>
      <c r="B861">
        <f>IF(ISNUMBER(SEARCH(Form!$C$11,Tabel2[[#This Row],[Coordinate Projection System]])),MAX($B$1:B860)+1,0)</f>
        <v>860</v>
      </c>
      <c r="C861" t="str">
        <f t="shared" si="13"/>
        <v>Xian 1980 / 3-degree Gauss-Kruger zone 45</v>
      </c>
    </row>
    <row r="862" spans="1:3" x14ac:dyDescent="0.3">
      <c r="A862" t="s">
        <v>920</v>
      </c>
      <c r="B862">
        <f>IF(ISNUMBER(SEARCH(Form!$C$11,Tabel2[[#This Row],[Coordinate Projection System]])),MAX($B$1:B861)+1,0)</f>
        <v>861</v>
      </c>
      <c r="C862" t="str">
        <f t="shared" si="13"/>
        <v>Xian 1980 / 3-degree Gauss-Kruger CM 75E</v>
      </c>
    </row>
    <row r="863" spans="1:3" x14ac:dyDescent="0.3">
      <c r="A863" t="s">
        <v>921</v>
      </c>
      <c r="B863">
        <f>IF(ISNUMBER(SEARCH(Form!$C$11,Tabel2[[#This Row],[Coordinate Projection System]])),MAX($B$1:B862)+1,0)</f>
        <v>862</v>
      </c>
      <c r="C863" t="str">
        <f t="shared" si="13"/>
        <v>Xian 1980 / 3-degree Gauss-Kruger CM 78E</v>
      </c>
    </row>
    <row r="864" spans="1:3" x14ac:dyDescent="0.3">
      <c r="A864" t="s">
        <v>922</v>
      </c>
      <c r="B864">
        <f>IF(ISNUMBER(SEARCH(Form!$C$11,Tabel2[[#This Row],[Coordinate Projection System]])),MAX($B$1:B863)+1,0)</f>
        <v>863</v>
      </c>
      <c r="C864" t="str">
        <f t="shared" si="13"/>
        <v>Xian 1980 / 3-degree Gauss-Kruger CM 81E</v>
      </c>
    </row>
    <row r="865" spans="1:3" x14ac:dyDescent="0.3">
      <c r="A865" t="s">
        <v>923</v>
      </c>
      <c r="B865">
        <f>IF(ISNUMBER(SEARCH(Form!$C$11,Tabel2[[#This Row],[Coordinate Projection System]])),MAX($B$1:B864)+1,0)</f>
        <v>864</v>
      </c>
      <c r="C865" t="str">
        <f t="shared" si="13"/>
        <v>Xian 1980 / 3-degree Gauss-Kruger CM 84E</v>
      </c>
    </row>
    <row r="866" spans="1:3" x14ac:dyDescent="0.3">
      <c r="A866" t="s">
        <v>924</v>
      </c>
      <c r="B866">
        <f>IF(ISNUMBER(SEARCH(Form!$C$11,Tabel2[[#This Row],[Coordinate Projection System]])),MAX($B$1:B865)+1,0)</f>
        <v>865</v>
      </c>
      <c r="C866" t="str">
        <f t="shared" si="13"/>
        <v>Xian 1980 / 3-degree Gauss-Kruger CM 87E</v>
      </c>
    </row>
    <row r="867" spans="1:3" x14ac:dyDescent="0.3">
      <c r="A867" t="s">
        <v>925</v>
      </c>
      <c r="B867">
        <f>IF(ISNUMBER(SEARCH(Form!$C$11,Tabel2[[#This Row],[Coordinate Projection System]])),MAX($B$1:B866)+1,0)</f>
        <v>866</v>
      </c>
      <c r="C867" t="str">
        <f t="shared" si="13"/>
        <v>Xian 1980 / 3-degree Gauss-Kruger CM 90E</v>
      </c>
    </row>
    <row r="868" spans="1:3" x14ac:dyDescent="0.3">
      <c r="A868" t="s">
        <v>926</v>
      </c>
      <c r="B868">
        <f>IF(ISNUMBER(SEARCH(Form!$C$11,Tabel2[[#This Row],[Coordinate Projection System]])),MAX($B$1:B867)+1,0)</f>
        <v>867</v>
      </c>
      <c r="C868" t="str">
        <f t="shared" si="13"/>
        <v>Xian 1980 / 3-degree Gauss-Kruger CM 93E</v>
      </c>
    </row>
    <row r="869" spans="1:3" x14ac:dyDescent="0.3">
      <c r="A869" t="s">
        <v>927</v>
      </c>
      <c r="B869">
        <f>IF(ISNUMBER(SEARCH(Form!$C$11,Tabel2[[#This Row],[Coordinate Projection System]])),MAX($B$1:B868)+1,0)</f>
        <v>868</v>
      </c>
      <c r="C869" t="str">
        <f t="shared" si="13"/>
        <v>Xian 1980 / 3-degree Gauss-Kruger CM 96E</v>
      </c>
    </row>
    <row r="870" spans="1:3" x14ac:dyDescent="0.3">
      <c r="A870" t="s">
        <v>928</v>
      </c>
      <c r="B870">
        <f>IF(ISNUMBER(SEARCH(Form!$C$11,Tabel2[[#This Row],[Coordinate Projection System]])),MAX($B$1:B869)+1,0)</f>
        <v>869</v>
      </c>
      <c r="C870" t="str">
        <f t="shared" si="13"/>
        <v>Xian 1980 / 3-degree Gauss-Kruger CM 99E</v>
      </c>
    </row>
    <row r="871" spans="1:3" x14ac:dyDescent="0.3">
      <c r="A871" t="s">
        <v>929</v>
      </c>
      <c r="B871">
        <f>IF(ISNUMBER(SEARCH(Form!$C$11,Tabel2[[#This Row],[Coordinate Projection System]])),MAX($B$1:B870)+1,0)</f>
        <v>870</v>
      </c>
      <c r="C871" t="str">
        <f t="shared" si="13"/>
        <v>Xian 1980 / 3-degree Gauss-Kruger CM 102E</v>
      </c>
    </row>
    <row r="872" spans="1:3" x14ac:dyDescent="0.3">
      <c r="A872" t="s">
        <v>930</v>
      </c>
      <c r="B872">
        <f>IF(ISNUMBER(SEARCH(Form!$C$11,Tabel2[[#This Row],[Coordinate Projection System]])),MAX($B$1:B871)+1,0)</f>
        <v>871</v>
      </c>
      <c r="C872" t="str">
        <f t="shared" si="13"/>
        <v>Xian 1980 / 3-degree Gauss-Kruger CM 105E</v>
      </c>
    </row>
    <row r="873" spans="1:3" x14ac:dyDescent="0.3">
      <c r="A873" t="s">
        <v>931</v>
      </c>
      <c r="B873">
        <f>IF(ISNUMBER(SEARCH(Form!$C$11,Tabel2[[#This Row],[Coordinate Projection System]])),MAX($B$1:B872)+1,0)</f>
        <v>872</v>
      </c>
      <c r="C873" t="str">
        <f t="shared" si="13"/>
        <v>Xian 1980 / 3-degree Gauss-Kruger CM 108E</v>
      </c>
    </row>
    <row r="874" spans="1:3" x14ac:dyDescent="0.3">
      <c r="A874" t="s">
        <v>932</v>
      </c>
      <c r="B874">
        <f>IF(ISNUMBER(SEARCH(Form!$C$11,Tabel2[[#This Row],[Coordinate Projection System]])),MAX($B$1:B873)+1,0)</f>
        <v>873</v>
      </c>
      <c r="C874" t="str">
        <f t="shared" si="13"/>
        <v>Xian 1980 / 3-degree Gauss-Kruger CM 111E</v>
      </c>
    </row>
    <row r="875" spans="1:3" x14ac:dyDescent="0.3">
      <c r="A875" t="s">
        <v>933</v>
      </c>
      <c r="B875">
        <f>IF(ISNUMBER(SEARCH(Form!$C$11,Tabel2[[#This Row],[Coordinate Projection System]])),MAX($B$1:B874)+1,0)</f>
        <v>874</v>
      </c>
      <c r="C875" t="str">
        <f t="shared" si="13"/>
        <v>Xian 1980 / 3-degree Gauss-Kruger CM 114E</v>
      </c>
    </row>
    <row r="876" spans="1:3" x14ac:dyDescent="0.3">
      <c r="A876" t="s">
        <v>934</v>
      </c>
      <c r="B876">
        <f>IF(ISNUMBER(SEARCH(Form!$C$11,Tabel2[[#This Row],[Coordinate Projection System]])),MAX($B$1:B875)+1,0)</f>
        <v>875</v>
      </c>
      <c r="C876" t="str">
        <f t="shared" si="13"/>
        <v>Xian 1980 / 3-degree Gauss-Kruger CM 117E</v>
      </c>
    </row>
    <row r="877" spans="1:3" x14ac:dyDescent="0.3">
      <c r="A877" t="s">
        <v>935</v>
      </c>
      <c r="B877">
        <f>IF(ISNUMBER(SEARCH(Form!$C$11,Tabel2[[#This Row],[Coordinate Projection System]])),MAX($B$1:B876)+1,0)</f>
        <v>876</v>
      </c>
      <c r="C877" t="str">
        <f t="shared" si="13"/>
        <v>Xian 1980 / 3-degree Gauss-Kruger CM 120E</v>
      </c>
    </row>
    <row r="878" spans="1:3" x14ac:dyDescent="0.3">
      <c r="A878" t="s">
        <v>936</v>
      </c>
      <c r="B878">
        <f>IF(ISNUMBER(SEARCH(Form!$C$11,Tabel2[[#This Row],[Coordinate Projection System]])),MAX($B$1:B877)+1,0)</f>
        <v>877</v>
      </c>
      <c r="C878" t="str">
        <f t="shared" si="13"/>
        <v>Xian 1980 / 3-degree Gauss-Kruger CM 123E</v>
      </c>
    </row>
    <row r="879" spans="1:3" x14ac:dyDescent="0.3">
      <c r="A879" t="s">
        <v>937</v>
      </c>
      <c r="B879">
        <f>IF(ISNUMBER(SEARCH(Form!$C$11,Tabel2[[#This Row],[Coordinate Projection System]])),MAX($B$1:B878)+1,0)</f>
        <v>878</v>
      </c>
      <c r="C879" t="str">
        <f t="shared" si="13"/>
        <v>Xian 1980 / 3-degree Gauss-Kruger CM 126E</v>
      </c>
    </row>
    <row r="880" spans="1:3" x14ac:dyDescent="0.3">
      <c r="A880" t="s">
        <v>938</v>
      </c>
      <c r="B880">
        <f>IF(ISNUMBER(SEARCH(Form!$C$11,Tabel2[[#This Row],[Coordinate Projection System]])),MAX($B$1:B879)+1,0)</f>
        <v>879</v>
      </c>
      <c r="C880" t="str">
        <f t="shared" si="13"/>
        <v>Xian 1980 / 3-degree Gauss-Kruger CM 129E</v>
      </c>
    </row>
    <row r="881" spans="1:3" x14ac:dyDescent="0.3">
      <c r="A881" t="s">
        <v>939</v>
      </c>
      <c r="B881">
        <f>IF(ISNUMBER(SEARCH(Form!$C$11,Tabel2[[#This Row],[Coordinate Projection System]])),MAX($B$1:B880)+1,0)</f>
        <v>880</v>
      </c>
      <c r="C881" t="str">
        <f t="shared" si="13"/>
        <v>Xian 1980 / 3-degree Gauss-Kruger CM 132E</v>
      </c>
    </row>
    <row r="882" spans="1:3" x14ac:dyDescent="0.3">
      <c r="A882" t="s">
        <v>940</v>
      </c>
      <c r="B882">
        <f>IF(ISNUMBER(SEARCH(Form!$C$11,Tabel2[[#This Row],[Coordinate Projection System]])),MAX($B$1:B881)+1,0)</f>
        <v>881</v>
      </c>
      <c r="C882" t="str">
        <f t="shared" si="13"/>
        <v>Xian 1980 / 3-degree Gauss-Kruger CM 135E</v>
      </c>
    </row>
    <row r="883" spans="1:3" x14ac:dyDescent="0.3">
      <c r="A883" t="s">
        <v>941</v>
      </c>
      <c r="B883">
        <f>IF(ISNUMBER(SEARCH(Form!$C$11,Tabel2[[#This Row],[Coordinate Projection System]])),MAX($B$1:B882)+1,0)</f>
        <v>882</v>
      </c>
      <c r="C883" t="str">
        <f t="shared" si="13"/>
        <v>KKJ / Finland zone 1</v>
      </c>
    </row>
    <row r="884" spans="1:3" x14ac:dyDescent="0.3">
      <c r="A884" t="s">
        <v>942</v>
      </c>
      <c r="B884">
        <f>IF(ISNUMBER(SEARCH(Form!$C$11,Tabel2[[#This Row],[Coordinate Projection System]])),MAX($B$1:B883)+1,0)</f>
        <v>883</v>
      </c>
      <c r="C884" t="str">
        <f t="shared" si="13"/>
        <v>KKJ / Finland zone 2</v>
      </c>
    </row>
    <row r="885" spans="1:3" x14ac:dyDescent="0.3">
      <c r="A885" t="s">
        <v>943</v>
      </c>
      <c r="B885">
        <f>IF(ISNUMBER(SEARCH(Form!$C$11,Tabel2[[#This Row],[Coordinate Projection System]])),MAX($B$1:B884)+1,0)</f>
        <v>884</v>
      </c>
      <c r="C885" t="str">
        <f t="shared" si="13"/>
        <v>KKJ / Finland Uniform Coordinate System</v>
      </c>
    </row>
    <row r="886" spans="1:3" x14ac:dyDescent="0.3">
      <c r="A886" t="s">
        <v>944</v>
      </c>
      <c r="B886">
        <f>IF(ISNUMBER(SEARCH(Form!$C$11,Tabel2[[#This Row],[Coordinate Projection System]])),MAX($B$1:B885)+1,0)</f>
        <v>885</v>
      </c>
      <c r="C886" t="str">
        <f t="shared" si="13"/>
        <v>KKJ / Finland zone 4</v>
      </c>
    </row>
    <row r="887" spans="1:3" x14ac:dyDescent="0.3">
      <c r="A887" t="s">
        <v>945</v>
      </c>
      <c r="B887">
        <f>IF(ISNUMBER(SEARCH(Form!$C$11,Tabel2[[#This Row],[Coordinate Projection System]])),MAX($B$1:B886)+1,0)</f>
        <v>886</v>
      </c>
      <c r="C887" t="str">
        <f t="shared" si="13"/>
        <v>South Yemen / Gauss-Kruger zone 8</v>
      </c>
    </row>
    <row r="888" spans="1:3" x14ac:dyDescent="0.3">
      <c r="A888" t="s">
        <v>946</v>
      </c>
      <c r="B888">
        <f>IF(ISNUMBER(SEARCH(Form!$C$11,Tabel2[[#This Row],[Coordinate Projection System]])),MAX($B$1:B887)+1,0)</f>
        <v>887</v>
      </c>
      <c r="C888" t="str">
        <f t="shared" si="13"/>
        <v>South Yemen / Gauss-Kruger zone 9</v>
      </c>
    </row>
    <row r="889" spans="1:3" x14ac:dyDescent="0.3">
      <c r="A889" t="s">
        <v>947</v>
      </c>
      <c r="B889">
        <f>IF(ISNUMBER(SEARCH(Form!$C$11,Tabel2[[#This Row],[Coordinate Projection System]])),MAX($B$1:B888)+1,0)</f>
        <v>888</v>
      </c>
      <c r="C889" t="str">
        <f t="shared" si="13"/>
        <v>Pulkovo 1942(83) / 3-degree Gauss-Kruger zone 3</v>
      </c>
    </row>
    <row r="890" spans="1:3" x14ac:dyDescent="0.3">
      <c r="A890" t="s">
        <v>948</v>
      </c>
      <c r="B890">
        <f>IF(ISNUMBER(SEARCH(Form!$C$11,Tabel2[[#This Row],[Coordinate Projection System]])),MAX($B$1:B889)+1,0)</f>
        <v>889</v>
      </c>
      <c r="C890" t="str">
        <f t="shared" si="13"/>
        <v>Pulkovo 1942(83) / 3-degree Gauss-Kruger zone 4</v>
      </c>
    </row>
    <row r="891" spans="1:3" x14ac:dyDescent="0.3">
      <c r="A891" t="s">
        <v>949</v>
      </c>
      <c r="B891">
        <f>IF(ISNUMBER(SEARCH(Form!$C$11,Tabel2[[#This Row],[Coordinate Projection System]])),MAX($B$1:B890)+1,0)</f>
        <v>890</v>
      </c>
      <c r="C891" t="str">
        <f t="shared" si="13"/>
        <v>Pulkovo 1942(83) / 3-degree Gauss-Kruger zone 5</v>
      </c>
    </row>
    <row r="892" spans="1:3" x14ac:dyDescent="0.3">
      <c r="A892" t="s">
        <v>950</v>
      </c>
      <c r="B892">
        <f>IF(ISNUMBER(SEARCH(Form!$C$11,Tabel2[[#This Row],[Coordinate Projection System]])),MAX($B$1:B891)+1,0)</f>
        <v>891</v>
      </c>
      <c r="C892" t="str">
        <f t="shared" si="13"/>
        <v>RT90 2.5 gon W (deprecated)</v>
      </c>
    </row>
    <row r="893" spans="1:3" x14ac:dyDescent="0.3">
      <c r="A893" t="s">
        <v>951</v>
      </c>
      <c r="B893">
        <f>IF(ISNUMBER(SEARCH(Form!$C$11,Tabel2[[#This Row],[Coordinate Projection System]])),MAX($B$1:B892)+1,0)</f>
        <v>892</v>
      </c>
      <c r="C893" t="str">
        <f t="shared" si="13"/>
        <v>Beijing 1954 / 3-degree Gauss-Kruger zone 25</v>
      </c>
    </row>
    <row r="894" spans="1:3" x14ac:dyDescent="0.3">
      <c r="A894" t="s">
        <v>952</v>
      </c>
      <c r="B894">
        <f>IF(ISNUMBER(SEARCH(Form!$C$11,Tabel2[[#This Row],[Coordinate Projection System]])),MAX($B$1:B893)+1,0)</f>
        <v>893</v>
      </c>
      <c r="C894" t="str">
        <f t="shared" si="13"/>
        <v>Beijing 1954 / 3-degree Gauss-Kruger zone 26</v>
      </c>
    </row>
    <row r="895" spans="1:3" x14ac:dyDescent="0.3">
      <c r="A895" t="s">
        <v>953</v>
      </c>
      <c r="B895">
        <f>IF(ISNUMBER(SEARCH(Form!$C$11,Tabel2[[#This Row],[Coordinate Projection System]])),MAX($B$1:B894)+1,0)</f>
        <v>894</v>
      </c>
      <c r="C895" t="str">
        <f t="shared" si="13"/>
        <v>Beijing 1954 / 3-degree Gauss-Kruger zone 27</v>
      </c>
    </row>
    <row r="896" spans="1:3" x14ac:dyDescent="0.3">
      <c r="A896" t="s">
        <v>954</v>
      </c>
      <c r="B896">
        <f>IF(ISNUMBER(SEARCH(Form!$C$11,Tabel2[[#This Row],[Coordinate Projection System]])),MAX($B$1:B895)+1,0)</f>
        <v>895</v>
      </c>
      <c r="C896" t="str">
        <f t="shared" si="13"/>
        <v>Beijing 1954 / 3-degree Gauss-Kruger zone 28</v>
      </c>
    </row>
    <row r="897" spans="1:3" x14ac:dyDescent="0.3">
      <c r="A897" t="s">
        <v>955</v>
      </c>
      <c r="B897">
        <f>IF(ISNUMBER(SEARCH(Form!$C$11,Tabel2[[#This Row],[Coordinate Projection System]])),MAX($B$1:B896)+1,0)</f>
        <v>896</v>
      </c>
      <c r="C897" t="str">
        <f t="shared" si="13"/>
        <v>Beijing 1954 / 3-degree Gauss-Kruger zone 29</v>
      </c>
    </row>
    <row r="898" spans="1:3" x14ac:dyDescent="0.3">
      <c r="A898" t="s">
        <v>956</v>
      </c>
      <c r="B898">
        <f>IF(ISNUMBER(SEARCH(Form!$C$11,Tabel2[[#This Row],[Coordinate Projection System]])),MAX($B$1:B897)+1,0)</f>
        <v>897</v>
      </c>
      <c r="C898" t="str">
        <f t="shared" si="13"/>
        <v>Beijing 1954 / 3-degree Gauss-Kruger zone 30</v>
      </c>
    </row>
    <row r="899" spans="1:3" x14ac:dyDescent="0.3">
      <c r="A899" t="s">
        <v>957</v>
      </c>
      <c r="B899">
        <f>IF(ISNUMBER(SEARCH(Form!$C$11,Tabel2[[#This Row],[Coordinate Projection System]])),MAX($B$1:B898)+1,0)</f>
        <v>898</v>
      </c>
      <c r="C899" t="str">
        <f t="shared" ref="C899:C962" si="14">_xlfn.IFNA(INDEX(A899:A6410,MATCH(ROW(C898),B899:B6410,0)),"")</f>
        <v>Beijing 1954 / 3-degree Gauss-Kruger zone 31</v>
      </c>
    </row>
    <row r="900" spans="1:3" x14ac:dyDescent="0.3">
      <c r="A900" t="s">
        <v>958</v>
      </c>
      <c r="B900">
        <f>IF(ISNUMBER(SEARCH(Form!$C$11,Tabel2[[#This Row],[Coordinate Projection System]])),MAX($B$1:B899)+1,0)</f>
        <v>899</v>
      </c>
      <c r="C900" t="str">
        <f t="shared" si="14"/>
        <v>Beijing 1954 / 3-degree Gauss-Kruger zone 32</v>
      </c>
    </row>
    <row r="901" spans="1:3" x14ac:dyDescent="0.3">
      <c r="A901" t="s">
        <v>959</v>
      </c>
      <c r="B901">
        <f>IF(ISNUMBER(SEARCH(Form!$C$11,Tabel2[[#This Row],[Coordinate Projection System]])),MAX($B$1:B900)+1,0)</f>
        <v>900</v>
      </c>
      <c r="C901" t="str">
        <f t="shared" si="14"/>
        <v>Beijing 1954 / 3-degree Gauss-Kruger zone 33</v>
      </c>
    </row>
    <row r="902" spans="1:3" x14ac:dyDescent="0.3">
      <c r="A902" t="s">
        <v>960</v>
      </c>
      <c r="B902">
        <f>IF(ISNUMBER(SEARCH(Form!$C$11,Tabel2[[#This Row],[Coordinate Projection System]])),MAX($B$1:B901)+1,0)</f>
        <v>901</v>
      </c>
      <c r="C902" t="str">
        <f t="shared" si="14"/>
        <v>Beijing 1954 / 3-degree Gauss-Kruger zone 34</v>
      </c>
    </row>
    <row r="903" spans="1:3" x14ac:dyDescent="0.3">
      <c r="A903" t="s">
        <v>961</v>
      </c>
      <c r="B903">
        <f>IF(ISNUMBER(SEARCH(Form!$C$11,Tabel2[[#This Row],[Coordinate Projection System]])),MAX($B$1:B902)+1,0)</f>
        <v>902</v>
      </c>
      <c r="C903" t="str">
        <f t="shared" si="14"/>
        <v>Beijing 1954 / 3-degree Gauss-Kruger zone 35</v>
      </c>
    </row>
    <row r="904" spans="1:3" x14ac:dyDescent="0.3">
      <c r="A904" t="s">
        <v>962</v>
      </c>
      <c r="B904">
        <f>IF(ISNUMBER(SEARCH(Form!$C$11,Tabel2[[#This Row],[Coordinate Projection System]])),MAX($B$1:B903)+1,0)</f>
        <v>903</v>
      </c>
      <c r="C904" t="str">
        <f t="shared" si="14"/>
        <v>Beijing 1954 / 3-degree Gauss-Kruger zone 36</v>
      </c>
    </row>
    <row r="905" spans="1:3" x14ac:dyDescent="0.3">
      <c r="A905" t="s">
        <v>963</v>
      </c>
      <c r="B905">
        <f>IF(ISNUMBER(SEARCH(Form!$C$11,Tabel2[[#This Row],[Coordinate Projection System]])),MAX($B$1:B904)+1,0)</f>
        <v>904</v>
      </c>
      <c r="C905" t="str">
        <f t="shared" si="14"/>
        <v>Beijing 1954 / 3-degree Gauss-Kruger zone 37</v>
      </c>
    </row>
    <row r="906" spans="1:3" x14ac:dyDescent="0.3">
      <c r="A906" t="s">
        <v>964</v>
      </c>
      <c r="B906">
        <f>IF(ISNUMBER(SEARCH(Form!$C$11,Tabel2[[#This Row],[Coordinate Projection System]])),MAX($B$1:B905)+1,0)</f>
        <v>905</v>
      </c>
      <c r="C906" t="str">
        <f t="shared" si="14"/>
        <v>Beijing 1954 / 3-degree Gauss-Kruger zone 38</v>
      </c>
    </row>
    <row r="907" spans="1:3" x14ac:dyDescent="0.3">
      <c r="A907" t="s">
        <v>965</v>
      </c>
      <c r="B907">
        <f>IF(ISNUMBER(SEARCH(Form!$C$11,Tabel2[[#This Row],[Coordinate Projection System]])),MAX($B$1:B906)+1,0)</f>
        <v>906</v>
      </c>
      <c r="C907" t="str">
        <f t="shared" si="14"/>
        <v>Beijing 1954 / 3-degree Gauss-Kruger zone 39</v>
      </c>
    </row>
    <row r="908" spans="1:3" x14ac:dyDescent="0.3">
      <c r="A908" t="s">
        <v>966</v>
      </c>
      <c r="B908">
        <f>IF(ISNUMBER(SEARCH(Form!$C$11,Tabel2[[#This Row],[Coordinate Projection System]])),MAX($B$1:B907)+1,0)</f>
        <v>907</v>
      </c>
      <c r="C908" t="str">
        <f t="shared" si="14"/>
        <v>Beijing 1954 / 3-degree Gauss-Kruger zone 40</v>
      </c>
    </row>
    <row r="909" spans="1:3" x14ac:dyDescent="0.3">
      <c r="A909" t="s">
        <v>967</v>
      </c>
      <c r="B909">
        <f>IF(ISNUMBER(SEARCH(Form!$C$11,Tabel2[[#This Row],[Coordinate Projection System]])),MAX($B$1:B908)+1,0)</f>
        <v>908</v>
      </c>
      <c r="C909" t="str">
        <f t="shared" si="14"/>
        <v>Beijing 1954 / 3-degree Gauss-Kruger zone 41</v>
      </c>
    </row>
    <row r="910" spans="1:3" x14ac:dyDescent="0.3">
      <c r="A910" t="s">
        <v>968</v>
      </c>
      <c r="B910">
        <f>IF(ISNUMBER(SEARCH(Form!$C$11,Tabel2[[#This Row],[Coordinate Projection System]])),MAX($B$1:B909)+1,0)</f>
        <v>909</v>
      </c>
      <c r="C910" t="str">
        <f t="shared" si="14"/>
        <v>Beijing 1954 / 3-degree Gauss-Kruger zone 42</v>
      </c>
    </row>
    <row r="911" spans="1:3" x14ac:dyDescent="0.3">
      <c r="A911" t="s">
        <v>969</v>
      </c>
      <c r="B911">
        <f>IF(ISNUMBER(SEARCH(Form!$C$11,Tabel2[[#This Row],[Coordinate Projection System]])),MAX($B$1:B910)+1,0)</f>
        <v>910</v>
      </c>
      <c r="C911" t="str">
        <f t="shared" si="14"/>
        <v>Beijing 1954 / 3-degree Gauss-Kruger zone 43</v>
      </c>
    </row>
    <row r="912" spans="1:3" x14ac:dyDescent="0.3">
      <c r="A912" t="s">
        <v>970</v>
      </c>
      <c r="B912">
        <f>IF(ISNUMBER(SEARCH(Form!$C$11,Tabel2[[#This Row],[Coordinate Projection System]])),MAX($B$1:B911)+1,0)</f>
        <v>911</v>
      </c>
      <c r="C912" t="str">
        <f t="shared" si="14"/>
        <v>Beijing 1954 / 3-degree Gauss-Kruger zone 44</v>
      </c>
    </row>
    <row r="913" spans="1:3" x14ac:dyDescent="0.3">
      <c r="A913" t="s">
        <v>971</v>
      </c>
      <c r="B913">
        <f>IF(ISNUMBER(SEARCH(Form!$C$11,Tabel2[[#This Row],[Coordinate Projection System]])),MAX($B$1:B912)+1,0)</f>
        <v>912</v>
      </c>
      <c r="C913" t="str">
        <f t="shared" si="14"/>
        <v>Beijing 1954 / 3-degree Gauss-Kruger zone 45</v>
      </c>
    </row>
    <row r="914" spans="1:3" x14ac:dyDescent="0.3">
      <c r="A914" t="s">
        <v>972</v>
      </c>
      <c r="B914">
        <f>IF(ISNUMBER(SEARCH(Form!$C$11,Tabel2[[#This Row],[Coordinate Projection System]])),MAX($B$1:B913)+1,0)</f>
        <v>913</v>
      </c>
      <c r="C914" t="str">
        <f t="shared" si="14"/>
        <v>Beijing 1954 / 3-degree Gauss-Kruger CM 75E</v>
      </c>
    </row>
    <row r="915" spans="1:3" x14ac:dyDescent="0.3">
      <c r="A915" t="s">
        <v>973</v>
      </c>
      <c r="B915">
        <f>IF(ISNUMBER(SEARCH(Form!$C$11,Tabel2[[#This Row],[Coordinate Projection System]])),MAX($B$1:B914)+1,0)</f>
        <v>914</v>
      </c>
      <c r="C915" t="str">
        <f t="shared" si="14"/>
        <v>Beijing 1954 / 3-degree Gauss-Kruger CM 78E</v>
      </c>
    </row>
    <row r="916" spans="1:3" x14ac:dyDescent="0.3">
      <c r="A916" t="s">
        <v>974</v>
      </c>
      <c r="B916">
        <f>IF(ISNUMBER(SEARCH(Form!$C$11,Tabel2[[#This Row],[Coordinate Projection System]])),MAX($B$1:B915)+1,0)</f>
        <v>915</v>
      </c>
      <c r="C916" t="str">
        <f t="shared" si="14"/>
        <v>Beijing 1954 / 3-degree Gauss-Kruger CM 81E</v>
      </c>
    </row>
    <row r="917" spans="1:3" x14ac:dyDescent="0.3">
      <c r="A917" t="s">
        <v>975</v>
      </c>
      <c r="B917">
        <f>IF(ISNUMBER(SEARCH(Form!$C$11,Tabel2[[#This Row],[Coordinate Projection System]])),MAX($B$1:B916)+1,0)</f>
        <v>916</v>
      </c>
      <c r="C917" t="str">
        <f t="shared" si="14"/>
        <v>Beijing 1954 / 3-degree Gauss-Kruger CM 84E</v>
      </c>
    </row>
    <row r="918" spans="1:3" x14ac:dyDescent="0.3">
      <c r="A918" t="s">
        <v>976</v>
      </c>
      <c r="B918">
        <f>IF(ISNUMBER(SEARCH(Form!$C$11,Tabel2[[#This Row],[Coordinate Projection System]])),MAX($B$1:B917)+1,0)</f>
        <v>917</v>
      </c>
      <c r="C918" t="str">
        <f t="shared" si="14"/>
        <v>Beijing 1954 / 3-degree Gauss-Kruger CM 87E</v>
      </c>
    </row>
    <row r="919" spans="1:3" x14ac:dyDescent="0.3">
      <c r="A919" t="s">
        <v>977</v>
      </c>
      <c r="B919">
        <f>IF(ISNUMBER(SEARCH(Form!$C$11,Tabel2[[#This Row],[Coordinate Projection System]])),MAX($B$1:B918)+1,0)</f>
        <v>918</v>
      </c>
      <c r="C919" t="str">
        <f t="shared" si="14"/>
        <v>Beijing 1954 / 3-degree Gauss-Kruger CM 90E</v>
      </c>
    </row>
    <row r="920" spans="1:3" x14ac:dyDescent="0.3">
      <c r="A920" t="s">
        <v>978</v>
      </c>
      <c r="B920">
        <f>IF(ISNUMBER(SEARCH(Form!$C$11,Tabel2[[#This Row],[Coordinate Projection System]])),MAX($B$1:B919)+1,0)</f>
        <v>919</v>
      </c>
      <c r="C920" t="str">
        <f t="shared" si="14"/>
        <v>Beijing 1954 / 3-degree Gauss-Kruger CM 93E</v>
      </c>
    </row>
    <row r="921" spans="1:3" x14ac:dyDescent="0.3">
      <c r="A921" t="s">
        <v>979</v>
      </c>
      <c r="B921">
        <f>IF(ISNUMBER(SEARCH(Form!$C$11,Tabel2[[#This Row],[Coordinate Projection System]])),MAX($B$1:B920)+1,0)</f>
        <v>920</v>
      </c>
      <c r="C921" t="str">
        <f t="shared" si="14"/>
        <v>Beijing 1954 / 3-degree Gauss-Kruger CM 96E</v>
      </c>
    </row>
    <row r="922" spans="1:3" x14ac:dyDescent="0.3">
      <c r="A922" t="s">
        <v>980</v>
      </c>
      <c r="B922">
        <f>IF(ISNUMBER(SEARCH(Form!$C$11,Tabel2[[#This Row],[Coordinate Projection System]])),MAX($B$1:B921)+1,0)</f>
        <v>921</v>
      </c>
      <c r="C922" t="str">
        <f t="shared" si="14"/>
        <v>Beijing 1954 / 3-degree Gauss-Kruger CM 99E</v>
      </c>
    </row>
    <row r="923" spans="1:3" x14ac:dyDescent="0.3">
      <c r="A923" t="s">
        <v>981</v>
      </c>
      <c r="B923">
        <f>IF(ISNUMBER(SEARCH(Form!$C$11,Tabel2[[#This Row],[Coordinate Projection System]])),MAX($B$1:B922)+1,0)</f>
        <v>922</v>
      </c>
      <c r="C923" t="str">
        <f t="shared" si="14"/>
        <v>Beijing 1954 / 3-degree Gauss-Kruger CM 102E</v>
      </c>
    </row>
    <row r="924" spans="1:3" x14ac:dyDescent="0.3">
      <c r="A924" t="s">
        <v>982</v>
      </c>
      <c r="B924">
        <f>IF(ISNUMBER(SEARCH(Form!$C$11,Tabel2[[#This Row],[Coordinate Projection System]])),MAX($B$1:B923)+1,0)</f>
        <v>923</v>
      </c>
      <c r="C924" t="str">
        <f t="shared" si="14"/>
        <v>Beijing 1954 / 3-degree Gauss-Kruger CM 105E</v>
      </c>
    </row>
    <row r="925" spans="1:3" x14ac:dyDescent="0.3">
      <c r="A925" t="s">
        <v>983</v>
      </c>
      <c r="B925">
        <f>IF(ISNUMBER(SEARCH(Form!$C$11,Tabel2[[#This Row],[Coordinate Projection System]])),MAX($B$1:B924)+1,0)</f>
        <v>924</v>
      </c>
      <c r="C925" t="str">
        <f t="shared" si="14"/>
        <v>Beijing 1954 / 3-degree Gauss-Kruger CM 108E</v>
      </c>
    </row>
    <row r="926" spans="1:3" x14ac:dyDescent="0.3">
      <c r="A926" t="s">
        <v>984</v>
      </c>
      <c r="B926">
        <f>IF(ISNUMBER(SEARCH(Form!$C$11,Tabel2[[#This Row],[Coordinate Projection System]])),MAX($B$1:B925)+1,0)</f>
        <v>925</v>
      </c>
      <c r="C926" t="str">
        <f t="shared" si="14"/>
        <v>Beijing 1954 / 3-degree Gauss-Kruger CM 111E</v>
      </c>
    </row>
    <row r="927" spans="1:3" x14ac:dyDescent="0.3">
      <c r="A927" t="s">
        <v>985</v>
      </c>
      <c r="B927">
        <f>IF(ISNUMBER(SEARCH(Form!$C$11,Tabel2[[#This Row],[Coordinate Projection System]])),MAX($B$1:B926)+1,0)</f>
        <v>926</v>
      </c>
      <c r="C927" t="str">
        <f t="shared" si="14"/>
        <v>Beijing 1954 / 3-degree Gauss-Kruger CM 114E</v>
      </c>
    </row>
    <row r="928" spans="1:3" x14ac:dyDescent="0.3">
      <c r="A928" t="s">
        <v>986</v>
      </c>
      <c r="B928">
        <f>IF(ISNUMBER(SEARCH(Form!$C$11,Tabel2[[#This Row],[Coordinate Projection System]])),MAX($B$1:B927)+1,0)</f>
        <v>927</v>
      </c>
      <c r="C928" t="str">
        <f t="shared" si="14"/>
        <v>Beijing 1954 / 3-degree Gauss-Kruger CM 117E</v>
      </c>
    </row>
    <row r="929" spans="1:3" x14ac:dyDescent="0.3">
      <c r="A929" t="s">
        <v>987</v>
      </c>
      <c r="B929">
        <f>IF(ISNUMBER(SEARCH(Form!$C$11,Tabel2[[#This Row],[Coordinate Projection System]])),MAX($B$1:B928)+1,0)</f>
        <v>928</v>
      </c>
      <c r="C929" t="str">
        <f t="shared" si="14"/>
        <v>Beijing 1954 / 3-degree Gauss-Kruger CM 120E</v>
      </c>
    </row>
    <row r="930" spans="1:3" x14ac:dyDescent="0.3">
      <c r="A930" t="s">
        <v>988</v>
      </c>
      <c r="B930">
        <f>IF(ISNUMBER(SEARCH(Form!$C$11,Tabel2[[#This Row],[Coordinate Projection System]])),MAX($B$1:B929)+1,0)</f>
        <v>929</v>
      </c>
      <c r="C930" t="str">
        <f t="shared" si="14"/>
        <v>Beijing 1954 / 3-degree Gauss-Kruger CM 123E</v>
      </c>
    </row>
    <row r="931" spans="1:3" x14ac:dyDescent="0.3">
      <c r="A931" t="s">
        <v>989</v>
      </c>
      <c r="B931">
        <f>IF(ISNUMBER(SEARCH(Form!$C$11,Tabel2[[#This Row],[Coordinate Projection System]])),MAX($B$1:B930)+1,0)</f>
        <v>930</v>
      </c>
      <c r="C931" t="str">
        <f t="shared" si="14"/>
        <v>Beijing 1954 / 3-degree Gauss-Kruger CM 126E</v>
      </c>
    </row>
    <row r="932" spans="1:3" x14ac:dyDescent="0.3">
      <c r="A932" t="s">
        <v>990</v>
      </c>
      <c r="B932">
        <f>IF(ISNUMBER(SEARCH(Form!$C$11,Tabel2[[#This Row],[Coordinate Projection System]])),MAX($B$1:B931)+1,0)</f>
        <v>931</v>
      </c>
      <c r="C932" t="str">
        <f t="shared" si="14"/>
        <v>Beijing 1954 / 3-degree Gauss-Kruger CM 129E</v>
      </c>
    </row>
    <row r="933" spans="1:3" x14ac:dyDescent="0.3">
      <c r="A933" t="s">
        <v>991</v>
      </c>
      <c r="B933">
        <f>IF(ISNUMBER(SEARCH(Form!$C$11,Tabel2[[#This Row],[Coordinate Projection System]])),MAX($B$1:B932)+1,0)</f>
        <v>932</v>
      </c>
      <c r="C933" t="str">
        <f t="shared" si="14"/>
        <v>Beijing 1954 / 3-degree Gauss-Kruger CM 132E</v>
      </c>
    </row>
    <row r="934" spans="1:3" x14ac:dyDescent="0.3">
      <c r="A934" t="s">
        <v>992</v>
      </c>
      <c r="B934">
        <f>IF(ISNUMBER(SEARCH(Form!$C$11,Tabel2[[#This Row],[Coordinate Projection System]])),MAX($B$1:B933)+1,0)</f>
        <v>933</v>
      </c>
      <c r="C934" t="str">
        <f t="shared" si="14"/>
        <v>Beijing 1954 / 3-degree Gauss-Kruger CM 135E</v>
      </c>
    </row>
    <row r="935" spans="1:3" x14ac:dyDescent="0.3">
      <c r="A935" t="s">
        <v>993</v>
      </c>
      <c r="B935">
        <f>IF(ISNUMBER(SEARCH(Form!$C$11,Tabel2[[#This Row],[Coordinate Projection System]])),MAX($B$1:B934)+1,0)</f>
        <v>934</v>
      </c>
      <c r="C935" t="str">
        <f t="shared" si="14"/>
        <v>JGD2000 / Japan Plane Rectangular CS I</v>
      </c>
    </row>
    <row r="936" spans="1:3" x14ac:dyDescent="0.3">
      <c r="A936" t="s">
        <v>994</v>
      </c>
      <c r="B936">
        <f>IF(ISNUMBER(SEARCH(Form!$C$11,Tabel2[[#This Row],[Coordinate Projection System]])),MAX($B$1:B935)+1,0)</f>
        <v>935</v>
      </c>
      <c r="C936" t="str">
        <f t="shared" si="14"/>
        <v>JGD2000 / Japan Plane Rectangular CS II</v>
      </c>
    </row>
    <row r="937" spans="1:3" x14ac:dyDescent="0.3">
      <c r="A937" t="s">
        <v>995</v>
      </c>
      <c r="B937">
        <f>IF(ISNUMBER(SEARCH(Form!$C$11,Tabel2[[#This Row],[Coordinate Projection System]])),MAX($B$1:B936)+1,0)</f>
        <v>936</v>
      </c>
      <c r="C937" t="str">
        <f t="shared" si="14"/>
        <v>JGD2000 / Japan Plane Rectangular CS III</v>
      </c>
    </row>
    <row r="938" spans="1:3" x14ac:dyDescent="0.3">
      <c r="A938" t="s">
        <v>996</v>
      </c>
      <c r="B938">
        <f>IF(ISNUMBER(SEARCH(Form!$C$11,Tabel2[[#This Row],[Coordinate Projection System]])),MAX($B$1:B937)+1,0)</f>
        <v>937</v>
      </c>
      <c r="C938" t="str">
        <f t="shared" si="14"/>
        <v>JGD2000 / Japan Plane Rectangular CS IV</v>
      </c>
    </row>
    <row r="939" spans="1:3" x14ac:dyDescent="0.3">
      <c r="A939" t="s">
        <v>997</v>
      </c>
      <c r="B939">
        <f>IF(ISNUMBER(SEARCH(Form!$C$11,Tabel2[[#This Row],[Coordinate Projection System]])),MAX($B$1:B938)+1,0)</f>
        <v>938</v>
      </c>
      <c r="C939" t="str">
        <f t="shared" si="14"/>
        <v>JGD2000 / Japan Plane Rectangular CS V</v>
      </c>
    </row>
    <row r="940" spans="1:3" x14ac:dyDescent="0.3">
      <c r="A940" t="s">
        <v>998</v>
      </c>
      <c r="B940">
        <f>IF(ISNUMBER(SEARCH(Form!$C$11,Tabel2[[#This Row],[Coordinate Projection System]])),MAX($B$1:B939)+1,0)</f>
        <v>939</v>
      </c>
      <c r="C940" t="str">
        <f t="shared" si="14"/>
        <v>JGD2000 / Japan Plane Rectangular CS VI</v>
      </c>
    </row>
    <row r="941" spans="1:3" x14ac:dyDescent="0.3">
      <c r="A941" t="s">
        <v>999</v>
      </c>
      <c r="B941">
        <f>IF(ISNUMBER(SEARCH(Form!$C$11,Tabel2[[#This Row],[Coordinate Projection System]])),MAX($B$1:B940)+1,0)</f>
        <v>940</v>
      </c>
      <c r="C941" t="str">
        <f t="shared" si="14"/>
        <v>JGD2000 / Japan Plane Rectangular CS VII</v>
      </c>
    </row>
    <row r="942" spans="1:3" x14ac:dyDescent="0.3">
      <c r="A942" t="s">
        <v>1000</v>
      </c>
      <c r="B942">
        <f>IF(ISNUMBER(SEARCH(Form!$C$11,Tabel2[[#This Row],[Coordinate Projection System]])),MAX($B$1:B941)+1,0)</f>
        <v>941</v>
      </c>
      <c r="C942" t="str">
        <f t="shared" si="14"/>
        <v>JGD2000 / Japan Plane Rectangular CS VIII</v>
      </c>
    </row>
    <row r="943" spans="1:3" x14ac:dyDescent="0.3">
      <c r="A943" t="s">
        <v>1001</v>
      </c>
      <c r="B943">
        <f>IF(ISNUMBER(SEARCH(Form!$C$11,Tabel2[[#This Row],[Coordinate Projection System]])),MAX($B$1:B942)+1,0)</f>
        <v>942</v>
      </c>
      <c r="C943" t="str">
        <f t="shared" si="14"/>
        <v>JGD2000 / Japan Plane Rectangular CS IX</v>
      </c>
    </row>
    <row r="944" spans="1:3" x14ac:dyDescent="0.3">
      <c r="A944" t="s">
        <v>1002</v>
      </c>
      <c r="B944">
        <f>IF(ISNUMBER(SEARCH(Form!$C$11,Tabel2[[#This Row],[Coordinate Projection System]])),MAX($B$1:B943)+1,0)</f>
        <v>943</v>
      </c>
      <c r="C944" t="str">
        <f t="shared" si="14"/>
        <v>JGD2000 / Japan Plane Rectangular CS X</v>
      </c>
    </row>
    <row r="945" spans="1:3" x14ac:dyDescent="0.3">
      <c r="A945" t="s">
        <v>1003</v>
      </c>
      <c r="B945">
        <f>IF(ISNUMBER(SEARCH(Form!$C$11,Tabel2[[#This Row],[Coordinate Projection System]])),MAX($B$1:B944)+1,0)</f>
        <v>944</v>
      </c>
      <c r="C945" t="str">
        <f t="shared" si="14"/>
        <v>JGD2000 / Japan Plane Rectangular CS XI</v>
      </c>
    </row>
    <row r="946" spans="1:3" x14ac:dyDescent="0.3">
      <c r="A946" t="s">
        <v>1004</v>
      </c>
      <c r="B946">
        <f>IF(ISNUMBER(SEARCH(Form!$C$11,Tabel2[[#This Row],[Coordinate Projection System]])),MAX($B$1:B945)+1,0)</f>
        <v>945</v>
      </c>
      <c r="C946" t="str">
        <f t="shared" si="14"/>
        <v>JGD2000 / Japan Plane Rectangular CS XII</v>
      </c>
    </row>
    <row r="947" spans="1:3" x14ac:dyDescent="0.3">
      <c r="A947" t="s">
        <v>1005</v>
      </c>
      <c r="B947">
        <f>IF(ISNUMBER(SEARCH(Form!$C$11,Tabel2[[#This Row],[Coordinate Projection System]])),MAX($B$1:B946)+1,0)</f>
        <v>946</v>
      </c>
      <c r="C947" t="str">
        <f t="shared" si="14"/>
        <v>JGD2000 / Japan Plane Rectangular CS XIII</v>
      </c>
    </row>
    <row r="948" spans="1:3" x14ac:dyDescent="0.3">
      <c r="A948" t="s">
        <v>1006</v>
      </c>
      <c r="B948">
        <f>IF(ISNUMBER(SEARCH(Form!$C$11,Tabel2[[#This Row],[Coordinate Projection System]])),MAX($B$1:B947)+1,0)</f>
        <v>947</v>
      </c>
      <c r="C948" t="str">
        <f t="shared" si="14"/>
        <v>JGD2000 / Japan Plane Rectangular CS XIV</v>
      </c>
    </row>
    <row r="949" spans="1:3" x14ac:dyDescent="0.3">
      <c r="A949" t="s">
        <v>1007</v>
      </c>
      <c r="B949">
        <f>IF(ISNUMBER(SEARCH(Form!$C$11,Tabel2[[#This Row],[Coordinate Projection System]])),MAX($B$1:B948)+1,0)</f>
        <v>948</v>
      </c>
      <c r="C949" t="str">
        <f t="shared" si="14"/>
        <v>JGD2000 / Japan Plane Rectangular CS XV</v>
      </c>
    </row>
    <row r="950" spans="1:3" x14ac:dyDescent="0.3">
      <c r="A950" t="s">
        <v>1008</v>
      </c>
      <c r="B950">
        <f>IF(ISNUMBER(SEARCH(Form!$C$11,Tabel2[[#This Row],[Coordinate Projection System]])),MAX($B$1:B949)+1,0)</f>
        <v>949</v>
      </c>
      <c r="C950" t="str">
        <f t="shared" si="14"/>
        <v>JGD2000 / Japan Plane Rectangular CS XVI</v>
      </c>
    </row>
    <row r="951" spans="1:3" x14ac:dyDescent="0.3">
      <c r="A951" t="s">
        <v>1009</v>
      </c>
      <c r="B951">
        <f>IF(ISNUMBER(SEARCH(Form!$C$11,Tabel2[[#This Row],[Coordinate Projection System]])),MAX($B$1:B950)+1,0)</f>
        <v>950</v>
      </c>
      <c r="C951" t="str">
        <f t="shared" si="14"/>
        <v>JGD2000 / Japan Plane Rectangular CS XVII</v>
      </c>
    </row>
    <row r="952" spans="1:3" x14ac:dyDescent="0.3">
      <c r="A952" t="s">
        <v>1010</v>
      </c>
      <c r="B952">
        <f>IF(ISNUMBER(SEARCH(Form!$C$11,Tabel2[[#This Row],[Coordinate Projection System]])),MAX($B$1:B951)+1,0)</f>
        <v>951</v>
      </c>
      <c r="C952" t="str">
        <f t="shared" si="14"/>
        <v>JGD2000 / Japan Plane Rectangular CS XVIII</v>
      </c>
    </row>
    <row r="953" spans="1:3" x14ac:dyDescent="0.3">
      <c r="A953" t="s">
        <v>1011</v>
      </c>
      <c r="B953">
        <f>IF(ISNUMBER(SEARCH(Form!$C$11,Tabel2[[#This Row],[Coordinate Projection System]])),MAX($B$1:B952)+1,0)</f>
        <v>952</v>
      </c>
      <c r="C953" t="str">
        <f t="shared" si="14"/>
        <v>JGD2000 / Japan Plane Rectangular CS XIX</v>
      </c>
    </row>
    <row r="954" spans="1:3" x14ac:dyDescent="0.3">
      <c r="A954" t="s">
        <v>1012</v>
      </c>
      <c r="B954">
        <f>IF(ISNUMBER(SEARCH(Form!$C$11,Tabel2[[#This Row],[Coordinate Projection System]])),MAX($B$1:B953)+1,0)</f>
        <v>953</v>
      </c>
      <c r="C954" t="str">
        <f t="shared" si="14"/>
        <v>Albanian 1987 / Gauss-Kruger zone 4</v>
      </c>
    </row>
    <row r="955" spans="1:3" x14ac:dyDescent="0.3">
      <c r="A955" t="s">
        <v>1013</v>
      </c>
      <c r="B955">
        <f>IF(ISNUMBER(SEARCH(Form!$C$11,Tabel2[[#This Row],[Coordinate Projection System]])),MAX($B$1:B954)+1,0)</f>
        <v>954</v>
      </c>
      <c r="C955" t="str">
        <f t="shared" si="14"/>
        <v>Pulkovo 1995 / Gauss-Kruger CM 21E</v>
      </c>
    </row>
    <row r="956" spans="1:3" x14ac:dyDescent="0.3">
      <c r="A956" t="s">
        <v>1014</v>
      </c>
      <c r="B956">
        <f>IF(ISNUMBER(SEARCH(Form!$C$11,Tabel2[[#This Row],[Coordinate Projection System]])),MAX($B$1:B955)+1,0)</f>
        <v>955</v>
      </c>
      <c r="C956" t="str">
        <f t="shared" si="14"/>
        <v>Pulkovo 1995 / Gauss-Kruger CM 27E</v>
      </c>
    </row>
    <row r="957" spans="1:3" x14ac:dyDescent="0.3">
      <c r="A957" t="s">
        <v>1015</v>
      </c>
      <c r="B957">
        <f>IF(ISNUMBER(SEARCH(Form!$C$11,Tabel2[[#This Row],[Coordinate Projection System]])),MAX($B$1:B956)+1,0)</f>
        <v>956</v>
      </c>
      <c r="C957" t="str">
        <f t="shared" si="14"/>
        <v>Pulkovo 1995 / Gauss-Kruger CM 33E</v>
      </c>
    </row>
    <row r="958" spans="1:3" x14ac:dyDescent="0.3">
      <c r="A958" t="s">
        <v>1016</v>
      </c>
      <c r="B958">
        <f>IF(ISNUMBER(SEARCH(Form!$C$11,Tabel2[[#This Row],[Coordinate Projection System]])),MAX($B$1:B957)+1,0)</f>
        <v>957</v>
      </c>
      <c r="C958" t="str">
        <f t="shared" si="14"/>
        <v>Pulkovo 1995 / Gauss-Kruger CM 39E</v>
      </c>
    </row>
    <row r="959" spans="1:3" x14ac:dyDescent="0.3">
      <c r="A959" t="s">
        <v>1017</v>
      </c>
      <c r="B959">
        <f>IF(ISNUMBER(SEARCH(Form!$C$11,Tabel2[[#This Row],[Coordinate Projection System]])),MAX($B$1:B958)+1,0)</f>
        <v>958</v>
      </c>
      <c r="C959" t="str">
        <f t="shared" si="14"/>
        <v>Pulkovo 1995 / Gauss-Kruger CM 45E</v>
      </c>
    </row>
    <row r="960" spans="1:3" x14ac:dyDescent="0.3">
      <c r="A960" t="s">
        <v>1018</v>
      </c>
      <c r="B960">
        <f>IF(ISNUMBER(SEARCH(Form!$C$11,Tabel2[[#This Row],[Coordinate Projection System]])),MAX($B$1:B959)+1,0)</f>
        <v>959</v>
      </c>
      <c r="C960" t="str">
        <f t="shared" si="14"/>
        <v>Pulkovo 1995 / Gauss-Kruger CM 51E</v>
      </c>
    </row>
    <row r="961" spans="1:3" x14ac:dyDescent="0.3">
      <c r="A961" t="s">
        <v>1019</v>
      </c>
      <c r="B961">
        <f>IF(ISNUMBER(SEARCH(Form!$C$11,Tabel2[[#This Row],[Coordinate Projection System]])),MAX($B$1:B960)+1,0)</f>
        <v>960</v>
      </c>
      <c r="C961" t="str">
        <f t="shared" si="14"/>
        <v>Pulkovo 1995 / Gauss-Kruger CM 57E</v>
      </c>
    </row>
    <row r="962" spans="1:3" x14ac:dyDescent="0.3">
      <c r="A962" t="s">
        <v>1020</v>
      </c>
      <c r="B962">
        <f>IF(ISNUMBER(SEARCH(Form!$C$11,Tabel2[[#This Row],[Coordinate Projection System]])),MAX($B$1:B961)+1,0)</f>
        <v>961</v>
      </c>
      <c r="C962" t="str">
        <f t="shared" si="14"/>
        <v>Pulkovo 1995 / Gauss-Kruger CM 63E</v>
      </c>
    </row>
    <row r="963" spans="1:3" x14ac:dyDescent="0.3">
      <c r="A963" t="s">
        <v>1021</v>
      </c>
      <c r="B963">
        <f>IF(ISNUMBER(SEARCH(Form!$C$11,Tabel2[[#This Row],[Coordinate Projection System]])),MAX($B$1:B962)+1,0)</f>
        <v>962</v>
      </c>
      <c r="C963" t="str">
        <f t="shared" ref="C963:C1026" si="15">_xlfn.IFNA(INDEX(A963:A6474,MATCH(ROW(C962),B963:B6474,0)),"")</f>
        <v>Pulkovo 1995 / Gauss-Kruger CM 69E</v>
      </c>
    </row>
    <row r="964" spans="1:3" x14ac:dyDescent="0.3">
      <c r="A964" t="s">
        <v>1022</v>
      </c>
      <c r="B964">
        <f>IF(ISNUMBER(SEARCH(Form!$C$11,Tabel2[[#This Row],[Coordinate Projection System]])),MAX($B$1:B963)+1,0)</f>
        <v>963</v>
      </c>
      <c r="C964" t="str">
        <f t="shared" si="15"/>
        <v>Pulkovo 1995 / Gauss-Kruger CM 75E</v>
      </c>
    </row>
    <row r="965" spans="1:3" x14ac:dyDescent="0.3">
      <c r="A965" t="s">
        <v>1023</v>
      </c>
      <c r="B965">
        <f>IF(ISNUMBER(SEARCH(Form!$C$11,Tabel2[[#This Row],[Coordinate Projection System]])),MAX($B$1:B964)+1,0)</f>
        <v>964</v>
      </c>
      <c r="C965" t="str">
        <f t="shared" si="15"/>
        <v>Pulkovo 1995 / Gauss-Kruger CM 81E</v>
      </c>
    </row>
    <row r="966" spans="1:3" x14ac:dyDescent="0.3">
      <c r="A966" t="s">
        <v>1024</v>
      </c>
      <c r="B966">
        <f>IF(ISNUMBER(SEARCH(Form!$C$11,Tabel2[[#This Row],[Coordinate Projection System]])),MAX($B$1:B965)+1,0)</f>
        <v>965</v>
      </c>
      <c r="C966" t="str">
        <f t="shared" si="15"/>
        <v>Pulkovo 1995 / Gauss-Kruger CM 87E</v>
      </c>
    </row>
    <row r="967" spans="1:3" x14ac:dyDescent="0.3">
      <c r="A967" t="s">
        <v>1025</v>
      </c>
      <c r="B967">
        <f>IF(ISNUMBER(SEARCH(Form!$C$11,Tabel2[[#This Row],[Coordinate Projection System]])),MAX($B$1:B966)+1,0)</f>
        <v>966</v>
      </c>
      <c r="C967" t="str">
        <f t="shared" si="15"/>
        <v>Pulkovo 1995 / Gauss-Kruger CM 93E</v>
      </c>
    </row>
    <row r="968" spans="1:3" x14ac:dyDescent="0.3">
      <c r="A968" t="s">
        <v>1026</v>
      </c>
      <c r="B968">
        <f>IF(ISNUMBER(SEARCH(Form!$C$11,Tabel2[[#This Row],[Coordinate Projection System]])),MAX($B$1:B967)+1,0)</f>
        <v>967</v>
      </c>
      <c r="C968" t="str">
        <f t="shared" si="15"/>
        <v>Pulkovo 1995 / Gauss-Kruger CM 99E</v>
      </c>
    </row>
    <row r="969" spans="1:3" x14ac:dyDescent="0.3">
      <c r="A969" t="s">
        <v>1027</v>
      </c>
      <c r="B969">
        <f>IF(ISNUMBER(SEARCH(Form!$C$11,Tabel2[[#This Row],[Coordinate Projection System]])),MAX($B$1:B968)+1,0)</f>
        <v>968</v>
      </c>
      <c r="C969" t="str">
        <f t="shared" si="15"/>
        <v>Pulkovo 1995 / Gauss-Kruger CM 105E</v>
      </c>
    </row>
    <row r="970" spans="1:3" x14ac:dyDescent="0.3">
      <c r="A970" t="s">
        <v>1028</v>
      </c>
      <c r="B970">
        <f>IF(ISNUMBER(SEARCH(Form!$C$11,Tabel2[[#This Row],[Coordinate Projection System]])),MAX($B$1:B969)+1,0)</f>
        <v>969</v>
      </c>
      <c r="C970" t="str">
        <f t="shared" si="15"/>
        <v>Pulkovo 1995 / Gauss-Kruger CM 111E</v>
      </c>
    </row>
    <row r="971" spans="1:3" x14ac:dyDescent="0.3">
      <c r="A971" t="s">
        <v>1029</v>
      </c>
      <c r="B971">
        <f>IF(ISNUMBER(SEARCH(Form!$C$11,Tabel2[[#This Row],[Coordinate Projection System]])),MAX($B$1:B970)+1,0)</f>
        <v>970</v>
      </c>
      <c r="C971" t="str">
        <f t="shared" si="15"/>
        <v>Pulkovo 1995 / Gauss-Kruger CM 117E</v>
      </c>
    </row>
    <row r="972" spans="1:3" x14ac:dyDescent="0.3">
      <c r="A972" t="s">
        <v>1030</v>
      </c>
      <c r="B972">
        <f>IF(ISNUMBER(SEARCH(Form!$C$11,Tabel2[[#This Row],[Coordinate Projection System]])),MAX($B$1:B971)+1,0)</f>
        <v>971</v>
      </c>
      <c r="C972" t="str">
        <f t="shared" si="15"/>
        <v>Pulkovo 1995 / Gauss-Kruger CM 123E</v>
      </c>
    </row>
    <row r="973" spans="1:3" x14ac:dyDescent="0.3">
      <c r="A973" t="s">
        <v>1031</v>
      </c>
      <c r="B973">
        <f>IF(ISNUMBER(SEARCH(Form!$C$11,Tabel2[[#This Row],[Coordinate Projection System]])),MAX($B$1:B972)+1,0)</f>
        <v>972</v>
      </c>
      <c r="C973" t="str">
        <f t="shared" si="15"/>
        <v>Pulkovo 1995 / Gauss-Kruger CM 129E</v>
      </c>
    </row>
    <row r="974" spans="1:3" x14ac:dyDescent="0.3">
      <c r="A974" t="s">
        <v>1032</v>
      </c>
      <c r="B974">
        <f>IF(ISNUMBER(SEARCH(Form!$C$11,Tabel2[[#This Row],[Coordinate Projection System]])),MAX($B$1:B973)+1,0)</f>
        <v>973</v>
      </c>
      <c r="C974" t="str">
        <f t="shared" si="15"/>
        <v>Pulkovo 1995 / Gauss-Kruger CM 135E</v>
      </c>
    </row>
    <row r="975" spans="1:3" x14ac:dyDescent="0.3">
      <c r="A975" t="s">
        <v>1033</v>
      </c>
      <c r="B975">
        <f>IF(ISNUMBER(SEARCH(Form!$C$11,Tabel2[[#This Row],[Coordinate Projection System]])),MAX($B$1:B974)+1,0)</f>
        <v>974</v>
      </c>
      <c r="C975" t="str">
        <f t="shared" si="15"/>
        <v>Pulkovo 1995 / Gauss-Kruger CM 141E</v>
      </c>
    </row>
    <row r="976" spans="1:3" x14ac:dyDescent="0.3">
      <c r="A976" t="s">
        <v>1034</v>
      </c>
      <c r="B976">
        <f>IF(ISNUMBER(SEARCH(Form!$C$11,Tabel2[[#This Row],[Coordinate Projection System]])),MAX($B$1:B975)+1,0)</f>
        <v>975</v>
      </c>
      <c r="C976" t="str">
        <f t="shared" si="15"/>
        <v>Pulkovo 1995 / Gauss-Kruger CM 147E</v>
      </c>
    </row>
    <row r="977" spans="1:3" x14ac:dyDescent="0.3">
      <c r="A977" t="s">
        <v>1035</v>
      </c>
      <c r="B977">
        <f>IF(ISNUMBER(SEARCH(Form!$C$11,Tabel2[[#This Row],[Coordinate Projection System]])),MAX($B$1:B976)+1,0)</f>
        <v>976</v>
      </c>
      <c r="C977" t="str">
        <f t="shared" si="15"/>
        <v>Pulkovo 1995 / Gauss-Kruger CM 153E</v>
      </c>
    </row>
    <row r="978" spans="1:3" x14ac:dyDescent="0.3">
      <c r="A978" t="s">
        <v>1036</v>
      </c>
      <c r="B978">
        <f>IF(ISNUMBER(SEARCH(Form!$C$11,Tabel2[[#This Row],[Coordinate Projection System]])),MAX($B$1:B977)+1,0)</f>
        <v>977</v>
      </c>
      <c r="C978" t="str">
        <f t="shared" si="15"/>
        <v>Pulkovo 1995 / Gauss-Kruger CM 159E</v>
      </c>
    </row>
    <row r="979" spans="1:3" x14ac:dyDescent="0.3">
      <c r="A979" t="s">
        <v>1037</v>
      </c>
      <c r="B979">
        <f>IF(ISNUMBER(SEARCH(Form!$C$11,Tabel2[[#This Row],[Coordinate Projection System]])),MAX($B$1:B978)+1,0)</f>
        <v>978</v>
      </c>
      <c r="C979" t="str">
        <f t="shared" si="15"/>
        <v>Pulkovo 1995 / Gauss-Kruger CM 165E</v>
      </c>
    </row>
    <row r="980" spans="1:3" x14ac:dyDescent="0.3">
      <c r="A980" t="s">
        <v>1038</v>
      </c>
      <c r="B980">
        <f>IF(ISNUMBER(SEARCH(Form!$C$11,Tabel2[[#This Row],[Coordinate Projection System]])),MAX($B$1:B979)+1,0)</f>
        <v>979</v>
      </c>
      <c r="C980" t="str">
        <f t="shared" si="15"/>
        <v>Pulkovo 1995 / Gauss-Kruger CM 171E</v>
      </c>
    </row>
    <row r="981" spans="1:3" x14ac:dyDescent="0.3">
      <c r="A981" t="s">
        <v>1039</v>
      </c>
      <c r="B981">
        <f>IF(ISNUMBER(SEARCH(Form!$C$11,Tabel2[[#This Row],[Coordinate Projection System]])),MAX($B$1:B980)+1,0)</f>
        <v>980</v>
      </c>
      <c r="C981" t="str">
        <f t="shared" si="15"/>
        <v>Pulkovo 1995 / Gauss-Kruger CM 177E</v>
      </c>
    </row>
    <row r="982" spans="1:3" x14ac:dyDescent="0.3">
      <c r="A982" t="s">
        <v>1040</v>
      </c>
      <c r="B982">
        <f>IF(ISNUMBER(SEARCH(Form!$C$11,Tabel2[[#This Row],[Coordinate Projection System]])),MAX($B$1:B981)+1,0)</f>
        <v>981</v>
      </c>
      <c r="C982" t="str">
        <f t="shared" si="15"/>
        <v>Pulkovo 1995 / Gauss-Kruger CM 177W</v>
      </c>
    </row>
    <row r="983" spans="1:3" x14ac:dyDescent="0.3">
      <c r="A983" t="s">
        <v>1041</v>
      </c>
      <c r="B983">
        <f>IF(ISNUMBER(SEARCH(Form!$C$11,Tabel2[[#This Row],[Coordinate Projection System]])),MAX($B$1:B982)+1,0)</f>
        <v>982</v>
      </c>
      <c r="C983" t="str">
        <f t="shared" si="15"/>
        <v>Pulkovo 1995 / Gauss-Kruger CM 171W</v>
      </c>
    </row>
    <row r="984" spans="1:3" x14ac:dyDescent="0.3">
      <c r="A984" t="s">
        <v>1042</v>
      </c>
      <c r="B984">
        <f>IF(ISNUMBER(SEARCH(Form!$C$11,Tabel2[[#This Row],[Coordinate Projection System]])),MAX($B$1:B983)+1,0)</f>
        <v>983</v>
      </c>
      <c r="C984" t="str">
        <f t="shared" si="15"/>
        <v>Pulkovo 1942 / Gauss-Kruger CM 9E (deprecated)</v>
      </c>
    </row>
    <row r="985" spans="1:3" x14ac:dyDescent="0.3">
      <c r="A985" t="s">
        <v>1043</v>
      </c>
      <c r="B985">
        <f>IF(ISNUMBER(SEARCH(Form!$C$11,Tabel2[[#This Row],[Coordinate Projection System]])),MAX($B$1:B984)+1,0)</f>
        <v>984</v>
      </c>
      <c r="C985" t="str">
        <f t="shared" si="15"/>
        <v>Pulkovo 1942 / Gauss-Kruger CM 15E (deprecated)</v>
      </c>
    </row>
    <row r="986" spans="1:3" x14ac:dyDescent="0.3">
      <c r="A986" t="s">
        <v>1044</v>
      </c>
      <c r="B986">
        <f>IF(ISNUMBER(SEARCH(Form!$C$11,Tabel2[[#This Row],[Coordinate Projection System]])),MAX($B$1:B985)+1,0)</f>
        <v>985</v>
      </c>
      <c r="C986" t="str">
        <f t="shared" si="15"/>
        <v>Pulkovo 1942 / Gauss-Kruger CM 21E</v>
      </c>
    </row>
    <row r="987" spans="1:3" x14ac:dyDescent="0.3">
      <c r="A987" t="s">
        <v>1045</v>
      </c>
      <c r="B987">
        <f>IF(ISNUMBER(SEARCH(Form!$C$11,Tabel2[[#This Row],[Coordinate Projection System]])),MAX($B$1:B986)+1,0)</f>
        <v>986</v>
      </c>
      <c r="C987" t="str">
        <f t="shared" si="15"/>
        <v>Pulkovo 1942 / Gauss-Kruger CM 27E</v>
      </c>
    </row>
    <row r="988" spans="1:3" x14ac:dyDescent="0.3">
      <c r="A988" t="s">
        <v>1046</v>
      </c>
      <c r="B988">
        <f>IF(ISNUMBER(SEARCH(Form!$C$11,Tabel2[[#This Row],[Coordinate Projection System]])),MAX($B$1:B987)+1,0)</f>
        <v>987</v>
      </c>
      <c r="C988" t="str">
        <f t="shared" si="15"/>
        <v>Pulkovo 1942 / Gauss-Kruger CM 33E</v>
      </c>
    </row>
    <row r="989" spans="1:3" x14ac:dyDescent="0.3">
      <c r="A989" t="s">
        <v>1047</v>
      </c>
      <c r="B989">
        <f>IF(ISNUMBER(SEARCH(Form!$C$11,Tabel2[[#This Row],[Coordinate Projection System]])),MAX($B$1:B988)+1,0)</f>
        <v>988</v>
      </c>
      <c r="C989" t="str">
        <f t="shared" si="15"/>
        <v>Pulkovo 1942 / Gauss-Kruger CM 39E</v>
      </c>
    </row>
    <row r="990" spans="1:3" x14ac:dyDescent="0.3">
      <c r="A990" t="s">
        <v>1048</v>
      </c>
      <c r="B990">
        <f>IF(ISNUMBER(SEARCH(Form!$C$11,Tabel2[[#This Row],[Coordinate Projection System]])),MAX($B$1:B989)+1,0)</f>
        <v>989</v>
      </c>
      <c r="C990" t="str">
        <f t="shared" si="15"/>
        <v>Pulkovo 1942 / Gauss-Kruger CM 45E</v>
      </c>
    </row>
    <row r="991" spans="1:3" x14ac:dyDescent="0.3">
      <c r="A991" t="s">
        <v>1049</v>
      </c>
      <c r="B991">
        <f>IF(ISNUMBER(SEARCH(Form!$C$11,Tabel2[[#This Row],[Coordinate Projection System]])),MAX($B$1:B990)+1,0)</f>
        <v>990</v>
      </c>
      <c r="C991" t="str">
        <f t="shared" si="15"/>
        <v>Pulkovo 1942 / Gauss-Kruger CM 51E</v>
      </c>
    </row>
    <row r="992" spans="1:3" x14ac:dyDescent="0.3">
      <c r="A992" t="s">
        <v>1050</v>
      </c>
      <c r="B992">
        <f>IF(ISNUMBER(SEARCH(Form!$C$11,Tabel2[[#This Row],[Coordinate Projection System]])),MAX($B$1:B991)+1,0)</f>
        <v>991</v>
      </c>
      <c r="C992" t="str">
        <f t="shared" si="15"/>
        <v>Pulkovo 1942 / Gauss-Kruger CM 57E</v>
      </c>
    </row>
    <row r="993" spans="1:3" x14ac:dyDescent="0.3">
      <c r="A993" t="s">
        <v>1051</v>
      </c>
      <c r="B993">
        <f>IF(ISNUMBER(SEARCH(Form!$C$11,Tabel2[[#This Row],[Coordinate Projection System]])),MAX($B$1:B992)+1,0)</f>
        <v>992</v>
      </c>
      <c r="C993" t="str">
        <f t="shared" si="15"/>
        <v>Pulkovo 1942 / Gauss-Kruger CM 63E</v>
      </c>
    </row>
    <row r="994" spans="1:3" x14ac:dyDescent="0.3">
      <c r="A994" t="s">
        <v>1052</v>
      </c>
      <c r="B994">
        <f>IF(ISNUMBER(SEARCH(Form!$C$11,Tabel2[[#This Row],[Coordinate Projection System]])),MAX($B$1:B993)+1,0)</f>
        <v>993</v>
      </c>
      <c r="C994" t="str">
        <f t="shared" si="15"/>
        <v>Pulkovo 1942 / Gauss-Kruger CM 69E</v>
      </c>
    </row>
    <row r="995" spans="1:3" x14ac:dyDescent="0.3">
      <c r="A995" t="s">
        <v>1053</v>
      </c>
      <c r="B995">
        <f>IF(ISNUMBER(SEARCH(Form!$C$11,Tabel2[[#This Row],[Coordinate Projection System]])),MAX($B$1:B994)+1,0)</f>
        <v>994</v>
      </c>
      <c r="C995" t="str">
        <f t="shared" si="15"/>
        <v>Pulkovo 1942 / Gauss-Kruger CM 75E</v>
      </c>
    </row>
    <row r="996" spans="1:3" x14ac:dyDescent="0.3">
      <c r="A996" t="s">
        <v>1054</v>
      </c>
      <c r="B996">
        <f>IF(ISNUMBER(SEARCH(Form!$C$11,Tabel2[[#This Row],[Coordinate Projection System]])),MAX($B$1:B995)+1,0)</f>
        <v>995</v>
      </c>
      <c r="C996" t="str">
        <f t="shared" si="15"/>
        <v>Pulkovo 1942 / Gauss-Kruger CM 81E</v>
      </c>
    </row>
    <row r="997" spans="1:3" x14ac:dyDescent="0.3">
      <c r="A997" t="s">
        <v>1055</v>
      </c>
      <c r="B997">
        <f>IF(ISNUMBER(SEARCH(Form!$C$11,Tabel2[[#This Row],[Coordinate Projection System]])),MAX($B$1:B996)+1,0)</f>
        <v>996</v>
      </c>
      <c r="C997" t="str">
        <f t="shared" si="15"/>
        <v>Pulkovo 1942 / Gauss-Kruger CM 87E</v>
      </c>
    </row>
    <row r="998" spans="1:3" x14ac:dyDescent="0.3">
      <c r="A998" t="s">
        <v>1056</v>
      </c>
      <c r="B998">
        <f>IF(ISNUMBER(SEARCH(Form!$C$11,Tabel2[[#This Row],[Coordinate Projection System]])),MAX($B$1:B997)+1,0)</f>
        <v>997</v>
      </c>
      <c r="C998" t="str">
        <f t="shared" si="15"/>
        <v>Pulkovo 1942 / Gauss-Kruger CM 93E</v>
      </c>
    </row>
    <row r="999" spans="1:3" x14ac:dyDescent="0.3">
      <c r="A999" t="s">
        <v>1057</v>
      </c>
      <c r="B999">
        <f>IF(ISNUMBER(SEARCH(Form!$C$11,Tabel2[[#This Row],[Coordinate Projection System]])),MAX($B$1:B998)+1,0)</f>
        <v>998</v>
      </c>
      <c r="C999" t="str">
        <f t="shared" si="15"/>
        <v>Pulkovo 1942 / Gauss-Kruger CM 99E</v>
      </c>
    </row>
    <row r="1000" spans="1:3" x14ac:dyDescent="0.3">
      <c r="A1000" t="s">
        <v>1058</v>
      </c>
      <c r="B1000">
        <f>IF(ISNUMBER(SEARCH(Form!$C$11,Tabel2[[#This Row],[Coordinate Projection System]])),MAX($B$1:B999)+1,0)</f>
        <v>999</v>
      </c>
      <c r="C1000" t="str">
        <f t="shared" si="15"/>
        <v>Pulkovo 1942 / Gauss-Kruger CM 105E</v>
      </c>
    </row>
    <row r="1001" spans="1:3" x14ac:dyDescent="0.3">
      <c r="A1001" t="s">
        <v>1059</v>
      </c>
      <c r="B1001">
        <f>IF(ISNUMBER(SEARCH(Form!$C$11,Tabel2[[#This Row],[Coordinate Projection System]])),MAX($B$1:B1000)+1,0)</f>
        <v>1000</v>
      </c>
      <c r="C1001" t="str">
        <f t="shared" si="15"/>
        <v>Pulkovo 1942 / Gauss-Kruger CM 111E</v>
      </c>
    </row>
    <row r="1002" spans="1:3" x14ac:dyDescent="0.3">
      <c r="A1002" t="s">
        <v>1060</v>
      </c>
      <c r="B1002">
        <f>IF(ISNUMBER(SEARCH(Form!$C$11,Tabel2[[#This Row],[Coordinate Projection System]])),MAX($B$1:B1001)+1,0)</f>
        <v>1001</v>
      </c>
      <c r="C1002" t="str">
        <f t="shared" si="15"/>
        <v>Pulkovo 1942 / Gauss-Kruger CM 117E</v>
      </c>
    </row>
    <row r="1003" spans="1:3" x14ac:dyDescent="0.3">
      <c r="A1003" t="s">
        <v>1061</v>
      </c>
      <c r="B1003">
        <f>IF(ISNUMBER(SEARCH(Form!$C$11,Tabel2[[#This Row],[Coordinate Projection System]])),MAX($B$1:B1002)+1,0)</f>
        <v>1002</v>
      </c>
      <c r="C1003" t="str">
        <f t="shared" si="15"/>
        <v>Pulkovo 1942 / Gauss-Kruger CM 123E</v>
      </c>
    </row>
    <row r="1004" spans="1:3" x14ac:dyDescent="0.3">
      <c r="A1004" t="s">
        <v>1062</v>
      </c>
      <c r="B1004">
        <f>IF(ISNUMBER(SEARCH(Form!$C$11,Tabel2[[#This Row],[Coordinate Projection System]])),MAX($B$1:B1003)+1,0)</f>
        <v>1003</v>
      </c>
      <c r="C1004" t="str">
        <f t="shared" si="15"/>
        <v>Pulkovo 1942 / Gauss-Kruger CM 129E</v>
      </c>
    </row>
    <row r="1005" spans="1:3" x14ac:dyDescent="0.3">
      <c r="A1005" t="s">
        <v>1063</v>
      </c>
      <c r="B1005">
        <f>IF(ISNUMBER(SEARCH(Form!$C$11,Tabel2[[#This Row],[Coordinate Projection System]])),MAX($B$1:B1004)+1,0)</f>
        <v>1004</v>
      </c>
      <c r="C1005" t="str">
        <f t="shared" si="15"/>
        <v>Pulkovo 1942 / Gauss-Kruger CM 135E</v>
      </c>
    </row>
    <row r="1006" spans="1:3" x14ac:dyDescent="0.3">
      <c r="A1006" t="s">
        <v>1064</v>
      </c>
      <c r="B1006">
        <f>IF(ISNUMBER(SEARCH(Form!$C$11,Tabel2[[#This Row],[Coordinate Projection System]])),MAX($B$1:B1005)+1,0)</f>
        <v>1005</v>
      </c>
      <c r="C1006" t="str">
        <f t="shared" si="15"/>
        <v>Pulkovo 1942 / Gauss-Kruger CM 141E</v>
      </c>
    </row>
    <row r="1007" spans="1:3" x14ac:dyDescent="0.3">
      <c r="A1007" t="s">
        <v>1065</v>
      </c>
      <c r="B1007">
        <f>IF(ISNUMBER(SEARCH(Form!$C$11,Tabel2[[#This Row],[Coordinate Projection System]])),MAX($B$1:B1006)+1,0)</f>
        <v>1006</v>
      </c>
      <c r="C1007" t="str">
        <f t="shared" si="15"/>
        <v>Pulkovo 1942 / Gauss-Kruger CM 147E</v>
      </c>
    </row>
    <row r="1008" spans="1:3" x14ac:dyDescent="0.3">
      <c r="A1008" t="s">
        <v>1066</v>
      </c>
      <c r="B1008">
        <f>IF(ISNUMBER(SEARCH(Form!$C$11,Tabel2[[#This Row],[Coordinate Projection System]])),MAX($B$1:B1007)+1,0)</f>
        <v>1007</v>
      </c>
      <c r="C1008" t="str">
        <f t="shared" si="15"/>
        <v>Pulkovo 1942 / Gauss-Kruger CM 153E</v>
      </c>
    </row>
    <row r="1009" spans="1:3" x14ac:dyDescent="0.3">
      <c r="A1009" t="s">
        <v>1067</v>
      </c>
      <c r="B1009">
        <f>IF(ISNUMBER(SEARCH(Form!$C$11,Tabel2[[#This Row],[Coordinate Projection System]])),MAX($B$1:B1008)+1,0)</f>
        <v>1008</v>
      </c>
      <c r="C1009" t="str">
        <f t="shared" si="15"/>
        <v>Pulkovo 1942 / Gauss-Kruger CM 159E</v>
      </c>
    </row>
    <row r="1010" spans="1:3" x14ac:dyDescent="0.3">
      <c r="A1010" t="s">
        <v>1068</v>
      </c>
      <c r="B1010">
        <f>IF(ISNUMBER(SEARCH(Form!$C$11,Tabel2[[#This Row],[Coordinate Projection System]])),MAX($B$1:B1009)+1,0)</f>
        <v>1009</v>
      </c>
      <c r="C1010" t="str">
        <f t="shared" si="15"/>
        <v>Pulkovo 1942 / Gauss-Kruger CM 165E</v>
      </c>
    </row>
    <row r="1011" spans="1:3" x14ac:dyDescent="0.3">
      <c r="A1011" t="s">
        <v>1069</v>
      </c>
      <c r="B1011">
        <f>IF(ISNUMBER(SEARCH(Form!$C$11,Tabel2[[#This Row],[Coordinate Projection System]])),MAX($B$1:B1010)+1,0)</f>
        <v>1010</v>
      </c>
      <c r="C1011" t="str">
        <f t="shared" si="15"/>
        <v>Pulkovo 1942 / Gauss-Kruger CM 171E</v>
      </c>
    </row>
    <row r="1012" spans="1:3" x14ac:dyDescent="0.3">
      <c r="A1012" t="s">
        <v>1070</v>
      </c>
      <c r="B1012">
        <f>IF(ISNUMBER(SEARCH(Form!$C$11,Tabel2[[#This Row],[Coordinate Projection System]])),MAX($B$1:B1011)+1,0)</f>
        <v>1011</v>
      </c>
      <c r="C1012" t="str">
        <f t="shared" si="15"/>
        <v>Pulkovo 1942 / Gauss-Kruger CM 177E</v>
      </c>
    </row>
    <row r="1013" spans="1:3" x14ac:dyDescent="0.3">
      <c r="A1013" t="s">
        <v>1071</v>
      </c>
      <c r="B1013">
        <f>IF(ISNUMBER(SEARCH(Form!$C$11,Tabel2[[#This Row],[Coordinate Projection System]])),MAX($B$1:B1012)+1,0)</f>
        <v>1012</v>
      </c>
      <c r="C1013" t="str">
        <f t="shared" si="15"/>
        <v>Pulkovo 1942 / Gauss-Kruger CM 177W</v>
      </c>
    </row>
    <row r="1014" spans="1:3" x14ac:dyDescent="0.3">
      <c r="A1014" t="s">
        <v>1072</v>
      </c>
      <c r="B1014">
        <f>IF(ISNUMBER(SEARCH(Form!$C$11,Tabel2[[#This Row],[Coordinate Projection System]])),MAX($B$1:B1013)+1,0)</f>
        <v>1013</v>
      </c>
      <c r="C1014" t="str">
        <f t="shared" si="15"/>
        <v>Pulkovo 1942 / Gauss-Kruger CM 171W</v>
      </c>
    </row>
    <row r="1015" spans="1:3" x14ac:dyDescent="0.3">
      <c r="A1015" t="s">
        <v>1073</v>
      </c>
      <c r="B1015">
        <f>IF(ISNUMBER(SEARCH(Form!$C$11,Tabel2[[#This Row],[Coordinate Projection System]])),MAX($B$1:B1014)+1,0)</f>
        <v>1014</v>
      </c>
      <c r="C1015" t="str">
        <f t="shared" si="15"/>
        <v>Pulkovo 1942 / 3-degree Gauss-Kruger zone 7</v>
      </c>
    </row>
    <row r="1016" spans="1:3" x14ac:dyDescent="0.3">
      <c r="A1016" t="s">
        <v>1074</v>
      </c>
      <c r="B1016">
        <f>IF(ISNUMBER(SEARCH(Form!$C$11,Tabel2[[#This Row],[Coordinate Projection System]])),MAX($B$1:B1015)+1,0)</f>
        <v>1015</v>
      </c>
      <c r="C1016" t="str">
        <f t="shared" si="15"/>
        <v>Pulkovo 1942 / 3-degree Gauss-Kruger zone 8</v>
      </c>
    </row>
    <row r="1017" spans="1:3" x14ac:dyDescent="0.3">
      <c r="A1017" t="s">
        <v>1075</v>
      </c>
      <c r="B1017">
        <f>IF(ISNUMBER(SEARCH(Form!$C$11,Tabel2[[#This Row],[Coordinate Projection System]])),MAX($B$1:B1016)+1,0)</f>
        <v>1016</v>
      </c>
      <c r="C1017" t="str">
        <f t="shared" si="15"/>
        <v>Pulkovo 1942 / 3-degree Gauss-Kruger zone 9</v>
      </c>
    </row>
    <row r="1018" spans="1:3" x14ac:dyDescent="0.3">
      <c r="A1018" t="s">
        <v>1076</v>
      </c>
      <c r="B1018">
        <f>IF(ISNUMBER(SEARCH(Form!$C$11,Tabel2[[#This Row],[Coordinate Projection System]])),MAX($B$1:B1017)+1,0)</f>
        <v>1017</v>
      </c>
      <c r="C1018" t="str">
        <f t="shared" si="15"/>
        <v>Pulkovo 1942 / 3-degree Gauss-Kruger zone 10</v>
      </c>
    </row>
    <row r="1019" spans="1:3" x14ac:dyDescent="0.3">
      <c r="A1019" t="s">
        <v>1077</v>
      </c>
      <c r="B1019">
        <f>IF(ISNUMBER(SEARCH(Form!$C$11,Tabel2[[#This Row],[Coordinate Projection System]])),MAX($B$1:B1018)+1,0)</f>
        <v>1018</v>
      </c>
      <c r="C1019" t="str">
        <f t="shared" si="15"/>
        <v>Pulkovo 1942 / 3-degree Gauss-Kruger zone 11</v>
      </c>
    </row>
    <row r="1020" spans="1:3" x14ac:dyDescent="0.3">
      <c r="A1020" t="s">
        <v>1078</v>
      </c>
      <c r="B1020">
        <f>IF(ISNUMBER(SEARCH(Form!$C$11,Tabel2[[#This Row],[Coordinate Projection System]])),MAX($B$1:B1019)+1,0)</f>
        <v>1019</v>
      </c>
      <c r="C1020" t="str">
        <f t="shared" si="15"/>
        <v>Pulkovo 1942 / 3-degree Gauss-Kruger zone 12</v>
      </c>
    </row>
    <row r="1021" spans="1:3" x14ac:dyDescent="0.3">
      <c r="A1021" t="s">
        <v>1079</v>
      </c>
      <c r="B1021">
        <f>IF(ISNUMBER(SEARCH(Form!$C$11,Tabel2[[#This Row],[Coordinate Projection System]])),MAX($B$1:B1020)+1,0)</f>
        <v>1020</v>
      </c>
      <c r="C1021" t="str">
        <f t="shared" si="15"/>
        <v>Pulkovo 1942 / 3-degree Gauss-Kruger zone 13</v>
      </c>
    </row>
    <row r="1022" spans="1:3" x14ac:dyDescent="0.3">
      <c r="A1022" t="s">
        <v>1080</v>
      </c>
      <c r="B1022">
        <f>IF(ISNUMBER(SEARCH(Form!$C$11,Tabel2[[#This Row],[Coordinate Projection System]])),MAX($B$1:B1021)+1,0)</f>
        <v>1021</v>
      </c>
      <c r="C1022" t="str">
        <f t="shared" si="15"/>
        <v>Pulkovo 1942 / 3-degree Gauss-Kruger zone 14</v>
      </c>
    </row>
    <row r="1023" spans="1:3" x14ac:dyDescent="0.3">
      <c r="A1023" t="s">
        <v>1081</v>
      </c>
      <c r="B1023">
        <f>IF(ISNUMBER(SEARCH(Form!$C$11,Tabel2[[#This Row],[Coordinate Projection System]])),MAX($B$1:B1022)+1,0)</f>
        <v>1022</v>
      </c>
      <c r="C1023" t="str">
        <f t="shared" si="15"/>
        <v>Pulkovo 1942 / 3-degree Gauss-Kruger zone 15</v>
      </c>
    </row>
    <row r="1024" spans="1:3" x14ac:dyDescent="0.3">
      <c r="A1024" t="s">
        <v>1082</v>
      </c>
      <c r="B1024">
        <f>IF(ISNUMBER(SEARCH(Form!$C$11,Tabel2[[#This Row],[Coordinate Projection System]])),MAX($B$1:B1023)+1,0)</f>
        <v>1023</v>
      </c>
      <c r="C1024" t="str">
        <f t="shared" si="15"/>
        <v>Pulkovo 1942 / 3-degree Gauss-Kruger zone 16</v>
      </c>
    </row>
    <row r="1025" spans="1:3" x14ac:dyDescent="0.3">
      <c r="A1025" t="s">
        <v>1083</v>
      </c>
      <c r="B1025">
        <f>IF(ISNUMBER(SEARCH(Form!$C$11,Tabel2[[#This Row],[Coordinate Projection System]])),MAX($B$1:B1024)+1,0)</f>
        <v>1024</v>
      </c>
      <c r="C1025" t="str">
        <f t="shared" si="15"/>
        <v>Pulkovo 1942 / 3-degree Gauss-Kruger zone 17</v>
      </c>
    </row>
    <row r="1026" spans="1:3" x14ac:dyDescent="0.3">
      <c r="A1026" t="s">
        <v>1084</v>
      </c>
      <c r="B1026">
        <f>IF(ISNUMBER(SEARCH(Form!$C$11,Tabel2[[#This Row],[Coordinate Projection System]])),MAX($B$1:B1025)+1,0)</f>
        <v>1025</v>
      </c>
      <c r="C1026" t="str">
        <f t="shared" si="15"/>
        <v>Pulkovo 1942 / 3-degree Gauss-Kruger zone 18</v>
      </c>
    </row>
    <row r="1027" spans="1:3" x14ac:dyDescent="0.3">
      <c r="A1027" t="s">
        <v>1085</v>
      </c>
      <c r="B1027">
        <f>IF(ISNUMBER(SEARCH(Form!$C$11,Tabel2[[#This Row],[Coordinate Projection System]])),MAX($B$1:B1026)+1,0)</f>
        <v>1026</v>
      </c>
      <c r="C1027" t="str">
        <f t="shared" ref="C1027:C1090" si="16">_xlfn.IFNA(INDEX(A1027:A6538,MATCH(ROW(C1026),B1027:B6538,0)),"")</f>
        <v>Pulkovo 1942 / 3-degree Gauss-Kruger zone 19</v>
      </c>
    </row>
    <row r="1028" spans="1:3" x14ac:dyDescent="0.3">
      <c r="A1028" t="s">
        <v>1086</v>
      </c>
      <c r="B1028">
        <f>IF(ISNUMBER(SEARCH(Form!$C$11,Tabel2[[#This Row],[Coordinate Projection System]])),MAX($B$1:B1027)+1,0)</f>
        <v>1027</v>
      </c>
      <c r="C1028" t="str">
        <f t="shared" si="16"/>
        <v>Pulkovo 1942 / 3-degree Gauss-Kruger zone 20</v>
      </c>
    </row>
    <row r="1029" spans="1:3" x14ac:dyDescent="0.3">
      <c r="A1029" t="s">
        <v>1087</v>
      </c>
      <c r="B1029">
        <f>IF(ISNUMBER(SEARCH(Form!$C$11,Tabel2[[#This Row],[Coordinate Projection System]])),MAX($B$1:B1028)+1,0)</f>
        <v>1028</v>
      </c>
      <c r="C1029" t="str">
        <f t="shared" si="16"/>
        <v>Pulkovo 1942 / 3-degree Gauss-Kruger zone 21</v>
      </c>
    </row>
    <row r="1030" spans="1:3" x14ac:dyDescent="0.3">
      <c r="A1030" t="s">
        <v>1088</v>
      </c>
      <c r="B1030">
        <f>IF(ISNUMBER(SEARCH(Form!$C$11,Tabel2[[#This Row],[Coordinate Projection System]])),MAX($B$1:B1029)+1,0)</f>
        <v>1029</v>
      </c>
      <c r="C1030" t="str">
        <f t="shared" si="16"/>
        <v>Pulkovo 1942 / 3-degree Gauss-Kruger zone 22</v>
      </c>
    </row>
    <row r="1031" spans="1:3" x14ac:dyDescent="0.3">
      <c r="A1031" t="s">
        <v>1089</v>
      </c>
      <c r="B1031">
        <f>IF(ISNUMBER(SEARCH(Form!$C$11,Tabel2[[#This Row],[Coordinate Projection System]])),MAX($B$1:B1030)+1,0)</f>
        <v>1030</v>
      </c>
      <c r="C1031" t="str">
        <f t="shared" si="16"/>
        <v>Pulkovo 1942 / 3-degree Gauss-Kruger zone 23</v>
      </c>
    </row>
    <row r="1032" spans="1:3" x14ac:dyDescent="0.3">
      <c r="A1032" t="s">
        <v>1090</v>
      </c>
      <c r="B1032">
        <f>IF(ISNUMBER(SEARCH(Form!$C$11,Tabel2[[#This Row],[Coordinate Projection System]])),MAX($B$1:B1031)+1,0)</f>
        <v>1031</v>
      </c>
      <c r="C1032" t="str">
        <f t="shared" si="16"/>
        <v>Pulkovo 1942 / 3-degree Gauss-Kruger zone 24</v>
      </c>
    </row>
    <row r="1033" spans="1:3" x14ac:dyDescent="0.3">
      <c r="A1033" t="s">
        <v>1091</v>
      </c>
      <c r="B1033">
        <f>IF(ISNUMBER(SEARCH(Form!$C$11,Tabel2[[#This Row],[Coordinate Projection System]])),MAX($B$1:B1032)+1,0)</f>
        <v>1032</v>
      </c>
      <c r="C1033" t="str">
        <f t="shared" si="16"/>
        <v>Pulkovo 1942 / 3-degree Gauss-Kruger zone 25</v>
      </c>
    </row>
    <row r="1034" spans="1:3" x14ac:dyDescent="0.3">
      <c r="A1034" t="s">
        <v>1092</v>
      </c>
      <c r="B1034">
        <f>IF(ISNUMBER(SEARCH(Form!$C$11,Tabel2[[#This Row],[Coordinate Projection System]])),MAX($B$1:B1033)+1,0)</f>
        <v>1033</v>
      </c>
      <c r="C1034" t="str">
        <f t="shared" si="16"/>
        <v>Pulkovo 1942 / 3-degree Gauss-Kruger zone 26</v>
      </c>
    </row>
    <row r="1035" spans="1:3" x14ac:dyDescent="0.3">
      <c r="A1035" t="s">
        <v>1093</v>
      </c>
      <c r="B1035">
        <f>IF(ISNUMBER(SEARCH(Form!$C$11,Tabel2[[#This Row],[Coordinate Projection System]])),MAX($B$1:B1034)+1,0)</f>
        <v>1034</v>
      </c>
      <c r="C1035" t="str">
        <f t="shared" si="16"/>
        <v>Pulkovo 1942 / 3-degree Gauss-Kruger zone 27</v>
      </c>
    </row>
    <row r="1036" spans="1:3" x14ac:dyDescent="0.3">
      <c r="A1036" t="s">
        <v>1094</v>
      </c>
      <c r="B1036">
        <f>IF(ISNUMBER(SEARCH(Form!$C$11,Tabel2[[#This Row],[Coordinate Projection System]])),MAX($B$1:B1035)+1,0)</f>
        <v>1035</v>
      </c>
      <c r="C1036" t="str">
        <f t="shared" si="16"/>
        <v>Pulkovo 1942 / 3-degree Gauss-Kruger zone 28</v>
      </c>
    </row>
    <row r="1037" spans="1:3" x14ac:dyDescent="0.3">
      <c r="A1037" t="s">
        <v>1095</v>
      </c>
      <c r="B1037">
        <f>IF(ISNUMBER(SEARCH(Form!$C$11,Tabel2[[#This Row],[Coordinate Projection System]])),MAX($B$1:B1036)+1,0)</f>
        <v>1036</v>
      </c>
      <c r="C1037" t="str">
        <f t="shared" si="16"/>
        <v>Pulkovo 1942 / 3-degree Gauss-Kruger zone 29</v>
      </c>
    </row>
    <row r="1038" spans="1:3" x14ac:dyDescent="0.3">
      <c r="A1038" t="s">
        <v>1096</v>
      </c>
      <c r="B1038">
        <f>IF(ISNUMBER(SEARCH(Form!$C$11,Tabel2[[#This Row],[Coordinate Projection System]])),MAX($B$1:B1037)+1,0)</f>
        <v>1037</v>
      </c>
      <c r="C1038" t="str">
        <f t="shared" si="16"/>
        <v>Pulkovo 1942 / 3-degree Gauss-Kruger zone 30</v>
      </c>
    </row>
    <row r="1039" spans="1:3" x14ac:dyDescent="0.3">
      <c r="A1039" t="s">
        <v>1097</v>
      </c>
      <c r="B1039">
        <f>IF(ISNUMBER(SEARCH(Form!$C$11,Tabel2[[#This Row],[Coordinate Projection System]])),MAX($B$1:B1038)+1,0)</f>
        <v>1038</v>
      </c>
      <c r="C1039" t="str">
        <f t="shared" si="16"/>
        <v>Pulkovo 1942 / 3-degree Gauss-Kruger zone 31</v>
      </c>
    </row>
    <row r="1040" spans="1:3" x14ac:dyDescent="0.3">
      <c r="A1040" t="s">
        <v>1098</v>
      </c>
      <c r="B1040">
        <f>IF(ISNUMBER(SEARCH(Form!$C$11,Tabel2[[#This Row],[Coordinate Projection System]])),MAX($B$1:B1039)+1,0)</f>
        <v>1039</v>
      </c>
      <c r="C1040" t="str">
        <f t="shared" si="16"/>
        <v>Pulkovo 1942 / 3-degree Gauss-Kruger zone 32</v>
      </c>
    </row>
    <row r="1041" spans="1:3" x14ac:dyDescent="0.3">
      <c r="A1041" t="s">
        <v>1099</v>
      </c>
      <c r="B1041">
        <f>IF(ISNUMBER(SEARCH(Form!$C$11,Tabel2[[#This Row],[Coordinate Projection System]])),MAX($B$1:B1040)+1,0)</f>
        <v>1040</v>
      </c>
      <c r="C1041" t="str">
        <f t="shared" si="16"/>
        <v>Pulkovo 1942 / 3-degree Gauss-Kruger zone 33</v>
      </c>
    </row>
    <row r="1042" spans="1:3" x14ac:dyDescent="0.3">
      <c r="A1042" t="s">
        <v>1100</v>
      </c>
      <c r="B1042">
        <f>IF(ISNUMBER(SEARCH(Form!$C$11,Tabel2[[#This Row],[Coordinate Projection System]])),MAX($B$1:B1041)+1,0)</f>
        <v>1041</v>
      </c>
      <c r="C1042" t="str">
        <f t="shared" si="16"/>
        <v>Samboja / UTM zone 50S (deprecated)</v>
      </c>
    </row>
    <row r="1043" spans="1:3" x14ac:dyDescent="0.3">
      <c r="A1043" t="s">
        <v>1101</v>
      </c>
      <c r="B1043">
        <f>IF(ISNUMBER(SEARCH(Form!$C$11,Tabel2[[#This Row],[Coordinate Projection System]])),MAX($B$1:B1042)+1,0)</f>
        <v>1042</v>
      </c>
      <c r="C1043" t="str">
        <f t="shared" si="16"/>
        <v>Pulkovo 1942 / 3-degree Gauss-Kruger zone 34</v>
      </c>
    </row>
    <row r="1044" spans="1:3" x14ac:dyDescent="0.3">
      <c r="A1044" t="s">
        <v>1102</v>
      </c>
      <c r="B1044">
        <f>IF(ISNUMBER(SEARCH(Form!$C$11,Tabel2[[#This Row],[Coordinate Projection System]])),MAX($B$1:B1043)+1,0)</f>
        <v>1043</v>
      </c>
      <c r="C1044" t="str">
        <f t="shared" si="16"/>
        <v>Pulkovo 1942 / 3-degree Gauss-Kruger zone 35</v>
      </c>
    </row>
    <row r="1045" spans="1:3" x14ac:dyDescent="0.3">
      <c r="A1045" t="s">
        <v>1103</v>
      </c>
      <c r="B1045">
        <f>IF(ISNUMBER(SEARCH(Form!$C$11,Tabel2[[#This Row],[Coordinate Projection System]])),MAX($B$1:B1044)+1,0)</f>
        <v>1044</v>
      </c>
      <c r="C1045" t="str">
        <f t="shared" si="16"/>
        <v>Pulkovo 1942 / 3-degree Gauss-Kruger zone 36</v>
      </c>
    </row>
    <row r="1046" spans="1:3" x14ac:dyDescent="0.3">
      <c r="A1046" t="s">
        <v>1104</v>
      </c>
      <c r="B1046">
        <f>IF(ISNUMBER(SEARCH(Form!$C$11,Tabel2[[#This Row],[Coordinate Projection System]])),MAX($B$1:B1045)+1,0)</f>
        <v>1045</v>
      </c>
      <c r="C1046" t="str">
        <f t="shared" si="16"/>
        <v>Pulkovo 1942 / 3-degree Gauss-Kruger zone 37</v>
      </c>
    </row>
    <row r="1047" spans="1:3" x14ac:dyDescent="0.3">
      <c r="A1047" t="s">
        <v>1105</v>
      </c>
      <c r="B1047">
        <f>IF(ISNUMBER(SEARCH(Form!$C$11,Tabel2[[#This Row],[Coordinate Projection System]])),MAX($B$1:B1046)+1,0)</f>
        <v>1046</v>
      </c>
      <c r="C1047" t="str">
        <f t="shared" si="16"/>
        <v>Pulkovo 1942 / 3-degree Gauss-Kruger zone 38</v>
      </c>
    </row>
    <row r="1048" spans="1:3" x14ac:dyDescent="0.3">
      <c r="A1048" t="s">
        <v>1106</v>
      </c>
      <c r="B1048">
        <f>IF(ISNUMBER(SEARCH(Form!$C$11,Tabel2[[#This Row],[Coordinate Projection System]])),MAX($B$1:B1047)+1,0)</f>
        <v>1047</v>
      </c>
      <c r="C1048" t="str">
        <f t="shared" si="16"/>
        <v>Pulkovo 1942 / 3-degree Gauss-Kruger zone 39</v>
      </c>
    </row>
    <row r="1049" spans="1:3" x14ac:dyDescent="0.3">
      <c r="A1049" t="s">
        <v>1107</v>
      </c>
      <c r="B1049">
        <f>IF(ISNUMBER(SEARCH(Form!$C$11,Tabel2[[#This Row],[Coordinate Projection System]])),MAX($B$1:B1048)+1,0)</f>
        <v>1048</v>
      </c>
      <c r="C1049" t="str">
        <f t="shared" si="16"/>
        <v>Pulkovo 1942 / 3-degree Gauss-Kruger zone 40</v>
      </c>
    </row>
    <row r="1050" spans="1:3" x14ac:dyDescent="0.3">
      <c r="A1050" t="s">
        <v>1108</v>
      </c>
      <c r="B1050">
        <f>IF(ISNUMBER(SEARCH(Form!$C$11,Tabel2[[#This Row],[Coordinate Projection System]])),MAX($B$1:B1049)+1,0)</f>
        <v>1049</v>
      </c>
      <c r="C1050" t="str">
        <f t="shared" si="16"/>
        <v>Pulkovo 1942 / 3-degree Gauss-Kruger zone 41</v>
      </c>
    </row>
    <row r="1051" spans="1:3" x14ac:dyDescent="0.3">
      <c r="A1051" t="s">
        <v>1109</v>
      </c>
      <c r="B1051">
        <f>IF(ISNUMBER(SEARCH(Form!$C$11,Tabel2[[#This Row],[Coordinate Projection System]])),MAX($B$1:B1050)+1,0)</f>
        <v>1050</v>
      </c>
      <c r="C1051" t="str">
        <f t="shared" si="16"/>
        <v>Pulkovo 1942 / 3-degree Gauss-Kruger zone 42</v>
      </c>
    </row>
    <row r="1052" spans="1:3" x14ac:dyDescent="0.3">
      <c r="A1052" t="s">
        <v>1110</v>
      </c>
      <c r="B1052">
        <f>IF(ISNUMBER(SEARCH(Form!$C$11,Tabel2[[#This Row],[Coordinate Projection System]])),MAX($B$1:B1051)+1,0)</f>
        <v>1051</v>
      </c>
      <c r="C1052" t="str">
        <f t="shared" si="16"/>
        <v>Pulkovo 1942 / 3-degree Gauss-Kruger zone 43</v>
      </c>
    </row>
    <row r="1053" spans="1:3" x14ac:dyDescent="0.3">
      <c r="A1053" t="s">
        <v>1111</v>
      </c>
      <c r="B1053">
        <f>IF(ISNUMBER(SEARCH(Form!$C$11,Tabel2[[#This Row],[Coordinate Projection System]])),MAX($B$1:B1052)+1,0)</f>
        <v>1052</v>
      </c>
      <c r="C1053" t="str">
        <f t="shared" si="16"/>
        <v>Pulkovo 1942 / 3-degree Gauss-Kruger zone 44</v>
      </c>
    </row>
    <row r="1054" spans="1:3" x14ac:dyDescent="0.3">
      <c r="A1054" t="s">
        <v>1112</v>
      </c>
      <c r="B1054">
        <f>IF(ISNUMBER(SEARCH(Form!$C$11,Tabel2[[#This Row],[Coordinate Projection System]])),MAX($B$1:B1053)+1,0)</f>
        <v>1053</v>
      </c>
      <c r="C1054" t="str">
        <f t="shared" si="16"/>
        <v>Pulkovo 1942 / 3-degree Gauss-Kruger zone 45</v>
      </c>
    </row>
    <row r="1055" spans="1:3" x14ac:dyDescent="0.3">
      <c r="A1055" t="s">
        <v>1113</v>
      </c>
      <c r="B1055">
        <f>IF(ISNUMBER(SEARCH(Form!$C$11,Tabel2[[#This Row],[Coordinate Projection System]])),MAX($B$1:B1054)+1,0)</f>
        <v>1054</v>
      </c>
      <c r="C1055" t="str">
        <f t="shared" si="16"/>
        <v>Pulkovo 1942 / 3-degree Gauss-Kruger zone 46</v>
      </c>
    </row>
    <row r="1056" spans="1:3" x14ac:dyDescent="0.3">
      <c r="A1056" t="s">
        <v>1114</v>
      </c>
      <c r="B1056">
        <f>IF(ISNUMBER(SEARCH(Form!$C$11,Tabel2[[#This Row],[Coordinate Projection System]])),MAX($B$1:B1055)+1,0)</f>
        <v>1055</v>
      </c>
      <c r="C1056" t="str">
        <f t="shared" si="16"/>
        <v>Pulkovo 1942 / 3-degree Gauss-Kruger zone 47</v>
      </c>
    </row>
    <row r="1057" spans="1:3" x14ac:dyDescent="0.3">
      <c r="A1057" t="s">
        <v>1115</v>
      </c>
      <c r="B1057">
        <f>IF(ISNUMBER(SEARCH(Form!$C$11,Tabel2[[#This Row],[Coordinate Projection System]])),MAX($B$1:B1056)+1,0)</f>
        <v>1056</v>
      </c>
      <c r="C1057" t="str">
        <f t="shared" si="16"/>
        <v>Pulkovo 1942 / 3-degree Gauss-Kruger zone 48</v>
      </c>
    </row>
    <row r="1058" spans="1:3" x14ac:dyDescent="0.3">
      <c r="A1058" t="s">
        <v>1116</v>
      </c>
      <c r="B1058">
        <f>IF(ISNUMBER(SEARCH(Form!$C$11,Tabel2[[#This Row],[Coordinate Projection System]])),MAX($B$1:B1057)+1,0)</f>
        <v>1057</v>
      </c>
      <c r="C1058" t="str">
        <f t="shared" si="16"/>
        <v>Pulkovo 1942 / 3-degree Gauss-Kruger zone 49</v>
      </c>
    </row>
    <row r="1059" spans="1:3" x14ac:dyDescent="0.3">
      <c r="A1059" t="s">
        <v>1117</v>
      </c>
      <c r="B1059">
        <f>IF(ISNUMBER(SEARCH(Form!$C$11,Tabel2[[#This Row],[Coordinate Projection System]])),MAX($B$1:B1058)+1,0)</f>
        <v>1058</v>
      </c>
      <c r="C1059" t="str">
        <f t="shared" si="16"/>
        <v>Pulkovo 1942 / 3-degree Gauss-Kruger zone 50</v>
      </c>
    </row>
    <row r="1060" spans="1:3" x14ac:dyDescent="0.3">
      <c r="A1060" t="s">
        <v>1118</v>
      </c>
      <c r="B1060">
        <f>IF(ISNUMBER(SEARCH(Form!$C$11,Tabel2[[#This Row],[Coordinate Projection System]])),MAX($B$1:B1059)+1,0)</f>
        <v>1059</v>
      </c>
      <c r="C1060" t="str">
        <f t="shared" si="16"/>
        <v>Pulkovo 1942 / 3-degree Gauss-Kruger zone 51</v>
      </c>
    </row>
    <row r="1061" spans="1:3" x14ac:dyDescent="0.3">
      <c r="A1061" t="s">
        <v>1119</v>
      </c>
      <c r="B1061">
        <f>IF(ISNUMBER(SEARCH(Form!$C$11,Tabel2[[#This Row],[Coordinate Projection System]])),MAX($B$1:B1060)+1,0)</f>
        <v>1060</v>
      </c>
      <c r="C1061" t="str">
        <f t="shared" si="16"/>
        <v>Pulkovo 1942 / 3-degree Gauss-Kruger zone 52</v>
      </c>
    </row>
    <row r="1062" spans="1:3" x14ac:dyDescent="0.3">
      <c r="A1062" t="s">
        <v>1120</v>
      </c>
      <c r="B1062">
        <f>IF(ISNUMBER(SEARCH(Form!$C$11,Tabel2[[#This Row],[Coordinate Projection System]])),MAX($B$1:B1061)+1,0)</f>
        <v>1061</v>
      </c>
      <c r="C1062" t="str">
        <f t="shared" si="16"/>
        <v>Pulkovo 1942 / 3-degree Gauss-Kruger zone 53</v>
      </c>
    </row>
    <row r="1063" spans="1:3" x14ac:dyDescent="0.3">
      <c r="A1063" t="s">
        <v>1121</v>
      </c>
      <c r="B1063">
        <f>IF(ISNUMBER(SEARCH(Form!$C$11,Tabel2[[#This Row],[Coordinate Projection System]])),MAX($B$1:B1062)+1,0)</f>
        <v>1062</v>
      </c>
      <c r="C1063" t="str">
        <f t="shared" si="16"/>
        <v>Pulkovo 1942 / 3-degree Gauss-Kruger zone 54</v>
      </c>
    </row>
    <row r="1064" spans="1:3" x14ac:dyDescent="0.3">
      <c r="A1064" t="s">
        <v>1122</v>
      </c>
      <c r="B1064">
        <f>IF(ISNUMBER(SEARCH(Form!$C$11,Tabel2[[#This Row],[Coordinate Projection System]])),MAX($B$1:B1063)+1,0)</f>
        <v>1063</v>
      </c>
      <c r="C1064" t="str">
        <f t="shared" si="16"/>
        <v>Pulkovo 1942 / 3-degree Gauss-Kruger zone 55</v>
      </c>
    </row>
    <row r="1065" spans="1:3" x14ac:dyDescent="0.3">
      <c r="A1065" t="s">
        <v>1123</v>
      </c>
      <c r="B1065">
        <f>IF(ISNUMBER(SEARCH(Form!$C$11,Tabel2[[#This Row],[Coordinate Projection System]])),MAX($B$1:B1064)+1,0)</f>
        <v>1064</v>
      </c>
      <c r="C1065" t="str">
        <f t="shared" si="16"/>
        <v>Pulkovo 1942 / 3-degree Gauss-Kruger zone 56</v>
      </c>
    </row>
    <row r="1066" spans="1:3" x14ac:dyDescent="0.3">
      <c r="A1066" t="s">
        <v>1124</v>
      </c>
      <c r="B1066">
        <f>IF(ISNUMBER(SEARCH(Form!$C$11,Tabel2[[#This Row],[Coordinate Projection System]])),MAX($B$1:B1065)+1,0)</f>
        <v>1065</v>
      </c>
      <c r="C1066" t="str">
        <f t="shared" si="16"/>
        <v>Pulkovo 1942 / 3-degree Gauss-Kruger zone 57</v>
      </c>
    </row>
    <row r="1067" spans="1:3" x14ac:dyDescent="0.3">
      <c r="A1067" t="s">
        <v>1125</v>
      </c>
      <c r="B1067">
        <f>IF(ISNUMBER(SEARCH(Form!$C$11,Tabel2[[#This Row],[Coordinate Projection System]])),MAX($B$1:B1066)+1,0)</f>
        <v>1066</v>
      </c>
      <c r="C1067" t="str">
        <f t="shared" si="16"/>
        <v>Pulkovo 1942 / 3-degree Gauss-Kruger zone 58</v>
      </c>
    </row>
    <row r="1068" spans="1:3" x14ac:dyDescent="0.3">
      <c r="A1068" t="s">
        <v>1126</v>
      </c>
      <c r="B1068">
        <f>IF(ISNUMBER(SEARCH(Form!$C$11,Tabel2[[#This Row],[Coordinate Projection System]])),MAX($B$1:B1067)+1,0)</f>
        <v>1067</v>
      </c>
      <c r="C1068" t="str">
        <f t="shared" si="16"/>
        <v>Pulkovo 1942 / 3-degree Gauss-Kruger zone 59</v>
      </c>
    </row>
    <row r="1069" spans="1:3" x14ac:dyDescent="0.3">
      <c r="A1069" t="s">
        <v>1127</v>
      </c>
      <c r="B1069">
        <f>IF(ISNUMBER(SEARCH(Form!$C$11,Tabel2[[#This Row],[Coordinate Projection System]])),MAX($B$1:B1068)+1,0)</f>
        <v>1068</v>
      </c>
      <c r="C1069" t="str">
        <f t="shared" si="16"/>
        <v>Pulkovo 1942 / 3-degree Gauss-Kruger zone 60 (deprecated)</v>
      </c>
    </row>
    <row r="1070" spans="1:3" x14ac:dyDescent="0.3">
      <c r="A1070" t="s">
        <v>1128</v>
      </c>
      <c r="B1070">
        <f>IF(ISNUMBER(SEARCH(Form!$C$11,Tabel2[[#This Row],[Coordinate Projection System]])),MAX($B$1:B1069)+1,0)</f>
        <v>1069</v>
      </c>
      <c r="C1070" t="str">
        <f t="shared" si="16"/>
        <v>Pulkovo 1942 / 3-degree Gauss-Kruger zone 61</v>
      </c>
    </row>
    <row r="1071" spans="1:3" x14ac:dyDescent="0.3">
      <c r="A1071" t="s">
        <v>1129</v>
      </c>
      <c r="B1071">
        <f>IF(ISNUMBER(SEARCH(Form!$C$11,Tabel2[[#This Row],[Coordinate Projection System]])),MAX($B$1:B1070)+1,0)</f>
        <v>1070</v>
      </c>
      <c r="C1071" t="str">
        <f t="shared" si="16"/>
        <v>Pulkovo 1942 / 3-degree Gauss-Kruger zone 62</v>
      </c>
    </row>
    <row r="1072" spans="1:3" x14ac:dyDescent="0.3">
      <c r="A1072" t="s">
        <v>1130</v>
      </c>
      <c r="B1072">
        <f>IF(ISNUMBER(SEARCH(Form!$C$11,Tabel2[[#This Row],[Coordinate Projection System]])),MAX($B$1:B1071)+1,0)</f>
        <v>1071</v>
      </c>
      <c r="C1072" t="str">
        <f t="shared" si="16"/>
        <v>Pulkovo 1942 / 3-degree Gauss-Kruger zone 63</v>
      </c>
    </row>
    <row r="1073" spans="1:3" x14ac:dyDescent="0.3">
      <c r="A1073" t="s">
        <v>1131</v>
      </c>
      <c r="B1073">
        <f>IF(ISNUMBER(SEARCH(Form!$C$11,Tabel2[[#This Row],[Coordinate Projection System]])),MAX($B$1:B1072)+1,0)</f>
        <v>1072</v>
      </c>
      <c r="C1073" t="str">
        <f t="shared" si="16"/>
        <v>Pulkovo 1942 / 3-degree Gauss-Kruger zone 64</v>
      </c>
    </row>
    <row r="1074" spans="1:3" x14ac:dyDescent="0.3">
      <c r="A1074" t="s">
        <v>1132</v>
      </c>
      <c r="B1074">
        <f>IF(ISNUMBER(SEARCH(Form!$C$11,Tabel2[[#This Row],[Coordinate Projection System]])),MAX($B$1:B1073)+1,0)</f>
        <v>1073</v>
      </c>
      <c r="C1074" t="str">
        <f t="shared" si="16"/>
        <v>Pulkovo 1942 / 3-degree Gauss-Kruger CM 21E</v>
      </c>
    </row>
    <row r="1075" spans="1:3" x14ac:dyDescent="0.3">
      <c r="A1075" t="s">
        <v>1133</v>
      </c>
      <c r="B1075">
        <f>IF(ISNUMBER(SEARCH(Form!$C$11,Tabel2[[#This Row],[Coordinate Projection System]])),MAX($B$1:B1074)+1,0)</f>
        <v>1074</v>
      </c>
      <c r="C1075" t="str">
        <f t="shared" si="16"/>
        <v>Pulkovo 1942 / 3-degree Gauss-Kruger CM 24E</v>
      </c>
    </row>
    <row r="1076" spans="1:3" x14ac:dyDescent="0.3">
      <c r="A1076" t="s">
        <v>1134</v>
      </c>
      <c r="B1076">
        <f>IF(ISNUMBER(SEARCH(Form!$C$11,Tabel2[[#This Row],[Coordinate Projection System]])),MAX($B$1:B1075)+1,0)</f>
        <v>1075</v>
      </c>
      <c r="C1076" t="str">
        <f t="shared" si="16"/>
        <v>Pulkovo 1942 / 3-degree Gauss-Kruger CM 27E</v>
      </c>
    </row>
    <row r="1077" spans="1:3" x14ac:dyDescent="0.3">
      <c r="A1077" t="s">
        <v>1135</v>
      </c>
      <c r="B1077">
        <f>IF(ISNUMBER(SEARCH(Form!$C$11,Tabel2[[#This Row],[Coordinate Projection System]])),MAX($B$1:B1076)+1,0)</f>
        <v>1076</v>
      </c>
      <c r="C1077" t="str">
        <f t="shared" si="16"/>
        <v>Pulkovo 1942 / 3-degree Gauss-Kruger CM 30E</v>
      </c>
    </row>
    <row r="1078" spans="1:3" x14ac:dyDescent="0.3">
      <c r="A1078" t="s">
        <v>1136</v>
      </c>
      <c r="B1078">
        <f>IF(ISNUMBER(SEARCH(Form!$C$11,Tabel2[[#This Row],[Coordinate Projection System]])),MAX($B$1:B1077)+1,0)</f>
        <v>1077</v>
      </c>
      <c r="C1078" t="str">
        <f t="shared" si="16"/>
        <v>Pulkovo 1942 / 3-degree Gauss-Kruger CM 33E</v>
      </c>
    </row>
    <row r="1079" spans="1:3" x14ac:dyDescent="0.3">
      <c r="A1079" t="s">
        <v>1137</v>
      </c>
      <c r="B1079">
        <f>IF(ISNUMBER(SEARCH(Form!$C$11,Tabel2[[#This Row],[Coordinate Projection System]])),MAX($B$1:B1078)+1,0)</f>
        <v>1078</v>
      </c>
      <c r="C1079" t="str">
        <f t="shared" si="16"/>
        <v>Pulkovo 1942 / 3-degree Gauss-Kruger CM 36E</v>
      </c>
    </row>
    <row r="1080" spans="1:3" x14ac:dyDescent="0.3">
      <c r="A1080" t="s">
        <v>1138</v>
      </c>
      <c r="B1080">
        <f>IF(ISNUMBER(SEARCH(Form!$C$11,Tabel2[[#This Row],[Coordinate Projection System]])),MAX($B$1:B1079)+1,0)</f>
        <v>1079</v>
      </c>
      <c r="C1080" t="str">
        <f t="shared" si="16"/>
        <v>Pulkovo 1942 / 3-degree Gauss-Kruger CM 39E</v>
      </c>
    </row>
    <row r="1081" spans="1:3" x14ac:dyDescent="0.3">
      <c r="A1081" t="s">
        <v>1139</v>
      </c>
      <c r="B1081">
        <f>IF(ISNUMBER(SEARCH(Form!$C$11,Tabel2[[#This Row],[Coordinate Projection System]])),MAX($B$1:B1080)+1,0)</f>
        <v>1080</v>
      </c>
      <c r="C1081" t="str">
        <f t="shared" si="16"/>
        <v>Pulkovo 1942 / 3-degree Gauss-Kruger CM 42E</v>
      </c>
    </row>
    <row r="1082" spans="1:3" x14ac:dyDescent="0.3">
      <c r="A1082" t="s">
        <v>1140</v>
      </c>
      <c r="B1082">
        <f>IF(ISNUMBER(SEARCH(Form!$C$11,Tabel2[[#This Row],[Coordinate Projection System]])),MAX($B$1:B1081)+1,0)</f>
        <v>1081</v>
      </c>
      <c r="C1082" t="str">
        <f t="shared" si="16"/>
        <v>Pulkovo 1942 / 3-degree Gauss-Kruger CM 45E</v>
      </c>
    </row>
    <row r="1083" spans="1:3" x14ac:dyDescent="0.3">
      <c r="A1083" t="s">
        <v>1141</v>
      </c>
      <c r="B1083">
        <f>IF(ISNUMBER(SEARCH(Form!$C$11,Tabel2[[#This Row],[Coordinate Projection System]])),MAX($B$1:B1082)+1,0)</f>
        <v>1082</v>
      </c>
      <c r="C1083" t="str">
        <f t="shared" si="16"/>
        <v>Pulkovo 1942 / 3-degree Gauss-Kruger CM 48E</v>
      </c>
    </row>
    <row r="1084" spans="1:3" x14ac:dyDescent="0.3">
      <c r="A1084" t="s">
        <v>1142</v>
      </c>
      <c r="B1084">
        <f>IF(ISNUMBER(SEARCH(Form!$C$11,Tabel2[[#This Row],[Coordinate Projection System]])),MAX($B$1:B1083)+1,0)</f>
        <v>1083</v>
      </c>
      <c r="C1084" t="str">
        <f t="shared" si="16"/>
        <v>Pulkovo 1942 / 3-degree Gauss-Kruger CM 51E</v>
      </c>
    </row>
    <row r="1085" spans="1:3" x14ac:dyDescent="0.3">
      <c r="A1085" t="s">
        <v>1143</v>
      </c>
      <c r="B1085">
        <f>IF(ISNUMBER(SEARCH(Form!$C$11,Tabel2[[#This Row],[Coordinate Projection System]])),MAX($B$1:B1084)+1,0)</f>
        <v>1084</v>
      </c>
      <c r="C1085" t="str">
        <f t="shared" si="16"/>
        <v>Pulkovo 1942 / 3-degree Gauss-Kruger CM 54E</v>
      </c>
    </row>
    <row r="1086" spans="1:3" x14ac:dyDescent="0.3">
      <c r="A1086" t="s">
        <v>1144</v>
      </c>
      <c r="B1086">
        <f>IF(ISNUMBER(SEARCH(Form!$C$11,Tabel2[[#This Row],[Coordinate Projection System]])),MAX($B$1:B1085)+1,0)</f>
        <v>1085</v>
      </c>
      <c r="C1086" t="str">
        <f t="shared" si="16"/>
        <v>Pulkovo 1942 / 3-degree Gauss-Kruger CM 57E</v>
      </c>
    </row>
    <row r="1087" spans="1:3" x14ac:dyDescent="0.3">
      <c r="A1087" t="s">
        <v>1145</v>
      </c>
      <c r="B1087">
        <f>IF(ISNUMBER(SEARCH(Form!$C$11,Tabel2[[#This Row],[Coordinate Projection System]])),MAX($B$1:B1086)+1,0)</f>
        <v>1086</v>
      </c>
      <c r="C1087" t="str">
        <f t="shared" si="16"/>
        <v>Pulkovo 1942 / 3-degree Gauss-Kruger CM 60E</v>
      </c>
    </row>
    <row r="1088" spans="1:3" x14ac:dyDescent="0.3">
      <c r="A1088" t="s">
        <v>1146</v>
      </c>
      <c r="B1088">
        <f>IF(ISNUMBER(SEARCH(Form!$C$11,Tabel2[[#This Row],[Coordinate Projection System]])),MAX($B$1:B1087)+1,0)</f>
        <v>1087</v>
      </c>
      <c r="C1088" t="str">
        <f t="shared" si="16"/>
        <v>Pulkovo 1942 / 3-degree Gauss-Kruger CM 63E</v>
      </c>
    </row>
    <row r="1089" spans="1:3" x14ac:dyDescent="0.3">
      <c r="A1089" t="s">
        <v>1147</v>
      </c>
      <c r="B1089">
        <f>IF(ISNUMBER(SEARCH(Form!$C$11,Tabel2[[#This Row],[Coordinate Projection System]])),MAX($B$1:B1088)+1,0)</f>
        <v>1088</v>
      </c>
      <c r="C1089" t="str">
        <f t="shared" si="16"/>
        <v>Pulkovo 1942 / 3-degree Gauss-Kruger CM 66E</v>
      </c>
    </row>
    <row r="1090" spans="1:3" x14ac:dyDescent="0.3">
      <c r="A1090" t="s">
        <v>1148</v>
      </c>
      <c r="B1090">
        <f>IF(ISNUMBER(SEARCH(Form!$C$11,Tabel2[[#This Row],[Coordinate Projection System]])),MAX($B$1:B1089)+1,0)</f>
        <v>1089</v>
      </c>
      <c r="C1090" t="str">
        <f t="shared" si="16"/>
        <v>Pulkovo 1942 / 3-degree Gauss-Kruger CM 69E</v>
      </c>
    </row>
    <row r="1091" spans="1:3" x14ac:dyDescent="0.3">
      <c r="A1091" t="s">
        <v>1149</v>
      </c>
      <c r="B1091">
        <f>IF(ISNUMBER(SEARCH(Form!$C$11,Tabel2[[#This Row],[Coordinate Projection System]])),MAX($B$1:B1090)+1,0)</f>
        <v>1090</v>
      </c>
      <c r="C1091" t="str">
        <f t="shared" ref="C1091:C1154" si="17">_xlfn.IFNA(INDEX(A1091:A6602,MATCH(ROW(C1090),B1091:B6602,0)),"")</f>
        <v>Pulkovo 1942 / 3-degree Gauss-Kruger CM 72E</v>
      </c>
    </row>
    <row r="1092" spans="1:3" x14ac:dyDescent="0.3">
      <c r="A1092" t="s">
        <v>1150</v>
      </c>
      <c r="B1092">
        <f>IF(ISNUMBER(SEARCH(Form!$C$11,Tabel2[[#This Row],[Coordinate Projection System]])),MAX($B$1:B1091)+1,0)</f>
        <v>1091</v>
      </c>
      <c r="C1092" t="str">
        <f t="shared" si="17"/>
        <v>Lietuvos Koordinoei Sistema 1994 (deprecated)</v>
      </c>
    </row>
    <row r="1093" spans="1:3" x14ac:dyDescent="0.3">
      <c r="A1093" t="s">
        <v>1151</v>
      </c>
      <c r="B1093">
        <f>IF(ISNUMBER(SEARCH(Form!$C$11,Tabel2[[#This Row],[Coordinate Projection System]])),MAX($B$1:B1092)+1,0)</f>
        <v>1092</v>
      </c>
      <c r="C1093" t="str">
        <f t="shared" si="17"/>
        <v>Pulkovo 1942 / 3-degree Gauss-Kruger CM 75E</v>
      </c>
    </row>
    <row r="1094" spans="1:3" x14ac:dyDescent="0.3">
      <c r="A1094" t="s">
        <v>1152</v>
      </c>
      <c r="B1094">
        <f>IF(ISNUMBER(SEARCH(Form!$C$11,Tabel2[[#This Row],[Coordinate Projection System]])),MAX($B$1:B1093)+1,0)</f>
        <v>1093</v>
      </c>
      <c r="C1094" t="str">
        <f t="shared" si="17"/>
        <v>Pulkovo 1942 / 3-degree Gauss-Kruger CM 78E</v>
      </c>
    </row>
    <row r="1095" spans="1:3" x14ac:dyDescent="0.3">
      <c r="A1095" t="s">
        <v>1153</v>
      </c>
      <c r="B1095">
        <f>IF(ISNUMBER(SEARCH(Form!$C$11,Tabel2[[#This Row],[Coordinate Projection System]])),MAX($B$1:B1094)+1,0)</f>
        <v>1094</v>
      </c>
      <c r="C1095" t="str">
        <f t="shared" si="17"/>
        <v>Pulkovo 1942 / 3-degree Gauss-Kruger CM 81E</v>
      </c>
    </row>
    <row r="1096" spans="1:3" x14ac:dyDescent="0.3">
      <c r="A1096" t="s">
        <v>1154</v>
      </c>
      <c r="B1096">
        <f>IF(ISNUMBER(SEARCH(Form!$C$11,Tabel2[[#This Row],[Coordinate Projection System]])),MAX($B$1:B1095)+1,0)</f>
        <v>1095</v>
      </c>
      <c r="C1096" t="str">
        <f t="shared" si="17"/>
        <v>Pulkovo 1942 / 3-degree Gauss-Kruger CM 84E</v>
      </c>
    </row>
    <row r="1097" spans="1:3" x14ac:dyDescent="0.3">
      <c r="A1097" t="s">
        <v>1155</v>
      </c>
      <c r="B1097">
        <f>IF(ISNUMBER(SEARCH(Form!$C$11,Tabel2[[#This Row],[Coordinate Projection System]])),MAX($B$1:B1096)+1,0)</f>
        <v>1096</v>
      </c>
      <c r="C1097" t="str">
        <f t="shared" si="17"/>
        <v>Pulkovo 1942 / 3-degree Gauss-Kruger CM 87E</v>
      </c>
    </row>
    <row r="1098" spans="1:3" x14ac:dyDescent="0.3">
      <c r="A1098" t="s">
        <v>1156</v>
      </c>
      <c r="B1098">
        <f>IF(ISNUMBER(SEARCH(Form!$C$11,Tabel2[[#This Row],[Coordinate Projection System]])),MAX($B$1:B1097)+1,0)</f>
        <v>1097</v>
      </c>
      <c r="C1098" t="str">
        <f t="shared" si="17"/>
        <v>Pulkovo 1942 / 3-degree Gauss-Kruger CM 90E</v>
      </c>
    </row>
    <row r="1099" spans="1:3" x14ac:dyDescent="0.3">
      <c r="A1099" t="s">
        <v>1157</v>
      </c>
      <c r="B1099">
        <f>IF(ISNUMBER(SEARCH(Form!$C$11,Tabel2[[#This Row],[Coordinate Projection System]])),MAX($B$1:B1098)+1,0)</f>
        <v>1098</v>
      </c>
      <c r="C1099" t="str">
        <f t="shared" si="17"/>
        <v>Pulkovo 1942 / 3-degree Gauss-Kruger CM 93E</v>
      </c>
    </row>
    <row r="1100" spans="1:3" x14ac:dyDescent="0.3">
      <c r="A1100" t="s">
        <v>1158</v>
      </c>
      <c r="B1100">
        <f>IF(ISNUMBER(SEARCH(Form!$C$11,Tabel2[[#This Row],[Coordinate Projection System]])),MAX($B$1:B1099)+1,0)</f>
        <v>1099</v>
      </c>
      <c r="C1100" t="str">
        <f t="shared" si="17"/>
        <v>Pulkovo 1942 / 3-degree Gauss-Kruger CM 96E</v>
      </c>
    </row>
    <row r="1101" spans="1:3" x14ac:dyDescent="0.3">
      <c r="A1101" t="s">
        <v>1159</v>
      </c>
      <c r="B1101">
        <f>IF(ISNUMBER(SEARCH(Form!$C$11,Tabel2[[#This Row],[Coordinate Projection System]])),MAX($B$1:B1100)+1,0)</f>
        <v>1100</v>
      </c>
      <c r="C1101" t="str">
        <f t="shared" si="17"/>
        <v>Pulkovo 1942 / 3-degree Gauss-Kruger CM 99E</v>
      </c>
    </row>
    <row r="1102" spans="1:3" x14ac:dyDescent="0.3">
      <c r="A1102" t="s">
        <v>1160</v>
      </c>
      <c r="B1102">
        <f>IF(ISNUMBER(SEARCH(Form!$C$11,Tabel2[[#This Row],[Coordinate Projection System]])),MAX($B$1:B1101)+1,0)</f>
        <v>1101</v>
      </c>
      <c r="C1102" t="str">
        <f t="shared" si="17"/>
        <v>Pulkovo 1942 / 3-degree Gauss-Kruger CM 102E</v>
      </c>
    </row>
    <row r="1103" spans="1:3" x14ac:dyDescent="0.3">
      <c r="A1103" t="s">
        <v>1161</v>
      </c>
      <c r="B1103">
        <f>IF(ISNUMBER(SEARCH(Form!$C$11,Tabel2[[#This Row],[Coordinate Projection System]])),MAX($B$1:B1102)+1,0)</f>
        <v>1102</v>
      </c>
      <c r="C1103" t="str">
        <f t="shared" si="17"/>
        <v>Pulkovo 1942 / 3-degree Gauss-Kruger CM 105E</v>
      </c>
    </row>
    <row r="1104" spans="1:3" x14ac:dyDescent="0.3">
      <c r="A1104" t="s">
        <v>1162</v>
      </c>
      <c r="B1104">
        <f>IF(ISNUMBER(SEARCH(Form!$C$11,Tabel2[[#This Row],[Coordinate Projection System]])),MAX($B$1:B1103)+1,0)</f>
        <v>1103</v>
      </c>
      <c r="C1104" t="str">
        <f t="shared" si="17"/>
        <v>Pulkovo 1942 / 3-degree Gauss-Kruger CM 108E</v>
      </c>
    </row>
    <row r="1105" spans="1:3" x14ac:dyDescent="0.3">
      <c r="A1105" t="s">
        <v>1163</v>
      </c>
      <c r="B1105">
        <f>IF(ISNUMBER(SEARCH(Form!$C$11,Tabel2[[#This Row],[Coordinate Projection System]])),MAX($B$1:B1104)+1,0)</f>
        <v>1104</v>
      </c>
      <c r="C1105" t="str">
        <f t="shared" si="17"/>
        <v>Pulkovo 1942 / 3-degree Gauss-Kruger CM 111E</v>
      </c>
    </row>
    <row r="1106" spans="1:3" x14ac:dyDescent="0.3">
      <c r="A1106" t="s">
        <v>1164</v>
      </c>
      <c r="B1106">
        <f>IF(ISNUMBER(SEARCH(Form!$C$11,Tabel2[[#This Row],[Coordinate Projection System]])),MAX($B$1:B1105)+1,0)</f>
        <v>1105</v>
      </c>
      <c r="C1106" t="str">
        <f t="shared" si="17"/>
        <v>Pulkovo 1942 / 3-degree Gauss-Kruger CM 114E</v>
      </c>
    </row>
    <row r="1107" spans="1:3" x14ac:dyDescent="0.3">
      <c r="A1107" t="s">
        <v>1165</v>
      </c>
      <c r="B1107">
        <f>IF(ISNUMBER(SEARCH(Form!$C$11,Tabel2[[#This Row],[Coordinate Projection System]])),MAX($B$1:B1106)+1,0)</f>
        <v>1106</v>
      </c>
      <c r="C1107" t="str">
        <f t="shared" si="17"/>
        <v>Pulkovo 1942 / 3-degree Gauss-Kruger CM 117E</v>
      </c>
    </row>
    <row r="1108" spans="1:3" x14ac:dyDescent="0.3">
      <c r="A1108" t="s">
        <v>1166</v>
      </c>
      <c r="B1108">
        <f>IF(ISNUMBER(SEARCH(Form!$C$11,Tabel2[[#This Row],[Coordinate Projection System]])),MAX($B$1:B1107)+1,0)</f>
        <v>1107</v>
      </c>
      <c r="C1108" t="str">
        <f t="shared" si="17"/>
        <v>Pulkovo 1942 / 3-degree Gauss-Kruger CM 120E</v>
      </c>
    </row>
    <row r="1109" spans="1:3" x14ac:dyDescent="0.3">
      <c r="A1109" t="s">
        <v>1167</v>
      </c>
      <c r="B1109">
        <f>IF(ISNUMBER(SEARCH(Form!$C$11,Tabel2[[#This Row],[Coordinate Projection System]])),MAX($B$1:B1108)+1,0)</f>
        <v>1108</v>
      </c>
      <c r="C1109" t="str">
        <f t="shared" si="17"/>
        <v>Pulkovo 1942 / 3-degree Gauss-Kruger CM 123E</v>
      </c>
    </row>
    <row r="1110" spans="1:3" x14ac:dyDescent="0.3">
      <c r="A1110" t="s">
        <v>1168</v>
      </c>
      <c r="B1110">
        <f>IF(ISNUMBER(SEARCH(Form!$C$11,Tabel2[[#This Row],[Coordinate Projection System]])),MAX($B$1:B1109)+1,0)</f>
        <v>1109</v>
      </c>
      <c r="C1110" t="str">
        <f t="shared" si="17"/>
        <v>Pulkovo 1942 / 3-degree Gauss-Kruger CM 126E</v>
      </c>
    </row>
    <row r="1111" spans="1:3" x14ac:dyDescent="0.3">
      <c r="A1111" t="s">
        <v>1169</v>
      </c>
      <c r="B1111">
        <f>IF(ISNUMBER(SEARCH(Form!$C$11,Tabel2[[#This Row],[Coordinate Projection System]])),MAX($B$1:B1110)+1,0)</f>
        <v>1110</v>
      </c>
      <c r="C1111" t="str">
        <f t="shared" si="17"/>
        <v>Pulkovo 1942 / 3-degree Gauss-Kruger CM 129E</v>
      </c>
    </row>
    <row r="1112" spans="1:3" x14ac:dyDescent="0.3">
      <c r="A1112" t="s">
        <v>1170</v>
      </c>
      <c r="B1112">
        <f>IF(ISNUMBER(SEARCH(Form!$C$11,Tabel2[[#This Row],[Coordinate Projection System]])),MAX($B$1:B1111)+1,0)</f>
        <v>1111</v>
      </c>
      <c r="C1112" t="str">
        <f t="shared" si="17"/>
        <v>Pulkovo 1942 / 3-degree Gauss-Kruger CM 132E</v>
      </c>
    </row>
    <row r="1113" spans="1:3" x14ac:dyDescent="0.3">
      <c r="A1113" t="s">
        <v>1171</v>
      </c>
      <c r="B1113">
        <f>IF(ISNUMBER(SEARCH(Form!$C$11,Tabel2[[#This Row],[Coordinate Projection System]])),MAX($B$1:B1112)+1,0)</f>
        <v>1112</v>
      </c>
      <c r="C1113" t="str">
        <f t="shared" si="17"/>
        <v>Pulkovo 1942 / 3-degree Gauss-Kruger CM 135E</v>
      </c>
    </row>
    <row r="1114" spans="1:3" x14ac:dyDescent="0.3">
      <c r="A1114" t="s">
        <v>1172</v>
      </c>
      <c r="B1114">
        <f>IF(ISNUMBER(SEARCH(Form!$C$11,Tabel2[[#This Row],[Coordinate Projection System]])),MAX($B$1:B1113)+1,0)</f>
        <v>1113</v>
      </c>
      <c r="C1114" t="str">
        <f t="shared" si="17"/>
        <v>Pulkovo 1942 / 3-degree Gauss-Kruger CM 138E</v>
      </c>
    </row>
    <row r="1115" spans="1:3" x14ac:dyDescent="0.3">
      <c r="A1115" t="s">
        <v>1173</v>
      </c>
      <c r="B1115">
        <f>IF(ISNUMBER(SEARCH(Form!$C$11,Tabel2[[#This Row],[Coordinate Projection System]])),MAX($B$1:B1114)+1,0)</f>
        <v>1114</v>
      </c>
      <c r="C1115" t="str">
        <f t="shared" si="17"/>
        <v>Pulkovo 1942 / 3-degree Gauss-Kruger CM 141E</v>
      </c>
    </row>
    <row r="1116" spans="1:3" x14ac:dyDescent="0.3">
      <c r="A1116" t="s">
        <v>1174</v>
      </c>
      <c r="B1116">
        <f>IF(ISNUMBER(SEARCH(Form!$C$11,Tabel2[[#This Row],[Coordinate Projection System]])),MAX($B$1:B1115)+1,0)</f>
        <v>1115</v>
      </c>
      <c r="C1116" t="str">
        <f t="shared" si="17"/>
        <v>Pulkovo 1942 / 3-degree Gauss-Kruger CM 144E</v>
      </c>
    </row>
    <row r="1117" spans="1:3" x14ac:dyDescent="0.3">
      <c r="A1117" t="s">
        <v>1175</v>
      </c>
      <c r="B1117">
        <f>IF(ISNUMBER(SEARCH(Form!$C$11,Tabel2[[#This Row],[Coordinate Projection System]])),MAX($B$1:B1116)+1,0)</f>
        <v>1116</v>
      </c>
      <c r="C1117" t="str">
        <f t="shared" si="17"/>
        <v>Pulkovo 1942 / 3-degree Gauss-Kruger CM 147E</v>
      </c>
    </row>
    <row r="1118" spans="1:3" x14ac:dyDescent="0.3">
      <c r="A1118" t="s">
        <v>1176</v>
      </c>
      <c r="B1118">
        <f>IF(ISNUMBER(SEARCH(Form!$C$11,Tabel2[[#This Row],[Coordinate Projection System]])),MAX($B$1:B1117)+1,0)</f>
        <v>1117</v>
      </c>
      <c r="C1118" t="str">
        <f t="shared" si="17"/>
        <v>Pulkovo 1942 / 3-degree Gauss-Kruger CM 150E</v>
      </c>
    </row>
    <row r="1119" spans="1:3" x14ac:dyDescent="0.3">
      <c r="A1119" t="s">
        <v>1177</v>
      </c>
      <c r="B1119">
        <f>IF(ISNUMBER(SEARCH(Form!$C$11,Tabel2[[#This Row],[Coordinate Projection System]])),MAX($B$1:B1118)+1,0)</f>
        <v>1118</v>
      </c>
      <c r="C1119" t="str">
        <f t="shared" si="17"/>
        <v>Pulkovo 1942 / 3-degree Gauss-Kruger CM 153E</v>
      </c>
    </row>
    <row r="1120" spans="1:3" x14ac:dyDescent="0.3">
      <c r="A1120" t="s">
        <v>1178</v>
      </c>
      <c r="B1120">
        <f>IF(ISNUMBER(SEARCH(Form!$C$11,Tabel2[[#This Row],[Coordinate Projection System]])),MAX($B$1:B1119)+1,0)</f>
        <v>1119</v>
      </c>
      <c r="C1120" t="str">
        <f t="shared" si="17"/>
        <v>Pulkovo 1942 / 3-degree Gauss-Kruger CM 156E</v>
      </c>
    </row>
    <row r="1121" spans="1:3" x14ac:dyDescent="0.3">
      <c r="A1121" t="s">
        <v>1179</v>
      </c>
      <c r="B1121">
        <f>IF(ISNUMBER(SEARCH(Form!$C$11,Tabel2[[#This Row],[Coordinate Projection System]])),MAX($B$1:B1120)+1,0)</f>
        <v>1120</v>
      </c>
      <c r="C1121" t="str">
        <f t="shared" si="17"/>
        <v>Pulkovo 1942 / 3-degree Gauss-Kruger CM 159E</v>
      </c>
    </row>
    <row r="1122" spans="1:3" x14ac:dyDescent="0.3">
      <c r="A1122" t="s">
        <v>1180</v>
      </c>
      <c r="B1122">
        <f>IF(ISNUMBER(SEARCH(Form!$C$11,Tabel2[[#This Row],[Coordinate Projection System]])),MAX($B$1:B1121)+1,0)</f>
        <v>1121</v>
      </c>
      <c r="C1122" t="str">
        <f t="shared" si="17"/>
        <v>Pulkovo 1942 / 3-degree Gauss-Kruger CM 162E</v>
      </c>
    </row>
    <row r="1123" spans="1:3" x14ac:dyDescent="0.3">
      <c r="A1123" t="s">
        <v>1181</v>
      </c>
      <c r="B1123">
        <f>IF(ISNUMBER(SEARCH(Form!$C$11,Tabel2[[#This Row],[Coordinate Projection System]])),MAX($B$1:B1122)+1,0)</f>
        <v>1122</v>
      </c>
      <c r="C1123" t="str">
        <f t="shared" si="17"/>
        <v>Pulkovo 1942 / 3-degree Gauss-Kruger CM 165E</v>
      </c>
    </row>
    <row r="1124" spans="1:3" x14ac:dyDescent="0.3">
      <c r="A1124" t="s">
        <v>1182</v>
      </c>
      <c r="B1124">
        <f>IF(ISNUMBER(SEARCH(Form!$C$11,Tabel2[[#This Row],[Coordinate Projection System]])),MAX($B$1:B1123)+1,0)</f>
        <v>1123</v>
      </c>
      <c r="C1124" t="str">
        <f t="shared" si="17"/>
        <v>Pulkovo 1942 / 3-degree Gauss-Kruger CM 168E</v>
      </c>
    </row>
    <row r="1125" spans="1:3" x14ac:dyDescent="0.3">
      <c r="A1125" t="s">
        <v>1183</v>
      </c>
      <c r="B1125">
        <f>IF(ISNUMBER(SEARCH(Form!$C$11,Tabel2[[#This Row],[Coordinate Projection System]])),MAX($B$1:B1124)+1,0)</f>
        <v>1124</v>
      </c>
      <c r="C1125" t="str">
        <f t="shared" si="17"/>
        <v>Pulkovo 1942 / 3-degree Gauss-Kruger CM 171E</v>
      </c>
    </row>
    <row r="1126" spans="1:3" x14ac:dyDescent="0.3">
      <c r="A1126" t="s">
        <v>1184</v>
      </c>
      <c r="B1126">
        <f>IF(ISNUMBER(SEARCH(Form!$C$11,Tabel2[[#This Row],[Coordinate Projection System]])),MAX($B$1:B1125)+1,0)</f>
        <v>1125</v>
      </c>
      <c r="C1126" t="str">
        <f t="shared" si="17"/>
        <v>Pulkovo 1942 / 3-degree Gauss-Kruger CM 174E</v>
      </c>
    </row>
    <row r="1127" spans="1:3" x14ac:dyDescent="0.3">
      <c r="A1127" t="s">
        <v>1185</v>
      </c>
      <c r="B1127">
        <f>IF(ISNUMBER(SEARCH(Form!$C$11,Tabel2[[#This Row],[Coordinate Projection System]])),MAX($B$1:B1126)+1,0)</f>
        <v>1126</v>
      </c>
      <c r="C1127" t="str">
        <f t="shared" si="17"/>
        <v>Pulkovo 1942 / 3-degree Gauss-Kruger CM 177E</v>
      </c>
    </row>
    <row r="1128" spans="1:3" x14ac:dyDescent="0.3">
      <c r="A1128" t="s">
        <v>1186</v>
      </c>
      <c r="B1128">
        <f>IF(ISNUMBER(SEARCH(Form!$C$11,Tabel2[[#This Row],[Coordinate Projection System]])),MAX($B$1:B1127)+1,0)</f>
        <v>1127</v>
      </c>
      <c r="C1128" t="str">
        <f t="shared" si="17"/>
        <v>Pulkovo 1942 / 3-degree Gauss-Kruger CM 180E</v>
      </c>
    </row>
    <row r="1129" spans="1:3" x14ac:dyDescent="0.3">
      <c r="A1129" t="s">
        <v>1187</v>
      </c>
      <c r="B1129">
        <f>IF(ISNUMBER(SEARCH(Form!$C$11,Tabel2[[#This Row],[Coordinate Projection System]])),MAX($B$1:B1128)+1,0)</f>
        <v>1128</v>
      </c>
      <c r="C1129" t="str">
        <f t="shared" si="17"/>
        <v>Pulkovo 1942 / 3-degree Gauss-Kruger CM 177W</v>
      </c>
    </row>
    <row r="1130" spans="1:3" x14ac:dyDescent="0.3">
      <c r="A1130" t="s">
        <v>1188</v>
      </c>
      <c r="B1130">
        <f>IF(ISNUMBER(SEARCH(Form!$C$11,Tabel2[[#This Row],[Coordinate Projection System]])),MAX($B$1:B1129)+1,0)</f>
        <v>1129</v>
      </c>
      <c r="C1130" t="str">
        <f t="shared" si="17"/>
        <v>Pulkovo 1942 / 3-degree Gauss-Kruger CM 174W</v>
      </c>
    </row>
    <row r="1131" spans="1:3" x14ac:dyDescent="0.3">
      <c r="A1131" t="s">
        <v>1189</v>
      </c>
      <c r="B1131">
        <f>IF(ISNUMBER(SEARCH(Form!$C$11,Tabel2[[#This Row],[Coordinate Projection System]])),MAX($B$1:B1130)+1,0)</f>
        <v>1130</v>
      </c>
      <c r="C1131" t="str">
        <f t="shared" si="17"/>
        <v>Pulkovo 1942 / 3-degree Gauss-Kruger CM 171W</v>
      </c>
    </row>
    <row r="1132" spans="1:3" x14ac:dyDescent="0.3">
      <c r="A1132" t="s">
        <v>1190</v>
      </c>
      <c r="B1132">
        <f>IF(ISNUMBER(SEARCH(Form!$C$11,Tabel2[[#This Row],[Coordinate Projection System]])),MAX($B$1:B1131)+1,0)</f>
        <v>1131</v>
      </c>
      <c r="C1132" t="str">
        <f t="shared" si="17"/>
        <v>Pulkovo 1942 / 3-degree Gauss-Kruger CM 168W</v>
      </c>
    </row>
    <row r="1133" spans="1:3" x14ac:dyDescent="0.3">
      <c r="A1133" t="s">
        <v>1191</v>
      </c>
      <c r="B1133">
        <f>IF(ISNUMBER(SEARCH(Form!$C$11,Tabel2[[#This Row],[Coordinate Projection System]])),MAX($B$1:B1132)+1,0)</f>
        <v>1132</v>
      </c>
      <c r="C1133" t="str">
        <f t="shared" si="17"/>
        <v>Pulkovo 1995 / 3-degree Gauss-Kruger zone 7</v>
      </c>
    </row>
    <row r="1134" spans="1:3" x14ac:dyDescent="0.3">
      <c r="A1134" t="s">
        <v>1192</v>
      </c>
      <c r="B1134">
        <f>IF(ISNUMBER(SEARCH(Form!$C$11,Tabel2[[#This Row],[Coordinate Projection System]])),MAX($B$1:B1133)+1,0)</f>
        <v>1133</v>
      </c>
      <c r="C1134" t="str">
        <f t="shared" si="17"/>
        <v>Pulkovo 1995 / 3-degree Gauss-Kruger zone 8</v>
      </c>
    </row>
    <row r="1135" spans="1:3" x14ac:dyDescent="0.3">
      <c r="A1135" t="s">
        <v>1193</v>
      </c>
      <c r="B1135">
        <f>IF(ISNUMBER(SEARCH(Form!$C$11,Tabel2[[#This Row],[Coordinate Projection System]])),MAX($B$1:B1134)+1,0)</f>
        <v>1134</v>
      </c>
      <c r="C1135" t="str">
        <f t="shared" si="17"/>
        <v>Pulkovo 1995 / 3-degree Gauss-Kruger zone 9</v>
      </c>
    </row>
    <row r="1136" spans="1:3" x14ac:dyDescent="0.3">
      <c r="A1136" t="s">
        <v>1194</v>
      </c>
      <c r="B1136">
        <f>IF(ISNUMBER(SEARCH(Form!$C$11,Tabel2[[#This Row],[Coordinate Projection System]])),MAX($B$1:B1135)+1,0)</f>
        <v>1135</v>
      </c>
      <c r="C1136" t="str">
        <f t="shared" si="17"/>
        <v>Pulkovo 1995 / 3-degree Gauss-Kruger zone 10</v>
      </c>
    </row>
    <row r="1137" spans="1:3" x14ac:dyDescent="0.3">
      <c r="A1137" t="s">
        <v>1195</v>
      </c>
      <c r="B1137">
        <f>IF(ISNUMBER(SEARCH(Form!$C$11,Tabel2[[#This Row],[Coordinate Projection System]])),MAX($B$1:B1136)+1,0)</f>
        <v>1136</v>
      </c>
      <c r="C1137" t="str">
        <f t="shared" si="17"/>
        <v>Pulkovo 1995 / 3-degree Gauss-Kruger zone 11</v>
      </c>
    </row>
    <row r="1138" spans="1:3" x14ac:dyDescent="0.3">
      <c r="A1138" t="s">
        <v>1196</v>
      </c>
      <c r="B1138">
        <f>IF(ISNUMBER(SEARCH(Form!$C$11,Tabel2[[#This Row],[Coordinate Projection System]])),MAX($B$1:B1137)+1,0)</f>
        <v>1137</v>
      </c>
      <c r="C1138" t="str">
        <f t="shared" si="17"/>
        <v>Pulkovo 1995 / 3-degree Gauss-Kruger zone 12</v>
      </c>
    </row>
    <row r="1139" spans="1:3" x14ac:dyDescent="0.3">
      <c r="A1139" t="s">
        <v>1197</v>
      </c>
      <c r="B1139">
        <f>IF(ISNUMBER(SEARCH(Form!$C$11,Tabel2[[#This Row],[Coordinate Projection System]])),MAX($B$1:B1138)+1,0)</f>
        <v>1138</v>
      </c>
      <c r="C1139" t="str">
        <f t="shared" si="17"/>
        <v>Pulkovo 1995 / 3-degree Gauss-Kruger zone 13</v>
      </c>
    </row>
    <row r="1140" spans="1:3" x14ac:dyDescent="0.3">
      <c r="A1140" t="s">
        <v>1198</v>
      </c>
      <c r="B1140">
        <f>IF(ISNUMBER(SEARCH(Form!$C$11,Tabel2[[#This Row],[Coordinate Projection System]])),MAX($B$1:B1139)+1,0)</f>
        <v>1139</v>
      </c>
      <c r="C1140" t="str">
        <f t="shared" si="17"/>
        <v>Pulkovo 1995 / 3-degree Gauss-Kruger zone 14</v>
      </c>
    </row>
    <row r="1141" spans="1:3" x14ac:dyDescent="0.3">
      <c r="A1141" t="s">
        <v>1199</v>
      </c>
      <c r="B1141">
        <f>IF(ISNUMBER(SEARCH(Form!$C$11,Tabel2[[#This Row],[Coordinate Projection System]])),MAX($B$1:B1140)+1,0)</f>
        <v>1140</v>
      </c>
      <c r="C1141" t="str">
        <f t="shared" si="17"/>
        <v>Pulkovo 1995 / 3-degree Gauss-Kruger zone 15</v>
      </c>
    </row>
    <row r="1142" spans="1:3" x14ac:dyDescent="0.3">
      <c r="A1142" t="s">
        <v>1200</v>
      </c>
      <c r="B1142">
        <f>IF(ISNUMBER(SEARCH(Form!$C$11,Tabel2[[#This Row],[Coordinate Projection System]])),MAX($B$1:B1141)+1,0)</f>
        <v>1141</v>
      </c>
      <c r="C1142" t="str">
        <f t="shared" si="17"/>
        <v>Pulkovo 1995 / 3-degree Gauss-Kruger zone 16</v>
      </c>
    </row>
    <row r="1143" spans="1:3" x14ac:dyDescent="0.3">
      <c r="A1143" t="s">
        <v>1201</v>
      </c>
      <c r="B1143">
        <f>IF(ISNUMBER(SEARCH(Form!$C$11,Tabel2[[#This Row],[Coordinate Projection System]])),MAX($B$1:B1142)+1,0)</f>
        <v>1142</v>
      </c>
      <c r="C1143" t="str">
        <f t="shared" si="17"/>
        <v>Pulkovo 1995 / 3-degree Gauss-Kruger zone 17</v>
      </c>
    </row>
    <row r="1144" spans="1:3" x14ac:dyDescent="0.3">
      <c r="A1144" t="s">
        <v>1202</v>
      </c>
      <c r="B1144">
        <f>IF(ISNUMBER(SEARCH(Form!$C$11,Tabel2[[#This Row],[Coordinate Projection System]])),MAX($B$1:B1143)+1,0)</f>
        <v>1143</v>
      </c>
      <c r="C1144" t="str">
        <f t="shared" si="17"/>
        <v>Pulkovo 1995 / 3-degree Gauss-Kruger zone 18</v>
      </c>
    </row>
    <row r="1145" spans="1:3" x14ac:dyDescent="0.3">
      <c r="A1145" t="s">
        <v>1203</v>
      </c>
      <c r="B1145">
        <f>IF(ISNUMBER(SEARCH(Form!$C$11,Tabel2[[#This Row],[Coordinate Projection System]])),MAX($B$1:B1144)+1,0)</f>
        <v>1144</v>
      </c>
      <c r="C1145" t="str">
        <f t="shared" si="17"/>
        <v>Pulkovo 1995 / 3-degree Gauss-Kruger zone 19</v>
      </c>
    </row>
    <row r="1146" spans="1:3" x14ac:dyDescent="0.3">
      <c r="A1146" t="s">
        <v>1204</v>
      </c>
      <c r="B1146">
        <f>IF(ISNUMBER(SEARCH(Form!$C$11,Tabel2[[#This Row],[Coordinate Projection System]])),MAX($B$1:B1145)+1,0)</f>
        <v>1145</v>
      </c>
      <c r="C1146" t="str">
        <f t="shared" si="17"/>
        <v>Pulkovo 1995 / 3-degree Gauss-Kruger zone 20</v>
      </c>
    </row>
    <row r="1147" spans="1:3" x14ac:dyDescent="0.3">
      <c r="A1147" t="s">
        <v>1205</v>
      </c>
      <c r="B1147">
        <f>IF(ISNUMBER(SEARCH(Form!$C$11,Tabel2[[#This Row],[Coordinate Projection System]])),MAX($B$1:B1146)+1,0)</f>
        <v>1146</v>
      </c>
      <c r="C1147" t="str">
        <f t="shared" si="17"/>
        <v>Pulkovo 1995 / 3-degree Gauss-Kruger zone 21</v>
      </c>
    </row>
    <row r="1148" spans="1:3" x14ac:dyDescent="0.3">
      <c r="A1148" t="s">
        <v>1206</v>
      </c>
      <c r="B1148">
        <f>IF(ISNUMBER(SEARCH(Form!$C$11,Tabel2[[#This Row],[Coordinate Projection System]])),MAX($B$1:B1147)+1,0)</f>
        <v>1147</v>
      </c>
      <c r="C1148" t="str">
        <f t="shared" si="17"/>
        <v>Pulkovo 1995 / 3-degree Gauss-Kruger zone 22</v>
      </c>
    </row>
    <row r="1149" spans="1:3" x14ac:dyDescent="0.3">
      <c r="A1149" t="s">
        <v>1207</v>
      </c>
      <c r="B1149">
        <f>IF(ISNUMBER(SEARCH(Form!$C$11,Tabel2[[#This Row],[Coordinate Projection System]])),MAX($B$1:B1148)+1,0)</f>
        <v>1148</v>
      </c>
      <c r="C1149" t="str">
        <f t="shared" si="17"/>
        <v>Pulkovo 1995 / 3-degree Gauss-Kruger zone 23</v>
      </c>
    </row>
    <row r="1150" spans="1:3" x14ac:dyDescent="0.3">
      <c r="A1150" t="s">
        <v>1208</v>
      </c>
      <c r="B1150">
        <f>IF(ISNUMBER(SEARCH(Form!$C$11,Tabel2[[#This Row],[Coordinate Projection System]])),MAX($B$1:B1149)+1,0)</f>
        <v>1149</v>
      </c>
      <c r="C1150" t="str">
        <f t="shared" si="17"/>
        <v>Pulkovo 1995 / 3-degree Gauss-Kruger zone 24</v>
      </c>
    </row>
    <row r="1151" spans="1:3" x14ac:dyDescent="0.3">
      <c r="A1151" t="s">
        <v>1209</v>
      </c>
      <c r="B1151">
        <f>IF(ISNUMBER(SEARCH(Form!$C$11,Tabel2[[#This Row],[Coordinate Projection System]])),MAX($B$1:B1150)+1,0)</f>
        <v>1150</v>
      </c>
      <c r="C1151" t="str">
        <f t="shared" si="17"/>
        <v>Pulkovo 1995 / 3-degree Gauss-Kruger zone 25</v>
      </c>
    </row>
    <row r="1152" spans="1:3" x14ac:dyDescent="0.3">
      <c r="A1152" t="s">
        <v>1210</v>
      </c>
      <c r="B1152">
        <f>IF(ISNUMBER(SEARCH(Form!$C$11,Tabel2[[#This Row],[Coordinate Projection System]])),MAX($B$1:B1151)+1,0)</f>
        <v>1151</v>
      </c>
      <c r="C1152" t="str">
        <f t="shared" si="17"/>
        <v>Pulkovo 1995 / 3-degree Gauss-Kruger zone 26</v>
      </c>
    </row>
    <row r="1153" spans="1:3" x14ac:dyDescent="0.3">
      <c r="A1153" t="s">
        <v>1211</v>
      </c>
      <c r="B1153">
        <f>IF(ISNUMBER(SEARCH(Form!$C$11,Tabel2[[#This Row],[Coordinate Projection System]])),MAX($B$1:B1152)+1,0)</f>
        <v>1152</v>
      </c>
      <c r="C1153" t="str">
        <f t="shared" si="17"/>
        <v>Pulkovo 1995 / 3-degree Gauss-Kruger zone 27</v>
      </c>
    </row>
    <row r="1154" spans="1:3" x14ac:dyDescent="0.3">
      <c r="A1154" t="s">
        <v>1212</v>
      </c>
      <c r="B1154">
        <f>IF(ISNUMBER(SEARCH(Form!$C$11,Tabel2[[#This Row],[Coordinate Projection System]])),MAX($B$1:B1153)+1,0)</f>
        <v>1153</v>
      </c>
      <c r="C1154" t="str">
        <f t="shared" si="17"/>
        <v>Pulkovo 1995 / 3-degree Gauss-Kruger zone 28</v>
      </c>
    </row>
    <row r="1155" spans="1:3" x14ac:dyDescent="0.3">
      <c r="A1155" t="s">
        <v>1213</v>
      </c>
      <c r="B1155">
        <f>IF(ISNUMBER(SEARCH(Form!$C$11,Tabel2[[#This Row],[Coordinate Projection System]])),MAX($B$1:B1154)+1,0)</f>
        <v>1154</v>
      </c>
      <c r="C1155" t="str">
        <f t="shared" ref="C1155:C1218" si="18">_xlfn.IFNA(INDEX(A1155:A6666,MATCH(ROW(C1154),B1155:B6666,0)),"")</f>
        <v>Pulkovo 1995 / 3-degree Gauss-Kruger zone 29</v>
      </c>
    </row>
    <row r="1156" spans="1:3" x14ac:dyDescent="0.3">
      <c r="A1156" t="s">
        <v>1214</v>
      </c>
      <c r="B1156">
        <f>IF(ISNUMBER(SEARCH(Form!$C$11,Tabel2[[#This Row],[Coordinate Projection System]])),MAX($B$1:B1155)+1,0)</f>
        <v>1155</v>
      </c>
      <c r="C1156" t="str">
        <f t="shared" si="18"/>
        <v>Pulkovo 1995 / 3-degree Gauss-Kruger zone 30</v>
      </c>
    </row>
    <row r="1157" spans="1:3" x14ac:dyDescent="0.3">
      <c r="A1157" t="s">
        <v>1215</v>
      </c>
      <c r="B1157">
        <f>IF(ISNUMBER(SEARCH(Form!$C$11,Tabel2[[#This Row],[Coordinate Projection System]])),MAX($B$1:B1156)+1,0)</f>
        <v>1156</v>
      </c>
      <c r="C1157" t="str">
        <f t="shared" si="18"/>
        <v>Pulkovo 1995 / 3-degree Gauss-Kruger zone 31</v>
      </c>
    </row>
    <row r="1158" spans="1:3" x14ac:dyDescent="0.3">
      <c r="A1158" t="s">
        <v>1216</v>
      </c>
      <c r="B1158">
        <f>IF(ISNUMBER(SEARCH(Form!$C$11,Tabel2[[#This Row],[Coordinate Projection System]])),MAX($B$1:B1157)+1,0)</f>
        <v>1157</v>
      </c>
      <c r="C1158" t="str">
        <f t="shared" si="18"/>
        <v>Pulkovo 1995 / 3-degree Gauss-Kruger zone 32</v>
      </c>
    </row>
    <row r="1159" spans="1:3" x14ac:dyDescent="0.3">
      <c r="A1159" t="s">
        <v>1217</v>
      </c>
      <c r="B1159">
        <f>IF(ISNUMBER(SEARCH(Form!$C$11,Tabel2[[#This Row],[Coordinate Projection System]])),MAX($B$1:B1158)+1,0)</f>
        <v>1158</v>
      </c>
      <c r="C1159" t="str">
        <f t="shared" si="18"/>
        <v>Pulkovo 1995 / 3-degree Gauss-Kruger zone 33</v>
      </c>
    </row>
    <row r="1160" spans="1:3" x14ac:dyDescent="0.3">
      <c r="A1160" t="s">
        <v>1218</v>
      </c>
      <c r="B1160">
        <f>IF(ISNUMBER(SEARCH(Form!$C$11,Tabel2[[#This Row],[Coordinate Projection System]])),MAX($B$1:B1159)+1,0)</f>
        <v>1159</v>
      </c>
      <c r="C1160" t="str">
        <f t="shared" si="18"/>
        <v>Pulkovo 1995 / 3-degree Gauss-Kruger zone 34</v>
      </c>
    </row>
    <row r="1161" spans="1:3" x14ac:dyDescent="0.3">
      <c r="A1161" t="s">
        <v>1219</v>
      </c>
      <c r="B1161">
        <f>IF(ISNUMBER(SEARCH(Form!$C$11,Tabel2[[#This Row],[Coordinate Projection System]])),MAX($B$1:B1160)+1,0)</f>
        <v>1160</v>
      </c>
      <c r="C1161" t="str">
        <f t="shared" si="18"/>
        <v>Pulkovo 1995 / 3-degree Gauss-Kruger zone 35</v>
      </c>
    </row>
    <row r="1162" spans="1:3" x14ac:dyDescent="0.3">
      <c r="A1162" t="s">
        <v>1220</v>
      </c>
      <c r="B1162">
        <f>IF(ISNUMBER(SEARCH(Form!$C$11,Tabel2[[#This Row],[Coordinate Projection System]])),MAX($B$1:B1161)+1,0)</f>
        <v>1161</v>
      </c>
      <c r="C1162" t="str">
        <f t="shared" si="18"/>
        <v>Pulkovo 1995 / 3-degree Gauss-Kruger zone 36</v>
      </c>
    </row>
    <row r="1163" spans="1:3" x14ac:dyDescent="0.3">
      <c r="A1163" t="s">
        <v>1221</v>
      </c>
      <c r="B1163">
        <f>IF(ISNUMBER(SEARCH(Form!$C$11,Tabel2[[#This Row],[Coordinate Projection System]])),MAX($B$1:B1162)+1,0)</f>
        <v>1162</v>
      </c>
      <c r="C1163" t="str">
        <f t="shared" si="18"/>
        <v>Pulkovo 1995 / 3-degree Gauss-Kruger zone 37</v>
      </c>
    </row>
    <row r="1164" spans="1:3" x14ac:dyDescent="0.3">
      <c r="A1164" t="s">
        <v>1222</v>
      </c>
      <c r="B1164">
        <f>IF(ISNUMBER(SEARCH(Form!$C$11,Tabel2[[#This Row],[Coordinate Projection System]])),MAX($B$1:B1163)+1,0)</f>
        <v>1163</v>
      </c>
      <c r="C1164" t="str">
        <f t="shared" si="18"/>
        <v>Pulkovo 1995 / 3-degree Gauss-Kruger zone 38</v>
      </c>
    </row>
    <row r="1165" spans="1:3" x14ac:dyDescent="0.3">
      <c r="A1165" t="s">
        <v>1223</v>
      </c>
      <c r="B1165">
        <f>IF(ISNUMBER(SEARCH(Form!$C$11,Tabel2[[#This Row],[Coordinate Projection System]])),MAX($B$1:B1164)+1,0)</f>
        <v>1164</v>
      </c>
      <c r="C1165" t="str">
        <f t="shared" si="18"/>
        <v>Pulkovo 1995 / 3-degree Gauss-Kruger zone 39</v>
      </c>
    </row>
    <row r="1166" spans="1:3" x14ac:dyDescent="0.3">
      <c r="A1166" t="s">
        <v>1224</v>
      </c>
      <c r="B1166">
        <f>IF(ISNUMBER(SEARCH(Form!$C$11,Tabel2[[#This Row],[Coordinate Projection System]])),MAX($B$1:B1165)+1,0)</f>
        <v>1165</v>
      </c>
      <c r="C1166" t="str">
        <f t="shared" si="18"/>
        <v>Pulkovo 1995 / 3-degree Gauss-Kruger zone 40</v>
      </c>
    </row>
    <row r="1167" spans="1:3" x14ac:dyDescent="0.3">
      <c r="A1167" t="s">
        <v>1225</v>
      </c>
      <c r="B1167">
        <f>IF(ISNUMBER(SEARCH(Form!$C$11,Tabel2[[#This Row],[Coordinate Projection System]])),MAX($B$1:B1166)+1,0)</f>
        <v>1166</v>
      </c>
      <c r="C1167" t="str">
        <f t="shared" si="18"/>
        <v>Pulkovo 1995 / 3-degree Gauss-Kruger zone 41</v>
      </c>
    </row>
    <row r="1168" spans="1:3" x14ac:dyDescent="0.3">
      <c r="A1168" t="s">
        <v>1226</v>
      </c>
      <c r="B1168">
        <f>IF(ISNUMBER(SEARCH(Form!$C$11,Tabel2[[#This Row],[Coordinate Projection System]])),MAX($B$1:B1167)+1,0)</f>
        <v>1167</v>
      </c>
      <c r="C1168" t="str">
        <f t="shared" si="18"/>
        <v>Pulkovo 1995 / 3-degree Gauss-Kruger zone 42</v>
      </c>
    </row>
    <row r="1169" spans="1:3" x14ac:dyDescent="0.3">
      <c r="A1169" t="s">
        <v>1227</v>
      </c>
      <c r="B1169">
        <f>IF(ISNUMBER(SEARCH(Form!$C$11,Tabel2[[#This Row],[Coordinate Projection System]])),MAX($B$1:B1168)+1,0)</f>
        <v>1168</v>
      </c>
      <c r="C1169" t="str">
        <f t="shared" si="18"/>
        <v>Pulkovo 1995 / 3-degree Gauss-Kruger zone 43</v>
      </c>
    </row>
    <row r="1170" spans="1:3" x14ac:dyDescent="0.3">
      <c r="A1170" t="s">
        <v>1228</v>
      </c>
      <c r="B1170">
        <f>IF(ISNUMBER(SEARCH(Form!$C$11,Tabel2[[#This Row],[Coordinate Projection System]])),MAX($B$1:B1169)+1,0)</f>
        <v>1169</v>
      </c>
      <c r="C1170" t="str">
        <f t="shared" si="18"/>
        <v>Pulkovo 1995 / 3-degree Gauss-Kruger zone 44</v>
      </c>
    </row>
    <row r="1171" spans="1:3" x14ac:dyDescent="0.3">
      <c r="A1171" t="s">
        <v>1229</v>
      </c>
      <c r="B1171">
        <f>IF(ISNUMBER(SEARCH(Form!$C$11,Tabel2[[#This Row],[Coordinate Projection System]])),MAX($B$1:B1170)+1,0)</f>
        <v>1170</v>
      </c>
      <c r="C1171" t="str">
        <f t="shared" si="18"/>
        <v>Pulkovo 1995 / 3-degree Gauss-Kruger zone 45</v>
      </c>
    </row>
    <row r="1172" spans="1:3" x14ac:dyDescent="0.3">
      <c r="A1172" t="s">
        <v>1230</v>
      </c>
      <c r="B1172">
        <f>IF(ISNUMBER(SEARCH(Form!$C$11,Tabel2[[#This Row],[Coordinate Projection System]])),MAX($B$1:B1171)+1,0)</f>
        <v>1171</v>
      </c>
      <c r="C1172" t="str">
        <f t="shared" si="18"/>
        <v>Pulkovo 1995 / 3-degree Gauss-Kruger zone 46</v>
      </c>
    </row>
    <row r="1173" spans="1:3" x14ac:dyDescent="0.3">
      <c r="A1173" t="s">
        <v>1231</v>
      </c>
      <c r="B1173">
        <f>IF(ISNUMBER(SEARCH(Form!$C$11,Tabel2[[#This Row],[Coordinate Projection System]])),MAX($B$1:B1172)+1,0)</f>
        <v>1172</v>
      </c>
      <c r="C1173" t="str">
        <f t="shared" si="18"/>
        <v>Pulkovo 1995 / 3-degree Gauss-Kruger zone 47</v>
      </c>
    </row>
    <row r="1174" spans="1:3" x14ac:dyDescent="0.3">
      <c r="A1174" t="s">
        <v>1232</v>
      </c>
      <c r="B1174">
        <f>IF(ISNUMBER(SEARCH(Form!$C$11,Tabel2[[#This Row],[Coordinate Projection System]])),MAX($B$1:B1173)+1,0)</f>
        <v>1173</v>
      </c>
      <c r="C1174" t="str">
        <f t="shared" si="18"/>
        <v>Pulkovo 1995 / 3-degree Gauss-Kruger zone 48</v>
      </c>
    </row>
    <row r="1175" spans="1:3" x14ac:dyDescent="0.3">
      <c r="A1175" t="s">
        <v>1233</v>
      </c>
      <c r="B1175">
        <f>IF(ISNUMBER(SEARCH(Form!$C$11,Tabel2[[#This Row],[Coordinate Projection System]])),MAX($B$1:B1174)+1,0)</f>
        <v>1174</v>
      </c>
      <c r="C1175" t="str">
        <f t="shared" si="18"/>
        <v>Pulkovo 1995 / 3-degree Gauss-Kruger zone 49</v>
      </c>
    </row>
    <row r="1176" spans="1:3" x14ac:dyDescent="0.3">
      <c r="A1176" t="s">
        <v>1234</v>
      </c>
      <c r="B1176">
        <f>IF(ISNUMBER(SEARCH(Form!$C$11,Tabel2[[#This Row],[Coordinate Projection System]])),MAX($B$1:B1175)+1,0)</f>
        <v>1175</v>
      </c>
      <c r="C1176" t="str">
        <f t="shared" si="18"/>
        <v>Pulkovo 1995 / 3-degree Gauss-Kruger zone 50</v>
      </c>
    </row>
    <row r="1177" spans="1:3" x14ac:dyDescent="0.3">
      <c r="A1177" t="s">
        <v>1235</v>
      </c>
      <c r="B1177">
        <f>IF(ISNUMBER(SEARCH(Form!$C$11,Tabel2[[#This Row],[Coordinate Projection System]])),MAX($B$1:B1176)+1,0)</f>
        <v>1176</v>
      </c>
      <c r="C1177" t="str">
        <f t="shared" si="18"/>
        <v>Pulkovo 1995 / 3-degree Gauss-Kruger zone 51</v>
      </c>
    </row>
    <row r="1178" spans="1:3" x14ac:dyDescent="0.3">
      <c r="A1178" t="s">
        <v>1236</v>
      </c>
      <c r="B1178">
        <f>IF(ISNUMBER(SEARCH(Form!$C$11,Tabel2[[#This Row],[Coordinate Projection System]])),MAX($B$1:B1177)+1,0)</f>
        <v>1177</v>
      </c>
      <c r="C1178" t="str">
        <f t="shared" si="18"/>
        <v>Pulkovo 1995 / 3-degree Gauss-Kruger zone 52</v>
      </c>
    </row>
    <row r="1179" spans="1:3" x14ac:dyDescent="0.3">
      <c r="A1179" t="s">
        <v>1237</v>
      </c>
      <c r="B1179">
        <f>IF(ISNUMBER(SEARCH(Form!$C$11,Tabel2[[#This Row],[Coordinate Projection System]])),MAX($B$1:B1178)+1,0)</f>
        <v>1178</v>
      </c>
      <c r="C1179" t="str">
        <f t="shared" si="18"/>
        <v>Pulkovo 1995 / 3-degree Gauss-Kruger zone 53</v>
      </c>
    </row>
    <row r="1180" spans="1:3" x14ac:dyDescent="0.3">
      <c r="A1180" t="s">
        <v>1238</v>
      </c>
      <c r="B1180">
        <f>IF(ISNUMBER(SEARCH(Form!$C$11,Tabel2[[#This Row],[Coordinate Projection System]])),MAX($B$1:B1179)+1,0)</f>
        <v>1179</v>
      </c>
      <c r="C1180" t="str">
        <f t="shared" si="18"/>
        <v>Pulkovo 1995 / 3-degree Gauss-Kruger zone 54</v>
      </c>
    </row>
    <row r="1181" spans="1:3" x14ac:dyDescent="0.3">
      <c r="A1181" t="s">
        <v>1239</v>
      </c>
      <c r="B1181">
        <f>IF(ISNUMBER(SEARCH(Form!$C$11,Tabel2[[#This Row],[Coordinate Projection System]])),MAX($B$1:B1180)+1,0)</f>
        <v>1180</v>
      </c>
      <c r="C1181" t="str">
        <f t="shared" si="18"/>
        <v>Pulkovo 1995 / 3-degree Gauss-Kruger zone 55</v>
      </c>
    </row>
    <row r="1182" spans="1:3" x14ac:dyDescent="0.3">
      <c r="A1182" t="s">
        <v>1240</v>
      </c>
      <c r="B1182">
        <f>IF(ISNUMBER(SEARCH(Form!$C$11,Tabel2[[#This Row],[Coordinate Projection System]])),MAX($B$1:B1181)+1,0)</f>
        <v>1181</v>
      </c>
      <c r="C1182" t="str">
        <f t="shared" si="18"/>
        <v>Pulkovo 1995 / 3-degree Gauss-Kruger zone 56</v>
      </c>
    </row>
    <row r="1183" spans="1:3" x14ac:dyDescent="0.3">
      <c r="A1183" t="s">
        <v>1241</v>
      </c>
      <c r="B1183">
        <f>IF(ISNUMBER(SEARCH(Form!$C$11,Tabel2[[#This Row],[Coordinate Projection System]])),MAX($B$1:B1182)+1,0)</f>
        <v>1182</v>
      </c>
      <c r="C1183" t="str">
        <f t="shared" si="18"/>
        <v>Pulkovo 1995 / 3-degree Gauss-Kruger zone 57</v>
      </c>
    </row>
    <row r="1184" spans="1:3" x14ac:dyDescent="0.3">
      <c r="A1184" t="s">
        <v>1242</v>
      </c>
      <c r="B1184">
        <f>IF(ISNUMBER(SEARCH(Form!$C$11,Tabel2[[#This Row],[Coordinate Projection System]])),MAX($B$1:B1183)+1,0)</f>
        <v>1183</v>
      </c>
      <c r="C1184" t="str">
        <f t="shared" si="18"/>
        <v>Pulkovo 1995 / 3-degree Gauss-Kruger zone 58</v>
      </c>
    </row>
    <row r="1185" spans="1:3" x14ac:dyDescent="0.3">
      <c r="A1185" t="s">
        <v>1243</v>
      </c>
      <c r="B1185">
        <f>IF(ISNUMBER(SEARCH(Form!$C$11,Tabel2[[#This Row],[Coordinate Projection System]])),MAX($B$1:B1184)+1,0)</f>
        <v>1184</v>
      </c>
      <c r="C1185" t="str">
        <f t="shared" si="18"/>
        <v>Pulkovo 1995 / 3-degree Gauss-Kruger zone 59</v>
      </c>
    </row>
    <row r="1186" spans="1:3" x14ac:dyDescent="0.3">
      <c r="A1186" t="s">
        <v>1244</v>
      </c>
      <c r="B1186">
        <f>IF(ISNUMBER(SEARCH(Form!$C$11,Tabel2[[#This Row],[Coordinate Projection System]])),MAX($B$1:B1185)+1,0)</f>
        <v>1185</v>
      </c>
      <c r="C1186" t="str">
        <f t="shared" si="18"/>
        <v>Pulkovo 1995 / 3-degree Gauss-Kruger zone 60 (deprecated)</v>
      </c>
    </row>
    <row r="1187" spans="1:3" x14ac:dyDescent="0.3">
      <c r="A1187" t="s">
        <v>1245</v>
      </c>
      <c r="B1187">
        <f>IF(ISNUMBER(SEARCH(Form!$C$11,Tabel2[[#This Row],[Coordinate Projection System]])),MAX($B$1:B1186)+1,0)</f>
        <v>1186</v>
      </c>
      <c r="C1187" t="str">
        <f t="shared" si="18"/>
        <v>Pulkovo 1995 / 3-degree Gauss-Kruger zone 61</v>
      </c>
    </row>
    <row r="1188" spans="1:3" x14ac:dyDescent="0.3">
      <c r="A1188" t="s">
        <v>1246</v>
      </c>
      <c r="B1188">
        <f>IF(ISNUMBER(SEARCH(Form!$C$11,Tabel2[[#This Row],[Coordinate Projection System]])),MAX($B$1:B1187)+1,0)</f>
        <v>1187</v>
      </c>
      <c r="C1188" t="str">
        <f t="shared" si="18"/>
        <v>Pulkovo 1995 / 3-degree Gauss-Kruger zone 62</v>
      </c>
    </row>
    <row r="1189" spans="1:3" x14ac:dyDescent="0.3">
      <c r="A1189" t="s">
        <v>1247</v>
      </c>
      <c r="B1189">
        <f>IF(ISNUMBER(SEARCH(Form!$C$11,Tabel2[[#This Row],[Coordinate Projection System]])),MAX($B$1:B1188)+1,0)</f>
        <v>1188</v>
      </c>
      <c r="C1189" t="str">
        <f t="shared" si="18"/>
        <v>Pulkovo 1995 / 3-degree Gauss-Kruger zone 63</v>
      </c>
    </row>
    <row r="1190" spans="1:3" x14ac:dyDescent="0.3">
      <c r="A1190" t="s">
        <v>1248</v>
      </c>
      <c r="B1190">
        <f>IF(ISNUMBER(SEARCH(Form!$C$11,Tabel2[[#This Row],[Coordinate Projection System]])),MAX($B$1:B1189)+1,0)</f>
        <v>1189</v>
      </c>
      <c r="C1190" t="str">
        <f t="shared" si="18"/>
        <v>Pulkovo 1995 / 3-degree Gauss-Kruger zone 64</v>
      </c>
    </row>
    <row r="1191" spans="1:3" x14ac:dyDescent="0.3">
      <c r="A1191" t="s">
        <v>1249</v>
      </c>
      <c r="B1191">
        <f>IF(ISNUMBER(SEARCH(Form!$C$11,Tabel2[[#This Row],[Coordinate Projection System]])),MAX($B$1:B1190)+1,0)</f>
        <v>1190</v>
      </c>
      <c r="C1191" t="str">
        <f t="shared" si="18"/>
        <v>Pulkovo 1995 / 3-degree Gauss-Kruger CM 21E</v>
      </c>
    </row>
    <row r="1192" spans="1:3" x14ac:dyDescent="0.3">
      <c r="A1192" t="s">
        <v>1250</v>
      </c>
      <c r="B1192">
        <f>IF(ISNUMBER(SEARCH(Form!$C$11,Tabel2[[#This Row],[Coordinate Projection System]])),MAX($B$1:B1191)+1,0)</f>
        <v>1191</v>
      </c>
      <c r="C1192" t="str">
        <f t="shared" si="18"/>
        <v>Pulkovo 1995 / 3-degree Gauss-Kruger CM 24E</v>
      </c>
    </row>
    <row r="1193" spans="1:3" x14ac:dyDescent="0.3">
      <c r="A1193" t="s">
        <v>1251</v>
      </c>
      <c r="B1193">
        <f>IF(ISNUMBER(SEARCH(Form!$C$11,Tabel2[[#This Row],[Coordinate Projection System]])),MAX($B$1:B1192)+1,0)</f>
        <v>1192</v>
      </c>
      <c r="C1193" t="str">
        <f t="shared" si="18"/>
        <v>Pulkovo 1995 / 3-degree Gauss-Kruger CM 27E</v>
      </c>
    </row>
    <row r="1194" spans="1:3" x14ac:dyDescent="0.3">
      <c r="A1194" t="s">
        <v>1252</v>
      </c>
      <c r="B1194">
        <f>IF(ISNUMBER(SEARCH(Form!$C$11,Tabel2[[#This Row],[Coordinate Projection System]])),MAX($B$1:B1193)+1,0)</f>
        <v>1193</v>
      </c>
      <c r="C1194" t="str">
        <f t="shared" si="18"/>
        <v>Pulkovo 1995 / 3-degree Gauss-Kruger CM 30E</v>
      </c>
    </row>
    <row r="1195" spans="1:3" x14ac:dyDescent="0.3">
      <c r="A1195" t="s">
        <v>1253</v>
      </c>
      <c r="B1195">
        <f>IF(ISNUMBER(SEARCH(Form!$C$11,Tabel2[[#This Row],[Coordinate Projection System]])),MAX($B$1:B1194)+1,0)</f>
        <v>1194</v>
      </c>
      <c r="C1195" t="str">
        <f t="shared" si="18"/>
        <v>Pulkovo 1995 / 3-degree Gauss-Kruger CM 33E</v>
      </c>
    </row>
    <row r="1196" spans="1:3" x14ac:dyDescent="0.3">
      <c r="A1196" t="s">
        <v>1254</v>
      </c>
      <c r="B1196">
        <f>IF(ISNUMBER(SEARCH(Form!$C$11,Tabel2[[#This Row],[Coordinate Projection System]])),MAX($B$1:B1195)+1,0)</f>
        <v>1195</v>
      </c>
      <c r="C1196" t="str">
        <f t="shared" si="18"/>
        <v>Pulkovo 1995 / 3-degree Gauss-Kruger CM 36E</v>
      </c>
    </row>
    <row r="1197" spans="1:3" x14ac:dyDescent="0.3">
      <c r="A1197" t="s">
        <v>1255</v>
      </c>
      <c r="B1197">
        <f>IF(ISNUMBER(SEARCH(Form!$C$11,Tabel2[[#This Row],[Coordinate Projection System]])),MAX($B$1:B1196)+1,0)</f>
        <v>1196</v>
      </c>
      <c r="C1197" t="str">
        <f t="shared" si="18"/>
        <v>Pulkovo 1995 / 3-degree Gauss-Kruger CM 39E</v>
      </c>
    </row>
    <row r="1198" spans="1:3" x14ac:dyDescent="0.3">
      <c r="A1198" t="s">
        <v>1256</v>
      </c>
      <c r="B1198">
        <f>IF(ISNUMBER(SEARCH(Form!$C$11,Tabel2[[#This Row],[Coordinate Projection System]])),MAX($B$1:B1197)+1,0)</f>
        <v>1197</v>
      </c>
      <c r="C1198" t="str">
        <f t="shared" si="18"/>
        <v>Pulkovo 1995 / 3-degree Gauss-Kruger CM 42E</v>
      </c>
    </row>
    <row r="1199" spans="1:3" x14ac:dyDescent="0.3">
      <c r="A1199" t="s">
        <v>1257</v>
      </c>
      <c r="B1199">
        <f>IF(ISNUMBER(SEARCH(Form!$C$11,Tabel2[[#This Row],[Coordinate Projection System]])),MAX($B$1:B1198)+1,0)</f>
        <v>1198</v>
      </c>
      <c r="C1199" t="str">
        <f t="shared" si="18"/>
        <v>Pulkovo 1995 / 3-degree Gauss-Kruger CM 45E</v>
      </c>
    </row>
    <row r="1200" spans="1:3" x14ac:dyDescent="0.3">
      <c r="A1200" t="s">
        <v>1258</v>
      </c>
      <c r="B1200">
        <f>IF(ISNUMBER(SEARCH(Form!$C$11,Tabel2[[#This Row],[Coordinate Projection System]])),MAX($B$1:B1199)+1,0)</f>
        <v>1199</v>
      </c>
      <c r="C1200" t="str">
        <f t="shared" si="18"/>
        <v>Pulkovo 1995 / 3-degree Gauss-Kruger CM 48E</v>
      </c>
    </row>
    <row r="1201" spans="1:3" x14ac:dyDescent="0.3">
      <c r="A1201" t="s">
        <v>1259</v>
      </c>
      <c r="B1201">
        <f>IF(ISNUMBER(SEARCH(Form!$C$11,Tabel2[[#This Row],[Coordinate Projection System]])),MAX($B$1:B1200)+1,0)</f>
        <v>1200</v>
      </c>
      <c r="C1201" t="str">
        <f t="shared" si="18"/>
        <v>Pulkovo 1995 / 3-degree Gauss-Kruger CM 51E</v>
      </c>
    </row>
    <row r="1202" spans="1:3" x14ac:dyDescent="0.3">
      <c r="A1202" t="s">
        <v>1260</v>
      </c>
      <c r="B1202">
        <f>IF(ISNUMBER(SEARCH(Form!$C$11,Tabel2[[#This Row],[Coordinate Projection System]])),MAX($B$1:B1201)+1,0)</f>
        <v>1201</v>
      </c>
      <c r="C1202" t="str">
        <f t="shared" si="18"/>
        <v>Pulkovo 1995 / 3-degree Gauss-Kruger CM 54E</v>
      </c>
    </row>
    <row r="1203" spans="1:3" x14ac:dyDescent="0.3">
      <c r="A1203" t="s">
        <v>1261</v>
      </c>
      <c r="B1203">
        <f>IF(ISNUMBER(SEARCH(Form!$C$11,Tabel2[[#This Row],[Coordinate Projection System]])),MAX($B$1:B1202)+1,0)</f>
        <v>1202</v>
      </c>
      <c r="C1203" t="str">
        <f t="shared" si="18"/>
        <v>Pulkovo 1995 / 3-degree Gauss-Kruger CM 57E</v>
      </c>
    </row>
    <row r="1204" spans="1:3" x14ac:dyDescent="0.3">
      <c r="A1204" t="s">
        <v>1262</v>
      </c>
      <c r="B1204">
        <f>IF(ISNUMBER(SEARCH(Form!$C$11,Tabel2[[#This Row],[Coordinate Projection System]])),MAX($B$1:B1203)+1,0)</f>
        <v>1203</v>
      </c>
      <c r="C1204" t="str">
        <f t="shared" si="18"/>
        <v>Pulkovo 1995 / 3-degree Gauss-Kruger CM 60E</v>
      </c>
    </row>
    <row r="1205" spans="1:3" x14ac:dyDescent="0.3">
      <c r="A1205" t="s">
        <v>1263</v>
      </c>
      <c r="B1205">
        <f>IF(ISNUMBER(SEARCH(Form!$C$11,Tabel2[[#This Row],[Coordinate Projection System]])),MAX($B$1:B1204)+1,0)</f>
        <v>1204</v>
      </c>
      <c r="C1205" t="str">
        <f t="shared" si="18"/>
        <v>Pulkovo 1995 / 3-degree Gauss-Kruger CM 63E</v>
      </c>
    </row>
    <row r="1206" spans="1:3" x14ac:dyDescent="0.3">
      <c r="A1206" t="s">
        <v>1264</v>
      </c>
      <c r="B1206">
        <f>IF(ISNUMBER(SEARCH(Form!$C$11,Tabel2[[#This Row],[Coordinate Projection System]])),MAX($B$1:B1205)+1,0)</f>
        <v>1205</v>
      </c>
      <c r="C1206" t="str">
        <f t="shared" si="18"/>
        <v>Pulkovo 1995 / 3-degree Gauss-Kruger CM 66E</v>
      </c>
    </row>
    <row r="1207" spans="1:3" x14ac:dyDescent="0.3">
      <c r="A1207" t="s">
        <v>1265</v>
      </c>
      <c r="B1207">
        <f>IF(ISNUMBER(SEARCH(Form!$C$11,Tabel2[[#This Row],[Coordinate Projection System]])),MAX($B$1:B1206)+1,0)</f>
        <v>1206</v>
      </c>
      <c r="C1207" t="str">
        <f t="shared" si="18"/>
        <v>Pulkovo 1995 / 3-degree Gauss-Kruger CM 69E</v>
      </c>
    </row>
    <row r="1208" spans="1:3" x14ac:dyDescent="0.3">
      <c r="A1208" t="s">
        <v>1266</v>
      </c>
      <c r="B1208">
        <f>IF(ISNUMBER(SEARCH(Form!$C$11,Tabel2[[#This Row],[Coordinate Projection System]])),MAX($B$1:B1207)+1,0)</f>
        <v>1207</v>
      </c>
      <c r="C1208" t="str">
        <f t="shared" si="18"/>
        <v>Pulkovo 1995 / 3-degree Gauss-Kruger CM 72E</v>
      </c>
    </row>
    <row r="1209" spans="1:3" x14ac:dyDescent="0.3">
      <c r="A1209" t="s">
        <v>1267</v>
      </c>
      <c r="B1209">
        <f>IF(ISNUMBER(SEARCH(Form!$C$11,Tabel2[[#This Row],[Coordinate Projection System]])),MAX($B$1:B1208)+1,0)</f>
        <v>1208</v>
      </c>
      <c r="C1209" t="str">
        <f t="shared" si="18"/>
        <v>Pulkovo 1995 / 3-degree Gauss-Kruger CM 75E</v>
      </c>
    </row>
    <row r="1210" spans="1:3" x14ac:dyDescent="0.3">
      <c r="A1210" t="s">
        <v>1268</v>
      </c>
      <c r="B1210">
        <f>IF(ISNUMBER(SEARCH(Form!$C$11,Tabel2[[#This Row],[Coordinate Projection System]])),MAX($B$1:B1209)+1,0)</f>
        <v>1209</v>
      </c>
      <c r="C1210" t="str">
        <f t="shared" si="18"/>
        <v>Pulkovo 1995 / 3-degree Gauss-Kruger CM 78E</v>
      </c>
    </row>
    <row r="1211" spans="1:3" x14ac:dyDescent="0.3">
      <c r="A1211" t="s">
        <v>1269</v>
      </c>
      <c r="B1211">
        <f>IF(ISNUMBER(SEARCH(Form!$C$11,Tabel2[[#This Row],[Coordinate Projection System]])),MAX($B$1:B1210)+1,0)</f>
        <v>1210</v>
      </c>
      <c r="C1211" t="str">
        <f t="shared" si="18"/>
        <v>Pulkovo 1995 / 3-degree Gauss-Kruger CM 81E</v>
      </c>
    </row>
    <row r="1212" spans="1:3" x14ac:dyDescent="0.3">
      <c r="A1212" t="s">
        <v>1270</v>
      </c>
      <c r="B1212">
        <f>IF(ISNUMBER(SEARCH(Form!$C$11,Tabel2[[#This Row],[Coordinate Projection System]])),MAX($B$1:B1211)+1,0)</f>
        <v>1211</v>
      </c>
      <c r="C1212" t="str">
        <f t="shared" si="18"/>
        <v>Pulkovo 1995 / 3-degree Gauss-Kruger CM 84E</v>
      </c>
    </row>
    <row r="1213" spans="1:3" x14ac:dyDescent="0.3">
      <c r="A1213" t="s">
        <v>1271</v>
      </c>
      <c r="B1213">
        <f>IF(ISNUMBER(SEARCH(Form!$C$11,Tabel2[[#This Row],[Coordinate Projection System]])),MAX($B$1:B1212)+1,0)</f>
        <v>1212</v>
      </c>
      <c r="C1213" t="str">
        <f t="shared" si="18"/>
        <v>Pulkovo 1995 / 3-degree Gauss-Kruger CM 87E</v>
      </c>
    </row>
    <row r="1214" spans="1:3" x14ac:dyDescent="0.3">
      <c r="A1214" t="s">
        <v>1272</v>
      </c>
      <c r="B1214">
        <f>IF(ISNUMBER(SEARCH(Form!$C$11,Tabel2[[#This Row],[Coordinate Projection System]])),MAX($B$1:B1213)+1,0)</f>
        <v>1213</v>
      </c>
      <c r="C1214" t="str">
        <f t="shared" si="18"/>
        <v>Pulkovo 1995 / 3-degree Gauss-Kruger CM 90E</v>
      </c>
    </row>
    <row r="1215" spans="1:3" x14ac:dyDescent="0.3">
      <c r="A1215" t="s">
        <v>1273</v>
      </c>
      <c r="B1215">
        <f>IF(ISNUMBER(SEARCH(Form!$C$11,Tabel2[[#This Row],[Coordinate Projection System]])),MAX($B$1:B1214)+1,0)</f>
        <v>1214</v>
      </c>
      <c r="C1215" t="str">
        <f t="shared" si="18"/>
        <v>Pulkovo 1995 / 3-degree Gauss-Kruger CM 93E</v>
      </c>
    </row>
    <row r="1216" spans="1:3" x14ac:dyDescent="0.3">
      <c r="A1216" t="s">
        <v>1274</v>
      </c>
      <c r="B1216">
        <f>IF(ISNUMBER(SEARCH(Form!$C$11,Tabel2[[#This Row],[Coordinate Projection System]])),MAX($B$1:B1215)+1,0)</f>
        <v>1215</v>
      </c>
      <c r="C1216" t="str">
        <f t="shared" si="18"/>
        <v>Pulkovo 1995 / 3-degree Gauss-Kruger CM 96E</v>
      </c>
    </row>
    <row r="1217" spans="1:3" x14ac:dyDescent="0.3">
      <c r="A1217" t="s">
        <v>1275</v>
      </c>
      <c r="B1217">
        <f>IF(ISNUMBER(SEARCH(Form!$C$11,Tabel2[[#This Row],[Coordinate Projection System]])),MAX($B$1:B1216)+1,0)</f>
        <v>1216</v>
      </c>
      <c r="C1217" t="str">
        <f t="shared" si="18"/>
        <v>Pulkovo 1995 / 3-degree Gauss-Kruger CM 99E</v>
      </c>
    </row>
    <row r="1218" spans="1:3" x14ac:dyDescent="0.3">
      <c r="A1218" t="s">
        <v>1276</v>
      </c>
      <c r="B1218">
        <f>IF(ISNUMBER(SEARCH(Form!$C$11,Tabel2[[#This Row],[Coordinate Projection System]])),MAX($B$1:B1217)+1,0)</f>
        <v>1217</v>
      </c>
      <c r="C1218" t="str">
        <f t="shared" si="18"/>
        <v>Pulkovo 1995 / 3-degree Gauss-Kruger CM 102E</v>
      </c>
    </row>
    <row r="1219" spans="1:3" x14ac:dyDescent="0.3">
      <c r="A1219" t="s">
        <v>1277</v>
      </c>
      <c r="B1219">
        <f>IF(ISNUMBER(SEARCH(Form!$C$11,Tabel2[[#This Row],[Coordinate Projection System]])),MAX($B$1:B1218)+1,0)</f>
        <v>1218</v>
      </c>
      <c r="C1219" t="str">
        <f t="shared" ref="C1219:C1282" si="19">_xlfn.IFNA(INDEX(A1219:A6730,MATCH(ROW(C1218),B1219:B6730,0)),"")</f>
        <v>Pulkovo 1995 / 3-degree Gauss-Kruger CM 105E</v>
      </c>
    </row>
    <row r="1220" spans="1:3" x14ac:dyDescent="0.3">
      <c r="A1220" t="s">
        <v>1278</v>
      </c>
      <c r="B1220">
        <f>IF(ISNUMBER(SEARCH(Form!$C$11,Tabel2[[#This Row],[Coordinate Projection System]])),MAX($B$1:B1219)+1,0)</f>
        <v>1219</v>
      </c>
      <c r="C1220" t="str">
        <f t="shared" si="19"/>
        <v>Pulkovo 1995 / 3-degree Gauss-Kruger CM 108E</v>
      </c>
    </row>
    <row r="1221" spans="1:3" x14ac:dyDescent="0.3">
      <c r="A1221" t="s">
        <v>1279</v>
      </c>
      <c r="B1221">
        <f>IF(ISNUMBER(SEARCH(Form!$C$11,Tabel2[[#This Row],[Coordinate Projection System]])),MAX($B$1:B1220)+1,0)</f>
        <v>1220</v>
      </c>
      <c r="C1221" t="str">
        <f t="shared" si="19"/>
        <v>Pulkovo 1995 / 3-degree Gauss-Kruger CM 111E</v>
      </c>
    </row>
    <row r="1222" spans="1:3" x14ac:dyDescent="0.3">
      <c r="A1222" t="s">
        <v>1280</v>
      </c>
      <c r="B1222">
        <f>IF(ISNUMBER(SEARCH(Form!$C$11,Tabel2[[#This Row],[Coordinate Projection System]])),MAX($B$1:B1221)+1,0)</f>
        <v>1221</v>
      </c>
      <c r="C1222" t="str">
        <f t="shared" si="19"/>
        <v>Pulkovo 1995 / 3-degree Gauss-Kruger CM 114E</v>
      </c>
    </row>
    <row r="1223" spans="1:3" x14ac:dyDescent="0.3">
      <c r="A1223" t="s">
        <v>1281</v>
      </c>
      <c r="B1223">
        <f>IF(ISNUMBER(SEARCH(Form!$C$11,Tabel2[[#This Row],[Coordinate Projection System]])),MAX($B$1:B1222)+1,0)</f>
        <v>1222</v>
      </c>
      <c r="C1223" t="str">
        <f t="shared" si="19"/>
        <v>Pulkovo 1995 / 3-degree Gauss-Kruger CM 117E</v>
      </c>
    </row>
    <row r="1224" spans="1:3" x14ac:dyDescent="0.3">
      <c r="A1224" t="s">
        <v>1282</v>
      </c>
      <c r="B1224">
        <f>IF(ISNUMBER(SEARCH(Form!$C$11,Tabel2[[#This Row],[Coordinate Projection System]])),MAX($B$1:B1223)+1,0)</f>
        <v>1223</v>
      </c>
      <c r="C1224" t="str">
        <f t="shared" si="19"/>
        <v>Pulkovo 1995 / 3-degree Gauss-Kruger CM 120E</v>
      </c>
    </row>
    <row r="1225" spans="1:3" x14ac:dyDescent="0.3">
      <c r="A1225" t="s">
        <v>1283</v>
      </c>
      <c r="B1225">
        <f>IF(ISNUMBER(SEARCH(Form!$C$11,Tabel2[[#This Row],[Coordinate Projection System]])),MAX($B$1:B1224)+1,0)</f>
        <v>1224</v>
      </c>
      <c r="C1225" t="str">
        <f t="shared" si="19"/>
        <v>Pulkovo 1995 / 3-degree Gauss-Kruger CM 123E</v>
      </c>
    </row>
    <row r="1226" spans="1:3" x14ac:dyDescent="0.3">
      <c r="A1226" t="s">
        <v>1284</v>
      </c>
      <c r="B1226">
        <f>IF(ISNUMBER(SEARCH(Form!$C$11,Tabel2[[#This Row],[Coordinate Projection System]])),MAX($B$1:B1225)+1,0)</f>
        <v>1225</v>
      </c>
      <c r="C1226" t="str">
        <f t="shared" si="19"/>
        <v>Pulkovo 1995 / 3-degree Gauss-Kruger CM 126E</v>
      </c>
    </row>
    <row r="1227" spans="1:3" x14ac:dyDescent="0.3">
      <c r="A1227" t="s">
        <v>1285</v>
      </c>
      <c r="B1227">
        <f>IF(ISNUMBER(SEARCH(Form!$C$11,Tabel2[[#This Row],[Coordinate Projection System]])),MAX($B$1:B1226)+1,0)</f>
        <v>1226</v>
      </c>
      <c r="C1227" t="str">
        <f t="shared" si="19"/>
        <v>Pulkovo 1995 / 3-degree Gauss-Kruger CM 129E</v>
      </c>
    </row>
    <row r="1228" spans="1:3" x14ac:dyDescent="0.3">
      <c r="A1228" t="s">
        <v>1286</v>
      </c>
      <c r="B1228">
        <f>IF(ISNUMBER(SEARCH(Form!$C$11,Tabel2[[#This Row],[Coordinate Projection System]])),MAX($B$1:B1227)+1,0)</f>
        <v>1227</v>
      </c>
      <c r="C1228" t="str">
        <f t="shared" si="19"/>
        <v>Tete / UTM zone 36S</v>
      </c>
    </row>
    <row r="1229" spans="1:3" x14ac:dyDescent="0.3">
      <c r="A1229" t="s">
        <v>1287</v>
      </c>
      <c r="B1229">
        <f>IF(ISNUMBER(SEARCH(Form!$C$11,Tabel2[[#This Row],[Coordinate Projection System]])),MAX($B$1:B1228)+1,0)</f>
        <v>1228</v>
      </c>
      <c r="C1229" t="str">
        <f t="shared" si="19"/>
        <v>Tete / UTM zone 37S</v>
      </c>
    </row>
    <row r="1230" spans="1:3" x14ac:dyDescent="0.3">
      <c r="A1230" t="s">
        <v>1288</v>
      </c>
      <c r="B1230">
        <f>IF(ISNUMBER(SEARCH(Form!$C$11,Tabel2[[#This Row],[Coordinate Projection System]])),MAX($B$1:B1229)+1,0)</f>
        <v>1229</v>
      </c>
      <c r="C1230" t="str">
        <f t="shared" si="19"/>
        <v>Pulkovo 1995 / 3-degree Gauss-Kruger CM 132E</v>
      </c>
    </row>
    <row r="1231" spans="1:3" x14ac:dyDescent="0.3">
      <c r="A1231" t="s">
        <v>1289</v>
      </c>
      <c r="B1231">
        <f>IF(ISNUMBER(SEARCH(Form!$C$11,Tabel2[[#This Row],[Coordinate Projection System]])),MAX($B$1:B1230)+1,0)</f>
        <v>1230</v>
      </c>
      <c r="C1231" t="str">
        <f t="shared" si="19"/>
        <v>Pulkovo 1995 / 3-degree Gauss-Kruger CM 135E</v>
      </c>
    </row>
    <row r="1232" spans="1:3" x14ac:dyDescent="0.3">
      <c r="A1232" t="s">
        <v>1290</v>
      </c>
      <c r="B1232">
        <f>IF(ISNUMBER(SEARCH(Form!$C$11,Tabel2[[#This Row],[Coordinate Projection System]])),MAX($B$1:B1231)+1,0)</f>
        <v>1231</v>
      </c>
      <c r="C1232" t="str">
        <f t="shared" si="19"/>
        <v>Pulkovo 1995 / 3-degree Gauss-Kruger CM 138E</v>
      </c>
    </row>
    <row r="1233" spans="1:3" x14ac:dyDescent="0.3">
      <c r="A1233" t="s">
        <v>1291</v>
      </c>
      <c r="B1233">
        <f>IF(ISNUMBER(SEARCH(Form!$C$11,Tabel2[[#This Row],[Coordinate Projection System]])),MAX($B$1:B1232)+1,0)</f>
        <v>1232</v>
      </c>
      <c r="C1233" t="str">
        <f t="shared" si="19"/>
        <v>Pulkovo 1995 / 3-degree Gauss-Kruger CM 141E</v>
      </c>
    </row>
    <row r="1234" spans="1:3" x14ac:dyDescent="0.3">
      <c r="A1234" t="s">
        <v>1292</v>
      </c>
      <c r="B1234">
        <f>IF(ISNUMBER(SEARCH(Form!$C$11,Tabel2[[#This Row],[Coordinate Projection System]])),MAX($B$1:B1233)+1,0)</f>
        <v>1233</v>
      </c>
      <c r="C1234" t="str">
        <f t="shared" si="19"/>
        <v>Pulkovo 1995 / 3-degree Gauss-Kruger CM 144E</v>
      </c>
    </row>
    <row r="1235" spans="1:3" x14ac:dyDescent="0.3">
      <c r="A1235" t="s">
        <v>1293</v>
      </c>
      <c r="B1235">
        <f>IF(ISNUMBER(SEARCH(Form!$C$11,Tabel2[[#This Row],[Coordinate Projection System]])),MAX($B$1:B1234)+1,0)</f>
        <v>1234</v>
      </c>
      <c r="C1235" t="str">
        <f t="shared" si="19"/>
        <v>Pulkovo 1995 / 3-degree Gauss-Kruger CM 147E</v>
      </c>
    </row>
    <row r="1236" spans="1:3" x14ac:dyDescent="0.3">
      <c r="A1236" t="s">
        <v>1294</v>
      </c>
      <c r="B1236">
        <f>IF(ISNUMBER(SEARCH(Form!$C$11,Tabel2[[#This Row],[Coordinate Projection System]])),MAX($B$1:B1235)+1,0)</f>
        <v>1235</v>
      </c>
      <c r="C1236" t="str">
        <f t="shared" si="19"/>
        <v>Pulkovo 1995 / 3-degree Gauss-Kruger CM 150E</v>
      </c>
    </row>
    <row r="1237" spans="1:3" x14ac:dyDescent="0.3">
      <c r="A1237" t="s">
        <v>1295</v>
      </c>
      <c r="B1237">
        <f>IF(ISNUMBER(SEARCH(Form!$C$11,Tabel2[[#This Row],[Coordinate Projection System]])),MAX($B$1:B1236)+1,0)</f>
        <v>1236</v>
      </c>
      <c r="C1237" t="str">
        <f t="shared" si="19"/>
        <v>Pulkovo 1995 / 3-degree Gauss-Kruger CM 153E</v>
      </c>
    </row>
    <row r="1238" spans="1:3" x14ac:dyDescent="0.3">
      <c r="A1238" t="s">
        <v>1296</v>
      </c>
      <c r="B1238">
        <f>IF(ISNUMBER(SEARCH(Form!$C$11,Tabel2[[#This Row],[Coordinate Projection System]])),MAX($B$1:B1237)+1,0)</f>
        <v>1237</v>
      </c>
      <c r="C1238" t="str">
        <f t="shared" si="19"/>
        <v>Pulkovo 1995 / 3-degree Gauss-Kruger CM 156E</v>
      </c>
    </row>
    <row r="1239" spans="1:3" x14ac:dyDescent="0.3">
      <c r="A1239" t="s">
        <v>1297</v>
      </c>
      <c r="B1239">
        <f>IF(ISNUMBER(SEARCH(Form!$C$11,Tabel2[[#This Row],[Coordinate Projection System]])),MAX($B$1:B1238)+1,0)</f>
        <v>1238</v>
      </c>
      <c r="C1239" t="str">
        <f t="shared" si="19"/>
        <v>Pulkovo 1995 / 3-degree Gauss-Kruger CM 159E</v>
      </c>
    </row>
    <row r="1240" spans="1:3" x14ac:dyDescent="0.3">
      <c r="A1240" t="s">
        <v>1298</v>
      </c>
      <c r="B1240">
        <f>IF(ISNUMBER(SEARCH(Form!$C$11,Tabel2[[#This Row],[Coordinate Projection System]])),MAX($B$1:B1239)+1,0)</f>
        <v>1239</v>
      </c>
      <c r="C1240" t="str">
        <f t="shared" si="19"/>
        <v>Pulkovo 1995 / 3-degree Gauss-Kruger CM 162E</v>
      </c>
    </row>
    <row r="1241" spans="1:3" x14ac:dyDescent="0.3">
      <c r="A1241" t="s">
        <v>1299</v>
      </c>
      <c r="B1241">
        <f>IF(ISNUMBER(SEARCH(Form!$C$11,Tabel2[[#This Row],[Coordinate Projection System]])),MAX($B$1:B1240)+1,0)</f>
        <v>1240</v>
      </c>
      <c r="C1241" t="str">
        <f t="shared" si="19"/>
        <v>Pulkovo 1995 / 3-degree Gauss-Kruger CM 165E</v>
      </c>
    </row>
    <row r="1242" spans="1:3" x14ac:dyDescent="0.3">
      <c r="A1242" t="s">
        <v>1300</v>
      </c>
      <c r="B1242">
        <f>IF(ISNUMBER(SEARCH(Form!$C$11,Tabel2[[#This Row],[Coordinate Projection System]])),MAX($B$1:B1241)+1,0)</f>
        <v>1241</v>
      </c>
      <c r="C1242" t="str">
        <f t="shared" si="19"/>
        <v>Pulkovo 1995 / 3-degree Gauss-Kruger CM 168E</v>
      </c>
    </row>
    <row r="1243" spans="1:3" x14ac:dyDescent="0.3">
      <c r="A1243" t="s">
        <v>1301</v>
      </c>
      <c r="B1243">
        <f>IF(ISNUMBER(SEARCH(Form!$C$11,Tabel2[[#This Row],[Coordinate Projection System]])),MAX($B$1:B1242)+1,0)</f>
        <v>1242</v>
      </c>
      <c r="C1243" t="str">
        <f t="shared" si="19"/>
        <v>Pulkovo 1995 / 3-degree Gauss-Kruger CM 171E</v>
      </c>
    </row>
    <row r="1244" spans="1:3" x14ac:dyDescent="0.3">
      <c r="A1244" t="s">
        <v>1302</v>
      </c>
      <c r="B1244">
        <f>IF(ISNUMBER(SEARCH(Form!$C$11,Tabel2[[#This Row],[Coordinate Projection System]])),MAX($B$1:B1243)+1,0)</f>
        <v>1243</v>
      </c>
      <c r="C1244" t="str">
        <f t="shared" si="19"/>
        <v>Pulkovo 1995 / 3-degree Gauss-Kruger CM 174E</v>
      </c>
    </row>
    <row r="1245" spans="1:3" x14ac:dyDescent="0.3">
      <c r="A1245" t="s">
        <v>1303</v>
      </c>
      <c r="B1245">
        <f>IF(ISNUMBER(SEARCH(Form!$C$11,Tabel2[[#This Row],[Coordinate Projection System]])),MAX($B$1:B1244)+1,0)</f>
        <v>1244</v>
      </c>
      <c r="C1245" t="str">
        <f t="shared" si="19"/>
        <v>Pulkovo 1995 / 3-degree Gauss-Kruger CM 177E</v>
      </c>
    </row>
    <row r="1246" spans="1:3" x14ac:dyDescent="0.3">
      <c r="A1246" t="s">
        <v>1304</v>
      </c>
      <c r="B1246">
        <f>IF(ISNUMBER(SEARCH(Form!$C$11,Tabel2[[#This Row],[Coordinate Projection System]])),MAX($B$1:B1245)+1,0)</f>
        <v>1245</v>
      </c>
      <c r="C1246" t="str">
        <f t="shared" si="19"/>
        <v>Pulkovo 1995 / 3-degree Gauss-Kruger CM 180E</v>
      </c>
    </row>
    <row r="1247" spans="1:3" x14ac:dyDescent="0.3">
      <c r="A1247" t="s">
        <v>1305</v>
      </c>
      <c r="B1247">
        <f>IF(ISNUMBER(SEARCH(Form!$C$11,Tabel2[[#This Row],[Coordinate Projection System]])),MAX($B$1:B1246)+1,0)</f>
        <v>1246</v>
      </c>
      <c r="C1247" t="str">
        <f t="shared" si="19"/>
        <v>Pulkovo 1995 / 3-degree Gauss-Kruger CM 177W</v>
      </c>
    </row>
    <row r="1248" spans="1:3" x14ac:dyDescent="0.3">
      <c r="A1248" t="s">
        <v>1306</v>
      </c>
      <c r="B1248">
        <f>IF(ISNUMBER(SEARCH(Form!$C$11,Tabel2[[#This Row],[Coordinate Projection System]])),MAX($B$1:B1247)+1,0)</f>
        <v>1247</v>
      </c>
      <c r="C1248" t="str">
        <f t="shared" si="19"/>
        <v>Pulkovo 1995 / 3-degree Gauss-Kruger CM 174W</v>
      </c>
    </row>
    <row r="1249" spans="1:3" x14ac:dyDescent="0.3">
      <c r="A1249" t="s">
        <v>1307</v>
      </c>
      <c r="B1249">
        <f>IF(ISNUMBER(SEARCH(Form!$C$11,Tabel2[[#This Row],[Coordinate Projection System]])),MAX($B$1:B1248)+1,0)</f>
        <v>1248</v>
      </c>
      <c r="C1249" t="str">
        <f t="shared" si="19"/>
        <v>Pulkovo 1995 / 3-degree Gauss-Kruger CM 171W</v>
      </c>
    </row>
    <row r="1250" spans="1:3" x14ac:dyDescent="0.3">
      <c r="A1250" t="s">
        <v>1308</v>
      </c>
      <c r="B1250">
        <f>IF(ISNUMBER(SEARCH(Form!$C$11,Tabel2[[#This Row],[Coordinate Projection System]])),MAX($B$1:B1249)+1,0)</f>
        <v>1249</v>
      </c>
      <c r="C1250" t="str">
        <f t="shared" si="19"/>
        <v>Pulkovo 1995 / 3-degree Gauss-Kruger CM 168W</v>
      </c>
    </row>
    <row r="1251" spans="1:3" x14ac:dyDescent="0.3">
      <c r="A1251" t="s">
        <v>1309</v>
      </c>
      <c r="B1251">
        <f>IF(ISNUMBER(SEARCH(Form!$C$11,Tabel2[[#This Row],[Coordinate Projection System]])),MAX($B$1:B1250)+1,0)</f>
        <v>1250</v>
      </c>
      <c r="C1251" t="str">
        <f t="shared" si="19"/>
        <v>NAD83(HARN) / Alabama East</v>
      </c>
    </row>
    <row r="1252" spans="1:3" x14ac:dyDescent="0.3">
      <c r="A1252" t="s">
        <v>1310</v>
      </c>
      <c r="B1252">
        <f>IF(ISNUMBER(SEARCH(Form!$C$11,Tabel2[[#This Row],[Coordinate Projection System]])),MAX($B$1:B1251)+1,0)</f>
        <v>1251</v>
      </c>
      <c r="C1252" t="str">
        <f t="shared" si="19"/>
        <v>NAD83(HARN) / Alabama West</v>
      </c>
    </row>
    <row r="1253" spans="1:3" x14ac:dyDescent="0.3">
      <c r="A1253" t="s">
        <v>1311</v>
      </c>
      <c r="B1253">
        <f>IF(ISNUMBER(SEARCH(Form!$C$11,Tabel2[[#This Row],[Coordinate Projection System]])),MAX($B$1:B1252)+1,0)</f>
        <v>1252</v>
      </c>
      <c r="C1253" t="str">
        <f t="shared" si="19"/>
        <v>NAD83(HARN) / Arizona East</v>
      </c>
    </row>
    <row r="1254" spans="1:3" x14ac:dyDescent="0.3">
      <c r="A1254" t="s">
        <v>1312</v>
      </c>
      <c r="B1254">
        <f>IF(ISNUMBER(SEARCH(Form!$C$11,Tabel2[[#This Row],[Coordinate Projection System]])),MAX($B$1:B1253)+1,0)</f>
        <v>1253</v>
      </c>
      <c r="C1254" t="str">
        <f t="shared" si="19"/>
        <v>NAD83(HARN) / Arizona Central</v>
      </c>
    </row>
    <row r="1255" spans="1:3" x14ac:dyDescent="0.3">
      <c r="A1255" t="s">
        <v>1313</v>
      </c>
      <c r="B1255">
        <f>IF(ISNUMBER(SEARCH(Form!$C$11,Tabel2[[#This Row],[Coordinate Projection System]])),MAX($B$1:B1254)+1,0)</f>
        <v>1254</v>
      </c>
      <c r="C1255" t="str">
        <f t="shared" si="19"/>
        <v>NAD83(HARN) / Arizona West</v>
      </c>
    </row>
    <row r="1256" spans="1:3" x14ac:dyDescent="0.3">
      <c r="A1256" t="s">
        <v>1314</v>
      </c>
      <c r="B1256">
        <f>IF(ISNUMBER(SEARCH(Form!$C$11,Tabel2[[#This Row],[Coordinate Projection System]])),MAX($B$1:B1255)+1,0)</f>
        <v>1255</v>
      </c>
      <c r="C1256" t="str">
        <f t="shared" si="19"/>
        <v>NAD83(HARN) / Arkansas North</v>
      </c>
    </row>
    <row r="1257" spans="1:3" x14ac:dyDescent="0.3">
      <c r="A1257" t="s">
        <v>1315</v>
      </c>
      <c r="B1257">
        <f>IF(ISNUMBER(SEARCH(Form!$C$11,Tabel2[[#This Row],[Coordinate Projection System]])),MAX($B$1:B1256)+1,0)</f>
        <v>1256</v>
      </c>
      <c r="C1257" t="str">
        <f t="shared" si="19"/>
        <v>NAD83(HARN) / Arkansas South</v>
      </c>
    </row>
    <row r="1258" spans="1:3" x14ac:dyDescent="0.3">
      <c r="A1258" t="s">
        <v>1316</v>
      </c>
      <c r="B1258">
        <f>IF(ISNUMBER(SEARCH(Form!$C$11,Tabel2[[#This Row],[Coordinate Projection System]])),MAX($B$1:B1257)+1,0)</f>
        <v>1257</v>
      </c>
      <c r="C1258" t="str">
        <f t="shared" si="19"/>
        <v>NAD83(HARN) / California zone 1</v>
      </c>
    </row>
    <row r="1259" spans="1:3" x14ac:dyDescent="0.3">
      <c r="A1259" t="s">
        <v>1317</v>
      </c>
      <c r="B1259">
        <f>IF(ISNUMBER(SEARCH(Form!$C$11,Tabel2[[#This Row],[Coordinate Projection System]])),MAX($B$1:B1258)+1,0)</f>
        <v>1258</v>
      </c>
      <c r="C1259" t="str">
        <f t="shared" si="19"/>
        <v>NAD83(HARN) / California zone 2</v>
      </c>
    </row>
    <row r="1260" spans="1:3" x14ac:dyDescent="0.3">
      <c r="A1260" t="s">
        <v>1318</v>
      </c>
      <c r="B1260">
        <f>IF(ISNUMBER(SEARCH(Form!$C$11,Tabel2[[#This Row],[Coordinate Projection System]])),MAX($B$1:B1259)+1,0)</f>
        <v>1259</v>
      </c>
      <c r="C1260" t="str">
        <f t="shared" si="19"/>
        <v>NAD83(HARN) / California zone 3</v>
      </c>
    </row>
    <row r="1261" spans="1:3" x14ac:dyDescent="0.3">
      <c r="A1261" t="s">
        <v>1319</v>
      </c>
      <c r="B1261">
        <f>IF(ISNUMBER(SEARCH(Form!$C$11,Tabel2[[#This Row],[Coordinate Projection System]])),MAX($B$1:B1260)+1,0)</f>
        <v>1260</v>
      </c>
      <c r="C1261" t="str">
        <f t="shared" si="19"/>
        <v>NAD83(HARN) / California zone 4</v>
      </c>
    </row>
    <row r="1262" spans="1:3" x14ac:dyDescent="0.3">
      <c r="A1262" t="s">
        <v>1320</v>
      </c>
      <c r="B1262">
        <f>IF(ISNUMBER(SEARCH(Form!$C$11,Tabel2[[#This Row],[Coordinate Projection System]])),MAX($B$1:B1261)+1,0)</f>
        <v>1261</v>
      </c>
      <c r="C1262" t="str">
        <f t="shared" si="19"/>
        <v>NAD83(HARN) / California zone 5</v>
      </c>
    </row>
    <row r="1263" spans="1:3" x14ac:dyDescent="0.3">
      <c r="A1263" t="s">
        <v>1321</v>
      </c>
      <c r="B1263">
        <f>IF(ISNUMBER(SEARCH(Form!$C$11,Tabel2[[#This Row],[Coordinate Projection System]])),MAX($B$1:B1262)+1,0)</f>
        <v>1262</v>
      </c>
      <c r="C1263" t="str">
        <f t="shared" si="19"/>
        <v>NAD83(HARN) / California zone 6</v>
      </c>
    </row>
    <row r="1264" spans="1:3" x14ac:dyDescent="0.3">
      <c r="A1264" t="s">
        <v>1322</v>
      </c>
      <c r="B1264">
        <f>IF(ISNUMBER(SEARCH(Form!$C$11,Tabel2[[#This Row],[Coordinate Projection System]])),MAX($B$1:B1263)+1,0)</f>
        <v>1263</v>
      </c>
      <c r="C1264" t="str">
        <f t="shared" si="19"/>
        <v>NAD83(HARN) / Colorado North</v>
      </c>
    </row>
    <row r="1265" spans="1:3" x14ac:dyDescent="0.3">
      <c r="A1265" t="s">
        <v>1323</v>
      </c>
      <c r="B1265">
        <f>IF(ISNUMBER(SEARCH(Form!$C$11,Tabel2[[#This Row],[Coordinate Projection System]])),MAX($B$1:B1264)+1,0)</f>
        <v>1264</v>
      </c>
      <c r="C1265" t="str">
        <f t="shared" si="19"/>
        <v>NAD83(HARN) / Colorado Central</v>
      </c>
    </row>
    <row r="1266" spans="1:3" x14ac:dyDescent="0.3">
      <c r="A1266" t="s">
        <v>1324</v>
      </c>
      <c r="B1266">
        <f>IF(ISNUMBER(SEARCH(Form!$C$11,Tabel2[[#This Row],[Coordinate Projection System]])),MAX($B$1:B1265)+1,0)</f>
        <v>1265</v>
      </c>
      <c r="C1266" t="str">
        <f t="shared" si="19"/>
        <v>NAD83(HARN) / Colorado South</v>
      </c>
    </row>
    <row r="1267" spans="1:3" x14ac:dyDescent="0.3">
      <c r="A1267" t="s">
        <v>1325</v>
      </c>
      <c r="B1267">
        <f>IF(ISNUMBER(SEARCH(Form!$C$11,Tabel2[[#This Row],[Coordinate Projection System]])),MAX($B$1:B1266)+1,0)</f>
        <v>1266</v>
      </c>
      <c r="C1267" t="str">
        <f t="shared" si="19"/>
        <v>NAD83(HARN) / Connecticut</v>
      </c>
    </row>
    <row r="1268" spans="1:3" x14ac:dyDescent="0.3">
      <c r="A1268" t="s">
        <v>1326</v>
      </c>
      <c r="B1268">
        <f>IF(ISNUMBER(SEARCH(Form!$C$11,Tabel2[[#This Row],[Coordinate Projection System]])),MAX($B$1:B1267)+1,0)</f>
        <v>1267</v>
      </c>
      <c r="C1268" t="str">
        <f t="shared" si="19"/>
        <v>NAD83(HARN) / Delaware</v>
      </c>
    </row>
    <row r="1269" spans="1:3" x14ac:dyDescent="0.3">
      <c r="A1269" t="s">
        <v>1327</v>
      </c>
      <c r="B1269">
        <f>IF(ISNUMBER(SEARCH(Form!$C$11,Tabel2[[#This Row],[Coordinate Projection System]])),MAX($B$1:B1268)+1,0)</f>
        <v>1268</v>
      </c>
      <c r="C1269" t="str">
        <f t="shared" si="19"/>
        <v>NAD83(HARN) / Florida East</v>
      </c>
    </row>
    <row r="1270" spans="1:3" x14ac:dyDescent="0.3">
      <c r="A1270" t="s">
        <v>1328</v>
      </c>
      <c r="B1270">
        <f>IF(ISNUMBER(SEARCH(Form!$C$11,Tabel2[[#This Row],[Coordinate Projection System]])),MAX($B$1:B1269)+1,0)</f>
        <v>1269</v>
      </c>
      <c r="C1270" t="str">
        <f t="shared" si="19"/>
        <v>NAD83(HARN) / Florida West</v>
      </c>
    </row>
    <row r="1271" spans="1:3" x14ac:dyDescent="0.3">
      <c r="A1271" t="s">
        <v>1329</v>
      </c>
      <c r="B1271">
        <f>IF(ISNUMBER(SEARCH(Form!$C$11,Tabel2[[#This Row],[Coordinate Projection System]])),MAX($B$1:B1270)+1,0)</f>
        <v>1270</v>
      </c>
      <c r="C1271" t="str">
        <f t="shared" si="19"/>
        <v>NAD83(HARN) / Florida North</v>
      </c>
    </row>
    <row r="1272" spans="1:3" x14ac:dyDescent="0.3">
      <c r="A1272" t="s">
        <v>1330</v>
      </c>
      <c r="B1272">
        <f>IF(ISNUMBER(SEARCH(Form!$C$11,Tabel2[[#This Row],[Coordinate Projection System]])),MAX($B$1:B1271)+1,0)</f>
        <v>1271</v>
      </c>
      <c r="C1272" t="str">
        <f t="shared" si="19"/>
        <v>NAD83(HARN) / Georgia East</v>
      </c>
    </row>
    <row r="1273" spans="1:3" x14ac:dyDescent="0.3">
      <c r="A1273" t="s">
        <v>1331</v>
      </c>
      <c r="B1273">
        <f>IF(ISNUMBER(SEARCH(Form!$C$11,Tabel2[[#This Row],[Coordinate Projection System]])),MAX($B$1:B1272)+1,0)</f>
        <v>1272</v>
      </c>
      <c r="C1273" t="str">
        <f t="shared" si="19"/>
        <v>NAD83(HARN) / Georgia West</v>
      </c>
    </row>
    <row r="1274" spans="1:3" x14ac:dyDescent="0.3">
      <c r="A1274" t="s">
        <v>1332</v>
      </c>
      <c r="B1274">
        <f>IF(ISNUMBER(SEARCH(Form!$C$11,Tabel2[[#This Row],[Coordinate Projection System]])),MAX($B$1:B1273)+1,0)</f>
        <v>1273</v>
      </c>
      <c r="C1274" t="str">
        <f t="shared" si="19"/>
        <v>NAD83(HARN) / Hawaii zone 1</v>
      </c>
    </row>
    <row r="1275" spans="1:3" x14ac:dyDescent="0.3">
      <c r="A1275" t="s">
        <v>1333</v>
      </c>
      <c r="B1275">
        <f>IF(ISNUMBER(SEARCH(Form!$C$11,Tabel2[[#This Row],[Coordinate Projection System]])),MAX($B$1:B1274)+1,0)</f>
        <v>1274</v>
      </c>
      <c r="C1275" t="str">
        <f t="shared" si="19"/>
        <v>NAD83(HARN) / Hawaii zone 2</v>
      </c>
    </row>
    <row r="1276" spans="1:3" x14ac:dyDescent="0.3">
      <c r="A1276" t="s">
        <v>1334</v>
      </c>
      <c r="B1276">
        <f>IF(ISNUMBER(SEARCH(Form!$C$11,Tabel2[[#This Row],[Coordinate Projection System]])),MAX($B$1:B1275)+1,0)</f>
        <v>1275</v>
      </c>
      <c r="C1276" t="str">
        <f t="shared" si="19"/>
        <v>NAD83(HARN) / Hawaii zone 3</v>
      </c>
    </row>
    <row r="1277" spans="1:3" x14ac:dyDescent="0.3">
      <c r="A1277" t="s">
        <v>1335</v>
      </c>
      <c r="B1277">
        <f>IF(ISNUMBER(SEARCH(Form!$C$11,Tabel2[[#This Row],[Coordinate Projection System]])),MAX($B$1:B1276)+1,0)</f>
        <v>1276</v>
      </c>
      <c r="C1277" t="str">
        <f t="shared" si="19"/>
        <v>NAD83(HARN) / Hawaii zone 4</v>
      </c>
    </row>
    <row r="1278" spans="1:3" x14ac:dyDescent="0.3">
      <c r="A1278" t="s">
        <v>1336</v>
      </c>
      <c r="B1278">
        <f>IF(ISNUMBER(SEARCH(Form!$C$11,Tabel2[[#This Row],[Coordinate Projection System]])),MAX($B$1:B1277)+1,0)</f>
        <v>1277</v>
      </c>
      <c r="C1278" t="str">
        <f t="shared" si="19"/>
        <v>NAD83(HARN) / Hawaii zone 5</v>
      </c>
    </row>
    <row r="1279" spans="1:3" x14ac:dyDescent="0.3">
      <c r="A1279" t="s">
        <v>1337</v>
      </c>
      <c r="B1279">
        <f>IF(ISNUMBER(SEARCH(Form!$C$11,Tabel2[[#This Row],[Coordinate Projection System]])),MAX($B$1:B1278)+1,0)</f>
        <v>1278</v>
      </c>
      <c r="C1279" t="str">
        <f t="shared" si="19"/>
        <v>NAD83(HARN) / Idaho East</v>
      </c>
    </row>
    <row r="1280" spans="1:3" x14ac:dyDescent="0.3">
      <c r="A1280" t="s">
        <v>1338</v>
      </c>
      <c r="B1280">
        <f>IF(ISNUMBER(SEARCH(Form!$C$11,Tabel2[[#This Row],[Coordinate Projection System]])),MAX($B$1:B1279)+1,0)</f>
        <v>1279</v>
      </c>
      <c r="C1280" t="str">
        <f t="shared" si="19"/>
        <v>NAD83(HARN) / Idaho Central</v>
      </c>
    </row>
    <row r="1281" spans="1:3" x14ac:dyDescent="0.3">
      <c r="A1281" t="s">
        <v>1339</v>
      </c>
      <c r="B1281">
        <f>IF(ISNUMBER(SEARCH(Form!$C$11,Tabel2[[#This Row],[Coordinate Projection System]])),MAX($B$1:B1280)+1,0)</f>
        <v>1280</v>
      </c>
      <c r="C1281" t="str">
        <f t="shared" si="19"/>
        <v>NAD83(HARN) / Idaho West</v>
      </c>
    </row>
    <row r="1282" spans="1:3" x14ac:dyDescent="0.3">
      <c r="A1282" t="s">
        <v>1340</v>
      </c>
      <c r="B1282">
        <f>IF(ISNUMBER(SEARCH(Form!$C$11,Tabel2[[#This Row],[Coordinate Projection System]])),MAX($B$1:B1281)+1,0)</f>
        <v>1281</v>
      </c>
      <c r="C1282" t="str">
        <f t="shared" si="19"/>
        <v>NAD83(HARN) / Illinois East</v>
      </c>
    </row>
    <row r="1283" spans="1:3" x14ac:dyDescent="0.3">
      <c r="A1283" t="s">
        <v>1341</v>
      </c>
      <c r="B1283">
        <f>IF(ISNUMBER(SEARCH(Form!$C$11,Tabel2[[#This Row],[Coordinate Projection System]])),MAX($B$1:B1282)+1,0)</f>
        <v>1282</v>
      </c>
      <c r="C1283" t="str">
        <f t="shared" ref="C1283:C1346" si="20">_xlfn.IFNA(INDEX(A1283:A6794,MATCH(ROW(C1282),B1283:B6794,0)),"")</f>
        <v>NAD83(HARN) / Illinois West</v>
      </c>
    </row>
    <row r="1284" spans="1:3" x14ac:dyDescent="0.3">
      <c r="A1284" t="s">
        <v>1342</v>
      </c>
      <c r="B1284">
        <f>IF(ISNUMBER(SEARCH(Form!$C$11,Tabel2[[#This Row],[Coordinate Projection System]])),MAX($B$1:B1283)+1,0)</f>
        <v>1283</v>
      </c>
      <c r="C1284" t="str">
        <f t="shared" si="20"/>
        <v>NAD83(HARN) / Indiana East</v>
      </c>
    </row>
    <row r="1285" spans="1:3" x14ac:dyDescent="0.3">
      <c r="A1285" t="s">
        <v>1343</v>
      </c>
      <c r="B1285">
        <f>IF(ISNUMBER(SEARCH(Form!$C$11,Tabel2[[#This Row],[Coordinate Projection System]])),MAX($B$1:B1284)+1,0)</f>
        <v>1284</v>
      </c>
      <c r="C1285" t="str">
        <f t="shared" si="20"/>
        <v>NAD83(HARN) / Indiana West</v>
      </c>
    </row>
    <row r="1286" spans="1:3" x14ac:dyDescent="0.3">
      <c r="A1286" t="s">
        <v>1344</v>
      </c>
      <c r="B1286">
        <f>IF(ISNUMBER(SEARCH(Form!$C$11,Tabel2[[#This Row],[Coordinate Projection System]])),MAX($B$1:B1285)+1,0)</f>
        <v>1285</v>
      </c>
      <c r="C1286" t="str">
        <f t="shared" si="20"/>
        <v>NAD83(HARN) / Iowa North</v>
      </c>
    </row>
    <row r="1287" spans="1:3" x14ac:dyDescent="0.3">
      <c r="A1287" t="s">
        <v>1345</v>
      </c>
      <c r="B1287">
        <f>IF(ISNUMBER(SEARCH(Form!$C$11,Tabel2[[#This Row],[Coordinate Projection System]])),MAX($B$1:B1286)+1,0)</f>
        <v>1286</v>
      </c>
      <c r="C1287" t="str">
        <f t="shared" si="20"/>
        <v>NAD83(HARN) / Iowa South</v>
      </c>
    </row>
    <row r="1288" spans="1:3" x14ac:dyDescent="0.3">
      <c r="A1288" t="s">
        <v>1346</v>
      </c>
      <c r="B1288">
        <f>IF(ISNUMBER(SEARCH(Form!$C$11,Tabel2[[#This Row],[Coordinate Projection System]])),MAX($B$1:B1287)+1,0)</f>
        <v>1287</v>
      </c>
      <c r="C1288" t="str">
        <f t="shared" si="20"/>
        <v>NAD83(HARN) / Kansas North</v>
      </c>
    </row>
    <row r="1289" spans="1:3" x14ac:dyDescent="0.3">
      <c r="A1289" t="s">
        <v>1347</v>
      </c>
      <c r="B1289">
        <f>IF(ISNUMBER(SEARCH(Form!$C$11,Tabel2[[#This Row],[Coordinate Projection System]])),MAX($B$1:B1288)+1,0)</f>
        <v>1288</v>
      </c>
      <c r="C1289" t="str">
        <f t="shared" si="20"/>
        <v>NAD83(HARN) / Kansas South</v>
      </c>
    </row>
    <row r="1290" spans="1:3" x14ac:dyDescent="0.3">
      <c r="A1290" t="s">
        <v>1348</v>
      </c>
      <c r="B1290">
        <f>IF(ISNUMBER(SEARCH(Form!$C$11,Tabel2[[#This Row],[Coordinate Projection System]])),MAX($B$1:B1289)+1,0)</f>
        <v>1289</v>
      </c>
      <c r="C1290" t="str">
        <f t="shared" si="20"/>
        <v>NAD83(HARN) / Kentucky North</v>
      </c>
    </row>
    <row r="1291" spans="1:3" x14ac:dyDescent="0.3">
      <c r="A1291" t="s">
        <v>1349</v>
      </c>
      <c r="B1291">
        <f>IF(ISNUMBER(SEARCH(Form!$C$11,Tabel2[[#This Row],[Coordinate Projection System]])),MAX($B$1:B1290)+1,0)</f>
        <v>1290</v>
      </c>
      <c r="C1291" t="str">
        <f t="shared" si="20"/>
        <v>NAD83(HARN) / Kentucky South</v>
      </c>
    </row>
    <row r="1292" spans="1:3" x14ac:dyDescent="0.3">
      <c r="A1292" t="s">
        <v>1350</v>
      </c>
      <c r="B1292">
        <f>IF(ISNUMBER(SEARCH(Form!$C$11,Tabel2[[#This Row],[Coordinate Projection System]])),MAX($B$1:B1291)+1,0)</f>
        <v>1291</v>
      </c>
      <c r="C1292" t="str">
        <f t="shared" si="20"/>
        <v>NAD83(HARN) / Louisiana North</v>
      </c>
    </row>
    <row r="1293" spans="1:3" x14ac:dyDescent="0.3">
      <c r="A1293" t="s">
        <v>1351</v>
      </c>
      <c r="B1293">
        <f>IF(ISNUMBER(SEARCH(Form!$C$11,Tabel2[[#This Row],[Coordinate Projection System]])),MAX($B$1:B1292)+1,0)</f>
        <v>1292</v>
      </c>
      <c r="C1293" t="str">
        <f t="shared" si="20"/>
        <v>NAD83(HARN) / Louisiana South</v>
      </c>
    </row>
    <row r="1294" spans="1:3" x14ac:dyDescent="0.3">
      <c r="A1294" t="s">
        <v>1352</v>
      </c>
      <c r="B1294">
        <f>IF(ISNUMBER(SEARCH(Form!$C$11,Tabel2[[#This Row],[Coordinate Projection System]])),MAX($B$1:B1293)+1,0)</f>
        <v>1293</v>
      </c>
      <c r="C1294" t="str">
        <f t="shared" si="20"/>
        <v>NAD83(HARN) / Maine East</v>
      </c>
    </row>
    <row r="1295" spans="1:3" x14ac:dyDescent="0.3">
      <c r="A1295" t="s">
        <v>1353</v>
      </c>
      <c r="B1295">
        <f>IF(ISNUMBER(SEARCH(Form!$C$11,Tabel2[[#This Row],[Coordinate Projection System]])),MAX($B$1:B1294)+1,0)</f>
        <v>1294</v>
      </c>
      <c r="C1295" t="str">
        <f t="shared" si="20"/>
        <v>NAD83(HARN) / Maine West</v>
      </c>
    </row>
    <row r="1296" spans="1:3" x14ac:dyDescent="0.3">
      <c r="A1296" t="s">
        <v>1354</v>
      </c>
      <c r="B1296">
        <f>IF(ISNUMBER(SEARCH(Form!$C$11,Tabel2[[#This Row],[Coordinate Projection System]])),MAX($B$1:B1295)+1,0)</f>
        <v>1295</v>
      </c>
      <c r="C1296" t="str">
        <f t="shared" si="20"/>
        <v>NAD83(HARN) / Maryland</v>
      </c>
    </row>
    <row r="1297" spans="1:3" x14ac:dyDescent="0.3">
      <c r="A1297" t="s">
        <v>1355</v>
      </c>
      <c r="B1297">
        <f>IF(ISNUMBER(SEARCH(Form!$C$11,Tabel2[[#This Row],[Coordinate Projection System]])),MAX($B$1:B1296)+1,0)</f>
        <v>1296</v>
      </c>
      <c r="C1297" t="str">
        <f t="shared" si="20"/>
        <v>NAD83(HARN) / Massachusetts Mainland</v>
      </c>
    </row>
    <row r="1298" spans="1:3" x14ac:dyDescent="0.3">
      <c r="A1298" t="s">
        <v>1356</v>
      </c>
      <c r="B1298">
        <f>IF(ISNUMBER(SEARCH(Form!$C$11,Tabel2[[#This Row],[Coordinate Projection System]])),MAX($B$1:B1297)+1,0)</f>
        <v>1297</v>
      </c>
      <c r="C1298" t="str">
        <f t="shared" si="20"/>
        <v>NAD83(HARN) / Massachusetts Island</v>
      </c>
    </row>
    <row r="1299" spans="1:3" x14ac:dyDescent="0.3">
      <c r="A1299" t="s">
        <v>1357</v>
      </c>
      <c r="B1299">
        <f>IF(ISNUMBER(SEARCH(Form!$C$11,Tabel2[[#This Row],[Coordinate Projection System]])),MAX($B$1:B1298)+1,0)</f>
        <v>1298</v>
      </c>
      <c r="C1299" t="str">
        <f t="shared" si="20"/>
        <v>NAD83(HARN) / Michigan North</v>
      </c>
    </row>
    <row r="1300" spans="1:3" x14ac:dyDescent="0.3">
      <c r="A1300" t="s">
        <v>1358</v>
      </c>
      <c r="B1300">
        <f>IF(ISNUMBER(SEARCH(Form!$C$11,Tabel2[[#This Row],[Coordinate Projection System]])),MAX($B$1:B1299)+1,0)</f>
        <v>1299</v>
      </c>
      <c r="C1300" t="str">
        <f t="shared" si="20"/>
        <v>NAD83(HARN) / Michigan Central</v>
      </c>
    </row>
    <row r="1301" spans="1:3" x14ac:dyDescent="0.3">
      <c r="A1301" t="s">
        <v>1359</v>
      </c>
      <c r="B1301">
        <f>IF(ISNUMBER(SEARCH(Form!$C$11,Tabel2[[#This Row],[Coordinate Projection System]])),MAX($B$1:B1300)+1,0)</f>
        <v>1300</v>
      </c>
      <c r="C1301" t="str">
        <f t="shared" si="20"/>
        <v>NAD83(HARN) / Michigan South</v>
      </c>
    </row>
    <row r="1302" spans="1:3" x14ac:dyDescent="0.3">
      <c r="A1302" t="s">
        <v>1360</v>
      </c>
      <c r="B1302">
        <f>IF(ISNUMBER(SEARCH(Form!$C$11,Tabel2[[#This Row],[Coordinate Projection System]])),MAX($B$1:B1301)+1,0)</f>
        <v>1301</v>
      </c>
      <c r="C1302" t="str">
        <f t="shared" si="20"/>
        <v>NAD83(HARN) / Minnesota North</v>
      </c>
    </row>
    <row r="1303" spans="1:3" x14ac:dyDescent="0.3">
      <c r="A1303" t="s">
        <v>1361</v>
      </c>
      <c r="B1303">
        <f>IF(ISNUMBER(SEARCH(Form!$C$11,Tabel2[[#This Row],[Coordinate Projection System]])),MAX($B$1:B1302)+1,0)</f>
        <v>1302</v>
      </c>
      <c r="C1303" t="str">
        <f t="shared" si="20"/>
        <v>NAD83(HARN) / Minnesota Central</v>
      </c>
    </row>
    <row r="1304" spans="1:3" x14ac:dyDescent="0.3">
      <c r="A1304" t="s">
        <v>1362</v>
      </c>
      <c r="B1304">
        <f>IF(ISNUMBER(SEARCH(Form!$C$11,Tabel2[[#This Row],[Coordinate Projection System]])),MAX($B$1:B1303)+1,0)</f>
        <v>1303</v>
      </c>
      <c r="C1304" t="str">
        <f t="shared" si="20"/>
        <v>NAD83(HARN) / Minnesota South</v>
      </c>
    </row>
    <row r="1305" spans="1:3" x14ac:dyDescent="0.3">
      <c r="A1305" t="s">
        <v>1363</v>
      </c>
      <c r="B1305">
        <f>IF(ISNUMBER(SEARCH(Form!$C$11,Tabel2[[#This Row],[Coordinate Projection System]])),MAX($B$1:B1304)+1,0)</f>
        <v>1304</v>
      </c>
      <c r="C1305" t="str">
        <f t="shared" si="20"/>
        <v>NAD83(HARN) / Mississippi East</v>
      </c>
    </row>
    <row r="1306" spans="1:3" x14ac:dyDescent="0.3">
      <c r="A1306" t="s">
        <v>1364</v>
      </c>
      <c r="B1306">
        <f>IF(ISNUMBER(SEARCH(Form!$C$11,Tabel2[[#This Row],[Coordinate Projection System]])),MAX($B$1:B1305)+1,0)</f>
        <v>1305</v>
      </c>
      <c r="C1306" t="str">
        <f t="shared" si="20"/>
        <v>NAD83(HARN) / Mississippi West</v>
      </c>
    </row>
    <row r="1307" spans="1:3" x14ac:dyDescent="0.3">
      <c r="A1307" t="s">
        <v>1365</v>
      </c>
      <c r="B1307">
        <f>IF(ISNUMBER(SEARCH(Form!$C$11,Tabel2[[#This Row],[Coordinate Projection System]])),MAX($B$1:B1306)+1,0)</f>
        <v>1306</v>
      </c>
      <c r="C1307" t="str">
        <f t="shared" si="20"/>
        <v>NAD83(HARN) / Missouri East</v>
      </c>
    </row>
    <row r="1308" spans="1:3" x14ac:dyDescent="0.3">
      <c r="A1308" t="s">
        <v>1366</v>
      </c>
      <c r="B1308">
        <f>IF(ISNUMBER(SEARCH(Form!$C$11,Tabel2[[#This Row],[Coordinate Projection System]])),MAX($B$1:B1307)+1,0)</f>
        <v>1307</v>
      </c>
      <c r="C1308" t="str">
        <f t="shared" si="20"/>
        <v>NAD83(HARN) / Missouri Central</v>
      </c>
    </row>
    <row r="1309" spans="1:3" x14ac:dyDescent="0.3">
      <c r="A1309" t="s">
        <v>1367</v>
      </c>
      <c r="B1309">
        <f>IF(ISNUMBER(SEARCH(Form!$C$11,Tabel2[[#This Row],[Coordinate Projection System]])),MAX($B$1:B1308)+1,0)</f>
        <v>1308</v>
      </c>
      <c r="C1309" t="str">
        <f t="shared" si="20"/>
        <v>NAD83(HARN) / Missouri West</v>
      </c>
    </row>
    <row r="1310" spans="1:3" x14ac:dyDescent="0.3">
      <c r="A1310" t="s">
        <v>1368</v>
      </c>
      <c r="B1310">
        <f>IF(ISNUMBER(SEARCH(Form!$C$11,Tabel2[[#This Row],[Coordinate Projection System]])),MAX($B$1:B1309)+1,0)</f>
        <v>1309</v>
      </c>
      <c r="C1310" t="str">
        <f t="shared" si="20"/>
        <v>NAD83(HARN) / Montana</v>
      </c>
    </row>
    <row r="1311" spans="1:3" x14ac:dyDescent="0.3">
      <c r="A1311" t="s">
        <v>1369</v>
      </c>
      <c r="B1311">
        <f>IF(ISNUMBER(SEARCH(Form!$C$11,Tabel2[[#This Row],[Coordinate Projection System]])),MAX($B$1:B1310)+1,0)</f>
        <v>1310</v>
      </c>
      <c r="C1311" t="str">
        <f t="shared" si="20"/>
        <v>NAD83(HARN) / Nebraska</v>
      </c>
    </row>
    <row r="1312" spans="1:3" x14ac:dyDescent="0.3">
      <c r="A1312" t="s">
        <v>1370</v>
      </c>
      <c r="B1312">
        <f>IF(ISNUMBER(SEARCH(Form!$C$11,Tabel2[[#This Row],[Coordinate Projection System]])),MAX($B$1:B1311)+1,0)</f>
        <v>1311</v>
      </c>
      <c r="C1312" t="str">
        <f t="shared" si="20"/>
        <v>NAD83(HARN) / Nevada East</v>
      </c>
    </row>
    <row r="1313" spans="1:3" x14ac:dyDescent="0.3">
      <c r="A1313" t="s">
        <v>1371</v>
      </c>
      <c r="B1313">
        <f>IF(ISNUMBER(SEARCH(Form!$C$11,Tabel2[[#This Row],[Coordinate Projection System]])),MAX($B$1:B1312)+1,0)</f>
        <v>1312</v>
      </c>
      <c r="C1313" t="str">
        <f t="shared" si="20"/>
        <v>NAD83(HARN) / Nevada Central</v>
      </c>
    </row>
    <row r="1314" spans="1:3" x14ac:dyDescent="0.3">
      <c r="A1314" t="s">
        <v>1372</v>
      </c>
      <c r="B1314">
        <f>IF(ISNUMBER(SEARCH(Form!$C$11,Tabel2[[#This Row],[Coordinate Projection System]])),MAX($B$1:B1313)+1,0)</f>
        <v>1313</v>
      </c>
      <c r="C1314" t="str">
        <f t="shared" si="20"/>
        <v>NAD83(HARN) / Nevada West</v>
      </c>
    </row>
    <row r="1315" spans="1:3" x14ac:dyDescent="0.3">
      <c r="A1315" t="s">
        <v>1373</v>
      </c>
      <c r="B1315">
        <f>IF(ISNUMBER(SEARCH(Form!$C$11,Tabel2[[#This Row],[Coordinate Projection System]])),MAX($B$1:B1314)+1,0)</f>
        <v>1314</v>
      </c>
      <c r="C1315" t="str">
        <f t="shared" si="20"/>
        <v>NAD83(HARN) / New Hampshire</v>
      </c>
    </row>
    <row r="1316" spans="1:3" x14ac:dyDescent="0.3">
      <c r="A1316" t="s">
        <v>1374</v>
      </c>
      <c r="B1316">
        <f>IF(ISNUMBER(SEARCH(Form!$C$11,Tabel2[[#This Row],[Coordinate Projection System]])),MAX($B$1:B1315)+1,0)</f>
        <v>1315</v>
      </c>
      <c r="C1316" t="str">
        <f t="shared" si="20"/>
        <v>NAD83(HARN) / New Jersey</v>
      </c>
    </row>
    <row r="1317" spans="1:3" x14ac:dyDescent="0.3">
      <c r="A1317" t="s">
        <v>1375</v>
      </c>
      <c r="B1317">
        <f>IF(ISNUMBER(SEARCH(Form!$C$11,Tabel2[[#This Row],[Coordinate Projection System]])),MAX($B$1:B1316)+1,0)</f>
        <v>1316</v>
      </c>
      <c r="C1317" t="str">
        <f t="shared" si="20"/>
        <v>NAD83(HARN) / New Mexico East</v>
      </c>
    </row>
    <row r="1318" spans="1:3" x14ac:dyDescent="0.3">
      <c r="A1318" t="s">
        <v>1376</v>
      </c>
      <c r="B1318">
        <f>IF(ISNUMBER(SEARCH(Form!$C$11,Tabel2[[#This Row],[Coordinate Projection System]])),MAX($B$1:B1317)+1,0)</f>
        <v>1317</v>
      </c>
      <c r="C1318" t="str">
        <f t="shared" si="20"/>
        <v>NAD83(HARN) / New Mexico Central</v>
      </c>
    </row>
    <row r="1319" spans="1:3" x14ac:dyDescent="0.3">
      <c r="A1319" t="s">
        <v>1377</v>
      </c>
      <c r="B1319">
        <f>IF(ISNUMBER(SEARCH(Form!$C$11,Tabel2[[#This Row],[Coordinate Projection System]])),MAX($B$1:B1318)+1,0)</f>
        <v>1318</v>
      </c>
      <c r="C1319" t="str">
        <f t="shared" si="20"/>
        <v>NAD83(HARN) / New Mexico West</v>
      </c>
    </row>
    <row r="1320" spans="1:3" x14ac:dyDescent="0.3">
      <c r="A1320" t="s">
        <v>1378</v>
      </c>
      <c r="B1320">
        <f>IF(ISNUMBER(SEARCH(Form!$C$11,Tabel2[[#This Row],[Coordinate Projection System]])),MAX($B$1:B1319)+1,0)</f>
        <v>1319</v>
      </c>
      <c r="C1320" t="str">
        <f t="shared" si="20"/>
        <v>NAD83(HARN) / New York East</v>
      </c>
    </row>
    <row r="1321" spans="1:3" x14ac:dyDescent="0.3">
      <c r="A1321" t="s">
        <v>1379</v>
      </c>
      <c r="B1321">
        <f>IF(ISNUMBER(SEARCH(Form!$C$11,Tabel2[[#This Row],[Coordinate Projection System]])),MAX($B$1:B1320)+1,0)</f>
        <v>1320</v>
      </c>
      <c r="C1321" t="str">
        <f t="shared" si="20"/>
        <v>NAD83(HARN) / New York Central</v>
      </c>
    </row>
    <row r="1322" spans="1:3" x14ac:dyDescent="0.3">
      <c r="A1322" t="s">
        <v>1380</v>
      </c>
      <c r="B1322">
        <f>IF(ISNUMBER(SEARCH(Form!$C$11,Tabel2[[#This Row],[Coordinate Projection System]])),MAX($B$1:B1321)+1,0)</f>
        <v>1321</v>
      </c>
      <c r="C1322" t="str">
        <f t="shared" si="20"/>
        <v>NAD83(HARN) / New York West</v>
      </c>
    </row>
    <row r="1323" spans="1:3" x14ac:dyDescent="0.3">
      <c r="A1323" t="s">
        <v>1381</v>
      </c>
      <c r="B1323">
        <f>IF(ISNUMBER(SEARCH(Form!$C$11,Tabel2[[#This Row],[Coordinate Projection System]])),MAX($B$1:B1322)+1,0)</f>
        <v>1322</v>
      </c>
      <c r="C1323" t="str">
        <f t="shared" si="20"/>
        <v>NAD83(HARN) / New York Long Island</v>
      </c>
    </row>
    <row r="1324" spans="1:3" x14ac:dyDescent="0.3">
      <c r="A1324" t="s">
        <v>1382</v>
      </c>
      <c r="B1324">
        <f>IF(ISNUMBER(SEARCH(Form!$C$11,Tabel2[[#This Row],[Coordinate Projection System]])),MAX($B$1:B1323)+1,0)</f>
        <v>1323</v>
      </c>
      <c r="C1324" t="str">
        <f t="shared" si="20"/>
        <v>NAD83(HARN) / North Dakota North</v>
      </c>
    </row>
    <row r="1325" spans="1:3" x14ac:dyDescent="0.3">
      <c r="A1325" t="s">
        <v>1383</v>
      </c>
      <c r="B1325">
        <f>IF(ISNUMBER(SEARCH(Form!$C$11,Tabel2[[#This Row],[Coordinate Projection System]])),MAX($B$1:B1324)+1,0)</f>
        <v>1324</v>
      </c>
      <c r="C1325" t="str">
        <f t="shared" si="20"/>
        <v>NAD83(HARN) / North Dakota South</v>
      </c>
    </row>
    <row r="1326" spans="1:3" x14ac:dyDescent="0.3">
      <c r="A1326" t="s">
        <v>1384</v>
      </c>
      <c r="B1326">
        <f>IF(ISNUMBER(SEARCH(Form!$C$11,Tabel2[[#This Row],[Coordinate Projection System]])),MAX($B$1:B1325)+1,0)</f>
        <v>1325</v>
      </c>
      <c r="C1326" t="str">
        <f t="shared" si="20"/>
        <v>NAD83(HARN) / Ohio North</v>
      </c>
    </row>
    <row r="1327" spans="1:3" x14ac:dyDescent="0.3">
      <c r="A1327" t="s">
        <v>1385</v>
      </c>
      <c r="B1327">
        <f>IF(ISNUMBER(SEARCH(Form!$C$11,Tabel2[[#This Row],[Coordinate Projection System]])),MAX($B$1:B1326)+1,0)</f>
        <v>1326</v>
      </c>
      <c r="C1327" t="str">
        <f t="shared" si="20"/>
        <v>NAD83(HARN) / Ohio South</v>
      </c>
    </row>
    <row r="1328" spans="1:3" x14ac:dyDescent="0.3">
      <c r="A1328" t="s">
        <v>1386</v>
      </c>
      <c r="B1328">
        <f>IF(ISNUMBER(SEARCH(Form!$C$11,Tabel2[[#This Row],[Coordinate Projection System]])),MAX($B$1:B1327)+1,0)</f>
        <v>1327</v>
      </c>
      <c r="C1328" t="str">
        <f t="shared" si="20"/>
        <v>NAD83(HARN) / Oklahoma North</v>
      </c>
    </row>
    <row r="1329" spans="1:3" x14ac:dyDescent="0.3">
      <c r="A1329" t="s">
        <v>1387</v>
      </c>
      <c r="B1329">
        <f>IF(ISNUMBER(SEARCH(Form!$C$11,Tabel2[[#This Row],[Coordinate Projection System]])),MAX($B$1:B1328)+1,0)</f>
        <v>1328</v>
      </c>
      <c r="C1329" t="str">
        <f t="shared" si="20"/>
        <v>NAD83(HARN) / Oklahoma South</v>
      </c>
    </row>
    <row r="1330" spans="1:3" x14ac:dyDescent="0.3">
      <c r="A1330" t="s">
        <v>1388</v>
      </c>
      <c r="B1330">
        <f>IF(ISNUMBER(SEARCH(Form!$C$11,Tabel2[[#This Row],[Coordinate Projection System]])),MAX($B$1:B1329)+1,0)</f>
        <v>1329</v>
      </c>
      <c r="C1330" t="str">
        <f t="shared" si="20"/>
        <v>NAD83(HARN) / Oregon North</v>
      </c>
    </row>
    <row r="1331" spans="1:3" x14ac:dyDescent="0.3">
      <c r="A1331" t="s">
        <v>1389</v>
      </c>
      <c r="B1331">
        <f>IF(ISNUMBER(SEARCH(Form!$C$11,Tabel2[[#This Row],[Coordinate Projection System]])),MAX($B$1:B1330)+1,0)</f>
        <v>1330</v>
      </c>
      <c r="C1331" t="str">
        <f t="shared" si="20"/>
        <v>NAD83(HARN) / Oregon South</v>
      </c>
    </row>
    <row r="1332" spans="1:3" x14ac:dyDescent="0.3">
      <c r="A1332" t="s">
        <v>1390</v>
      </c>
      <c r="B1332">
        <f>IF(ISNUMBER(SEARCH(Form!$C$11,Tabel2[[#This Row],[Coordinate Projection System]])),MAX($B$1:B1331)+1,0)</f>
        <v>1331</v>
      </c>
      <c r="C1332" t="str">
        <f t="shared" si="20"/>
        <v>NAD83(HARN) / Rhode Island</v>
      </c>
    </row>
    <row r="1333" spans="1:3" x14ac:dyDescent="0.3">
      <c r="A1333" t="s">
        <v>1391</v>
      </c>
      <c r="B1333">
        <f>IF(ISNUMBER(SEARCH(Form!$C$11,Tabel2[[#This Row],[Coordinate Projection System]])),MAX($B$1:B1332)+1,0)</f>
        <v>1332</v>
      </c>
      <c r="C1333" t="str">
        <f t="shared" si="20"/>
        <v>NAD83(HARN) / South Dakota North</v>
      </c>
    </row>
    <row r="1334" spans="1:3" x14ac:dyDescent="0.3">
      <c r="A1334" t="s">
        <v>1392</v>
      </c>
      <c r="B1334">
        <f>IF(ISNUMBER(SEARCH(Form!$C$11,Tabel2[[#This Row],[Coordinate Projection System]])),MAX($B$1:B1333)+1,0)</f>
        <v>1333</v>
      </c>
      <c r="C1334" t="str">
        <f t="shared" si="20"/>
        <v>NAD83(HARN) / South Dakota South</v>
      </c>
    </row>
    <row r="1335" spans="1:3" x14ac:dyDescent="0.3">
      <c r="A1335" t="s">
        <v>1393</v>
      </c>
      <c r="B1335">
        <f>IF(ISNUMBER(SEARCH(Form!$C$11,Tabel2[[#This Row],[Coordinate Projection System]])),MAX($B$1:B1334)+1,0)</f>
        <v>1334</v>
      </c>
      <c r="C1335" t="str">
        <f t="shared" si="20"/>
        <v>NAD83(HARN) / Tennessee</v>
      </c>
    </row>
    <row r="1336" spans="1:3" x14ac:dyDescent="0.3">
      <c r="A1336" t="s">
        <v>1394</v>
      </c>
      <c r="B1336">
        <f>IF(ISNUMBER(SEARCH(Form!$C$11,Tabel2[[#This Row],[Coordinate Projection System]])),MAX($B$1:B1335)+1,0)</f>
        <v>1335</v>
      </c>
      <c r="C1336" t="str">
        <f t="shared" si="20"/>
        <v>NAD83(HARN) / Texas North</v>
      </c>
    </row>
    <row r="1337" spans="1:3" x14ac:dyDescent="0.3">
      <c r="A1337" t="s">
        <v>1395</v>
      </c>
      <c r="B1337">
        <f>IF(ISNUMBER(SEARCH(Form!$C$11,Tabel2[[#This Row],[Coordinate Projection System]])),MAX($B$1:B1336)+1,0)</f>
        <v>1336</v>
      </c>
      <c r="C1337" t="str">
        <f t="shared" si="20"/>
        <v>NAD83(HARN) / Texas North Central</v>
      </c>
    </row>
    <row r="1338" spans="1:3" x14ac:dyDescent="0.3">
      <c r="A1338" t="s">
        <v>1396</v>
      </c>
      <c r="B1338">
        <f>IF(ISNUMBER(SEARCH(Form!$C$11,Tabel2[[#This Row],[Coordinate Projection System]])),MAX($B$1:B1337)+1,0)</f>
        <v>1337</v>
      </c>
      <c r="C1338" t="str">
        <f t="shared" si="20"/>
        <v>NAD83(HARN) / Texas Central</v>
      </c>
    </row>
    <row r="1339" spans="1:3" x14ac:dyDescent="0.3">
      <c r="A1339" t="s">
        <v>1397</v>
      </c>
      <c r="B1339">
        <f>IF(ISNUMBER(SEARCH(Form!$C$11,Tabel2[[#This Row],[Coordinate Projection System]])),MAX($B$1:B1338)+1,0)</f>
        <v>1338</v>
      </c>
      <c r="C1339" t="str">
        <f t="shared" si="20"/>
        <v>NAD83(HARN) / Texas South Central</v>
      </c>
    </row>
    <row r="1340" spans="1:3" x14ac:dyDescent="0.3">
      <c r="A1340" t="s">
        <v>1398</v>
      </c>
      <c r="B1340">
        <f>IF(ISNUMBER(SEARCH(Form!$C$11,Tabel2[[#This Row],[Coordinate Projection System]])),MAX($B$1:B1339)+1,0)</f>
        <v>1339</v>
      </c>
      <c r="C1340" t="str">
        <f t="shared" si="20"/>
        <v>NAD83(HARN) / Texas South</v>
      </c>
    </row>
    <row r="1341" spans="1:3" x14ac:dyDescent="0.3">
      <c r="A1341" t="s">
        <v>1399</v>
      </c>
      <c r="B1341">
        <f>IF(ISNUMBER(SEARCH(Form!$C$11,Tabel2[[#This Row],[Coordinate Projection System]])),MAX($B$1:B1340)+1,0)</f>
        <v>1340</v>
      </c>
      <c r="C1341" t="str">
        <f t="shared" si="20"/>
        <v>NAD83(HARN) / Utah North</v>
      </c>
    </row>
    <row r="1342" spans="1:3" x14ac:dyDescent="0.3">
      <c r="A1342" t="s">
        <v>1400</v>
      </c>
      <c r="B1342">
        <f>IF(ISNUMBER(SEARCH(Form!$C$11,Tabel2[[#This Row],[Coordinate Projection System]])),MAX($B$1:B1341)+1,0)</f>
        <v>1341</v>
      </c>
      <c r="C1342" t="str">
        <f t="shared" si="20"/>
        <v>NAD83(HARN) / Utah Central</v>
      </c>
    </row>
    <row r="1343" spans="1:3" x14ac:dyDescent="0.3">
      <c r="A1343" t="s">
        <v>1401</v>
      </c>
      <c r="B1343">
        <f>IF(ISNUMBER(SEARCH(Form!$C$11,Tabel2[[#This Row],[Coordinate Projection System]])),MAX($B$1:B1342)+1,0)</f>
        <v>1342</v>
      </c>
      <c r="C1343" t="str">
        <f t="shared" si="20"/>
        <v>NAD83(HARN) / Utah South</v>
      </c>
    </row>
    <row r="1344" spans="1:3" x14ac:dyDescent="0.3">
      <c r="A1344" t="s">
        <v>1402</v>
      </c>
      <c r="B1344">
        <f>IF(ISNUMBER(SEARCH(Form!$C$11,Tabel2[[#This Row],[Coordinate Projection System]])),MAX($B$1:B1343)+1,0)</f>
        <v>1343</v>
      </c>
      <c r="C1344" t="str">
        <f t="shared" si="20"/>
        <v>NAD83(HARN) / Vermont</v>
      </c>
    </row>
    <row r="1345" spans="1:3" x14ac:dyDescent="0.3">
      <c r="A1345" t="s">
        <v>1403</v>
      </c>
      <c r="B1345">
        <f>IF(ISNUMBER(SEARCH(Form!$C$11,Tabel2[[#This Row],[Coordinate Projection System]])),MAX($B$1:B1344)+1,0)</f>
        <v>1344</v>
      </c>
      <c r="C1345" t="str">
        <f t="shared" si="20"/>
        <v>NAD83(HARN) / Virginia North</v>
      </c>
    </row>
    <row r="1346" spans="1:3" x14ac:dyDescent="0.3">
      <c r="A1346" t="s">
        <v>1404</v>
      </c>
      <c r="B1346">
        <f>IF(ISNUMBER(SEARCH(Form!$C$11,Tabel2[[#This Row],[Coordinate Projection System]])),MAX($B$1:B1345)+1,0)</f>
        <v>1345</v>
      </c>
      <c r="C1346" t="str">
        <f t="shared" si="20"/>
        <v>NAD83(HARN) / Virginia South</v>
      </c>
    </row>
    <row r="1347" spans="1:3" x14ac:dyDescent="0.3">
      <c r="A1347" t="s">
        <v>1405</v>
      </c>
      <c r="B1347">
        <f>IF(ISNUMBER(SEARCH(Form!$C$11,Tabel2[[#This Row],[Coordinate Projection System]])),MAX($B$1:B1346)+1,0)</f>
        <v>1346</v>
      </c>
      <c r="C1347" t="str">
        <f t="shared" ref="C1347:C1410" si="21">_xlfn.IFNA(INDEX(A1347:A6858,MATCH(ROW(C1346),B1347:B6858,0)),"")</f>
        <v>NAD83(HARN) / Washington North</v>
      </c>
    </row>
    <row r="1348" spans="1:3" x14ac:dyDescent="0.3">
      <c r="A1348" t="s">
        <v>1406</v>
      </c>
      <c r="B1348">
        <f>IF(ISNUMBER(SEARCH(Form!$C$11,Tabel2[[#This Row],[Coordinate Projection System]])),MAX($B$1:B1347)+1,0)</f>
        <v>1347</v>
      </c>
      <c r="C1348" t="str">
        <f t="shared" si="21"/>
        <v>NAD83(HARN) / Washington South</v>
      </c>
    </row>
    <row r="1349" spans="1:3" x14ac:dyDescent="0.3">
      <c r="A1349" t="s">
        <v>1407</v>
      </c>
      <c r="B1349">
        <f>IF(ISNUMBER(SEARCH(Form!$C$11,Tabel2[[#This Row],[Coordinate Projection System]])),MAX($B$1:B1348)+1,0)</f>
        <v>1348</v>
      </c>
      <c r="C1349" t="str">
        <f t="shared" si="21"/>
        <v>NAD83(HARN) / West Virginia North</v>
      </c>
    </row>
    <row r="1350" spans="1:3" x14ac:dyDescent="0.3">
      <c r="A1350" t="s">
        <v>1408</v>
      </c>
      <c r="B1350">
        <f>IF(ISNUMBER(SEARCH(Form!$C$11,Tabel2[[#This Row],[Coordinate Projection System]])),MAX($B$1:B1349)+1,0)</f>
        <v>1349</v>
      </c>
      <c r="C1350" t="str">
        <f t="shared" si="21"/>
        <v>NAD83(HARN) / West Virginia South</v>
      </c>
    </row>
    <row r="1351" spans="1:3" x14ac:dyDescent="0.3">
      <c r="A1351" t="s">
        <v>1409</v>
      </c>
      <c r="B1351">
        <f>IF(ISNUMBER(SEARCH(Form!$C$11,Tabel2[[#This Row],[Coordinate Projection System]])),MAX($B$1:B1350)+1,0)</f>
        <v>1350</v>
      </c>
      <c r="C1351" t="str">
        <f t="shared" si="21"/>
        <v>NAD83(HARN) / Wisconsin North</v>
      </c>
    </row>
    <row r="1352" spans="1:3" x14ac:dyDescent="0.3">
      <c r="A1352" t="s">
        <v>1410</v>
      </c>
      <c r="B1352">
        <f>IF(ISNUMBER(SEARCH(Form!$C$11,Tabel2[[#This Row],[Coordinate Projection System]])),MAX($B$1:B1351)+1,0)</f>
        <v>1351</v>
      </c>
      <c r="C1352" t="str">
        <f t="shared" si="21"/>
        <v>NAD83(HARN) / Wisconsin Central</v>
      </c>
    </row>
    <row r="1353" spans="1:3" x14ac:dyDescent="0.3">
      <c r="A1353" t="s">
        <v>1411</v>
      </c>
      <c r="B1353">
        <f>IF(ISNUMBER(SEARCH(Form!$C$11,Tabel2[[#This Row],[Coordinate Projection System]])),MAX($B$1:B1352)+1,0)</f>
        <v>1352</v>
      </c>
      <c r="C1353" t="str">
        <f t="shared" si="21"/>
        <v>NAD83(HARN) / Wisconsin South</v>
      </c>
    </row>
    <row r="1354" spans="1:3" x14ac:dyDescent="0.3">
      <c r="A1354" t="s">
        <v>1412</v>
      </c>
      <c r="B1354">
        <f>IF(ISNUMBER(SEARCH(Form!$C$11,Tabel2[[#This Row],[Coordinate Projection System]])),MAX($B$1:B1353)+1,0)</f>
        <v>1353</v>
      </c>
      <c r="C1354" t="str">
        <f t="shared" si="21"/>
        <v>NAD83(HARN) / Wyoming East</v>
      </c>
    </row>
    <row r="1355" spans="1:3" x14ac:dyDescent="0.3">
      <c r="A1355" t="s">
        <v>1413</v>
      </c>
      <c r="B1355">
        <f>IF(ISNUMBER(SEARCH(Form!$C$11,Tabel2[[#This Row],[Coordinate Projection System]])),MAX($B$1:B1354)+1,0)</f>
        <v>1354</v>
      </c>
      <c r="C1355" t="str">
        <f t="shared" si="21"/>
        <v>NAD83(HARN) / Wyoming East Central</v>
      </c>
    </row>
    <row r="1356" spans="1:3" x14ac:dyDescent="0.3">
      <c r="A1356" t="s">
        <v>1414</v>
      </c>
      <c r="B1356">
        <f>IF(ISNUMBER(SEARCH(Form!$C$11,Tabel2[[#This Row],[Coordinate Projection System]])),MAX($B$1:B1355)+1,0)</f>
        <v>1355</v>
      </c>
      <c r="C1356" t="str">
        <f t="shared" si="21"/>
        <v>NAD83(HARN) / Wyoming West Central</v>
      </c>
    </row>
    <row r="1357" spans="1:3" x14ac:dyDescent="0.3">
      <c r="A1357" t="s">
        <v>1415</v>
      </c>
      <c r="B1357">
        <f>IF(ISNUMBER(SEARCH(Form!$C$11,Tabel2[[#This Row],[Coordinate Projection System]])),MAX($B$1:B1356)+1,0)</f>
        <v>1356</v>
      </c>
      <c r="C1357" t="str">
        <f t="shared" si="21"/>
        <v>NAD83(HARN) / Wyoming West</v>
      </c>
    </row>
    <row r="1358" spans="1:3" x14ac:dyDescent="0.3">
      <c r="A1358" t="s">
        <v>1416</v>
      </c>
      <c r="B1358">
        <f>IF(ISNUMBER(SEARCH(Form!$C$11,Tabel2[[#This Row],[Coordinate Projection System]])),MAX($B$1:B1357)+1,0)</f>
        <v>1357</v>
      </c>
      <c r="C1358" t="str">
        <f t="shared" si="21"/>
        <v>NAD83(HARN) / Puerto Rico and Virgin Is.</v>
      </c>
    </row>
    <row r="1359" spans="1:3" x14ac:dyDescent="0.3">
      <c r="A1359" t="s">
        <v>1417</v>
      </c>
      <c r="B1359">
        <f>IF(ISNUMBER(SEARCH(Form!$C$11,Tabel2[[#This Row],[Coordinate Projection System]])),MAX($B$1:B1358)+1,0)</f>
        <v>1358</v>
      </c>
      <c r="C1359" t="str">
        <f t="shared" si="21"/>
        <v>NAD83(HARN) / Arizona East (ft)</v>
      </c>
    </row>
    <row r="1360" spans="1:3" x14ac:dyDescent="0.3">
      <c r="A1360" t="s">
        <v>1418</v>
      </c>
      <c r="B1360">
        <f>IF(ISNUMBER(SEARCH(Form!$C$11,Tabel2[[#This Row],[Coordinate Projection System]])),MAX($B$1:B1359)+1,0)</f>
        <v>1359</v>
      </c>
      <c r="C1360" t="str">
        <f t="shared" si="21"/>
        <v>NAD83(HARN) / Arizona Central (ft)</v>
      </c>
    </row>
    <row r="1361" spans="1:3" x14ac:dyDescent="0.3">
      <c r="A1361" t="s">
        <v>1419</v>
      </c>
      <c r="B1361">
        <f>IF(ISNUMBER(SEARCH(Form!$C$11,Tabel2[[#This Row],[Coordinate Projection System]])),MAX($B$1:B1360)+1,0)</f>
        <v>1360</v>
      </c>
      <c r="C1361" t="str">
        <f t="shared" si="21"/>
        <v>NAD83(HARN) / Arizona West (ft)</v>
      </c>
    </row>
    <row r="1362" spans="1:3" x14ac:dyDescent="0.3">
      <c r="A1362" t="s">
        <v>1420</v>
      </c>
      <c r="B1362">
        <f>IF(ISNUMBER(SEARCH(Form!$C$11,Tabel2[[#This Row],[Coordinate Projection System]])),MAX($B$1:B1361)+1,0)</f>
        <v>1361</v>
      </c>
      <c r="C1362" t="str">
        <f t="shared" si="21"/>
        <v>NAD83(HARN) / California zone 1 (ftUS)</v>
      </c>
    </row>
    <row r="1363" spans="1:3" x14ac:dyDescent="0.3">
      <c r="A1363" t="s">
        <v>1421</v>
      </c>
      <c r="B1363">
        <f>IF(ISNUMBER(SEARCH(Form!$C$11,Tabel2[[#This Row],[Coordinate Projection System]])),MAX($B$1:B1362)+1,0)</f>
        <v>1362</v>
      </c>
      <c r="C1363" t="str">
        <f t="shared" si="21"/>
        <v>NAD83(HARN) / California zone 2 (ftUS)</v>
      </c>
    </row>
    <row r="1364" spans="1:3" x14ac:dyDescent="0.3">
      <c r="A1364" t="s">
        <v>1422</v>
      </c>
      <c r="B1364">
        <f>IF(ISNUMBER(SEARCH(Form!$C$11,Tabel2[[#This Row],[Coordinate Projection System]])),MAX($B$1:B1363)+1,0)</f>
        <v>1363</v>
      </c>
      <c r="C1364" t="str">
        <f t="shared" si="21"/>
        <v>NAD83(HARN) / California zone 3 (ftUS)</v>
      </c>
    </row>
    <row r="1365" spans="1:3" x14ac:dyDescent="0.3">
      <c r="A1365" t="s">
        <v>1423</v>
      </c>
      <c r="B1365">
        <f>IF(ISNUMBER(SEARCH(Form!$C$11,Tabel2[[#This Row],[Coordinate Projection System]])),MAX($B$1:B1364)+1,0)</f>
        <v>1364</v>
      </c>
      <c r="C1365" t="str">
        <f t="shared" si="21"/>
        <v>NAD83(HARN) / California zone 4 (ftUS)</v>
      </c>
    </row>
    <row r="1366" spans="1:3" x14ac:dyDescent="0.3">
      <c r="A1366" t="s">
        <v>1424</v>
      </c>
      <c r="B1366">
        <f>IF(ISNUMBER(SEARCH(Form!$C$11,Tabel2[[#This Row],[Coordinate Projection System]])),MAX($B$1:B1365)+1,0)</f>
        <v>1365</v>
      </c>
      <c r="C1366" t="str">
        <f t="shared" si="21"/>
        <v>NAD83(HARN) / California zone 5 (ftUS)</v>
      </c>
    </row>
    <row r="1367" spans="1:3" x14ac:dyDescent="0.3">
      <c r="A1367" t="s">
        <v>1425</v>
      </c>
      <c r="B1367">
        <f>IF(ISNUMBER(SEARCH(Form!$C$11,Tabel2[[#This Row],[Coordinate Projection System]])),MAX($B$1:B1366)+1,0)</f>
        <v>1366</v>
      </c>
      <c r="C1367" t="str">
        <f t="shared" si="21"/>
        <v>NAD83(HARN) / California zone 6 (ftUS)</v>
      </c>
    </row>
    <row r="1368" spans="1:3" x14ac:dyDescent="0.3">
      <c r="A1368" t="s">
        <v>1426</v>
      </c>
      <c r="B1368">
        <f>IF(ISNUMBER(SEARCH(Form!$C$11,Tabel2[[#This Row],[Coordinate Projection System]])),MAX($B$1:B1367)+1,0)</f>
        <v>1367</v>
      </c>
      <c r="C1368" t="str">
        <f t="shared" si="21"/>
        <v>NAD83(HARN) / Colorado North (ftUS)</v>
      </c>
    </row>
    <row r="1369" spans="1:3" x14ac:dyDescent="0.3">
      <c r="A1369" t="s">
        <v>1427</v>
      </c>
      <c r="B1369">
        <f>IF(ISNUMBER(SEARCH(Form!$C$11,Tabel2[[#This Row],[Coordinate Projection System]])),MAX($B$1:B1368)+1,0)</f>
        <v>1368</v>
      </c>
      <c r="C1369" t="str">
        <f t="shared" si="21"/>
        <v>NAD83(HARN) / Colorado Central (ftUS)</v>
      </c>
    </row>
    <row r="1370" spans="1:3" x14ac:dyDescent="0.3">
      <c r="A1370" t="s">
        <v>1428</v>
      </c>
      <c r="B1370">
        <f>IF(ISNUMBER(SEARCH(Form!$C$11,Tabel2[[#This Row],[Coordinate Projection System]])),MAX($B$1:B1369)+1,0)</f>
        <v>1369</v>
      </c>
      <c r="C1370" t="str">
        <f t="shared" si="21"/>
        <v>NAD83(HARN) / Colorado South (ftUS)</v>
      </c>
    </row>
    <row r="1371" spans="1:3" x14ac:dyDescent="0.3">
      <c r="A1371" t="s">
        <v>1429</v>
      </c>
      <c r="B1371">
        <f>IF(ISNUMBER(SEARCH(Form!$C$11,Tabel2[[#This Row],[Coordinate Projection System]])),MAX($B$1:B1370)+1,0)</f>
        <v>1370</v>
      </c>
      <c r="C1371" t="str">
        <f t="shared" si="21"/>
        <v>NAD83(HARN) / Connecticut (ftUS)</v>
      </c>
    </row>
    <row r="1372" spans="1:3" x14ac:dyDescent="0.3">
      <c r="A1372" t="s">
        <v>1430</v>
      </c>
      <c r="B1372">
        <f>IF(ISNUMBER(SEARCH(Form!$C$11,Tabel2[[#This Row],[Coordinate Projection System]])),MAX($B$1:B1371)+1,0)</f>
        <v>1371</v>
      </c>
      <c r="C1372" t="str">
        <f t="shared" si="21"/>
        <v>NAD83(HARN) / Delaware (ftUS)</v>
      </c>
    </row>
    <row r="1373" spans="1:3" x14ac:dyDescent="0.3">
      <c r="A1373" t="s">
        <v>1431</v>
      </c>
      <c r="B1373">
        <f>IF(ISNUMBER(SEARCH(Form!$C$11,Tabel2[[#This Row],[Coordinate Projection System]])),MAX($B$1:B1372)+1,0)</f>
        <v>1372</v>
      </c>
      <c r="C1373" t="str">
        <f t="shared" si="21"/>
        <v>NAD83(HARN) / Florida East (ftUS)</v>
      </c>
    </row>
    <row r="1374" spans="1:3" x14ac:dyDescent="0.3">
      <c r="A1374" t="s">
        <v>1432</v>
      </c>
      <c r="B1374">
        <f>IF(ISNUMBER(SEARCH(Form!$C$11,Tabel2[[#This Row],[Coordinate Projection System]])),MAX($B$1:B1373)+1,0)</f>
        <v>1373</v>
      </c>
      <c r="C1374" t="str">
        <f t="shared" si="21"/>
        <v>NAD83(HARN) / Florida West (ftUS)</v>
      </c>
    </row>
    <row r="1375" spans="1:3" x14ac:dyDescent="0.3">
      <c r="A1375" t="s">
        <v>1433</v>
      </c>
      <c r="B1375">
        <f>IF(ISNUMBER(SEARCH(Form!$C$11,Tabel2[[#This Row],[Coordinate Projection System]])),MAX($B$1:B1374)+1,0)</f>
        <v>1374</v>
      </c>
      <c r="C1375" t="str">
        <f t="shared" si="21"/>
        <v>NAD83(HARN) / Florida North (ftUS)</v>
      </c>
    </row>
    <row r="1376" spans="1:3" x14ac:dyDescent="0.3">
      <c r="A1376" t="s">
        <v>1434</v>
      </c>
      <c r="B1376">
        <f>IF(ISNUMBER(SEARCH(Form!$C$11,Tabel2[[#This Row],[Coordinate Projection System]])),MAX($B$1:B1375)+1,0)</f>
        <v>1375</v>
      </c>
      <c r="C1376" t="str">
        <f t="shared" si="21"/>
        <v>NAD83(HARN) / Georgia East (ftUS)</v>
      </c>
    </row>
    <row r="1377" spans="1:3" x14ac:dyDescent="0.3">
      <c r="A1377" t="s">
        <v>1435</v>
      </c>
      <c r="B1377">
        <f>IF(ISNUMBER(SEARCH(Form!$C$11,Tabel2[[#This Row],[Coordinate Projection System]])),MAX($B$1:B1376)+1,0)</f>
        <v>1376</v>
      </c>
      <c r="C1377" t="str">
        <f t="shared" si="21"/>
        <v>NAD83(HARN) / Georgia West (ftUS)</v>
      </c>
    </row>
    <row r="1378" spans="1:3" x14ac:dyDescent="0.3">
      <c r="A1378" t="s">
        <v>1436</v>
      </c>
      <c r="B1378">
        <f>IF(ISNUMBER(SEARCH(Form!$C$11,Tabel2[[#This Row],[Coordinate Projection System]])),MAX($B$1:B1377)+1,0)</f>
        <v>1377</v>
      </c>
      <c r="C1378" t="str">
        <f t="shared" si="21"/>
        <v>NAD83(HARN) / Idaho East (ftUS)</v>
      </c>
    </row>
    <row r="1379" spans="1:3" x14ac:dyDescent="0.3">
      <c r="A1379" t="s">
        <v>1437</v>
      </c>
      <c r="B1379">
        <f>IF(ISNUMBER(SEARCH(Form!$C$11,Tabel2[[#This Row],[Coordinate Projection System]])),MAX($B$1:B1378)+1,0)</f>
        <v>1378</v>
      </c>
      <c r="C1379" t="str">
        <f t="shared" si="21"/>
        <v>NAD83(HARN) / Idaho Central (ftUS)</v>
      </c>
    </row>
    <row r="1380" spans="1:3" x14ac:dyDescent="0.3">
      <c r="A1380" t="s">
        <v>1438</v>
      </c>
      <c r="B1380">
        <f>IF(ISNUMBER(SEARCH(Form!$C$11,Tabel2[[#This Row],[Coordinate Projection System]])),MAX($B$1:B1379)+1,0)</f>
        <v>1379</v>
      </c>
      <c r="C1380" t="str">
        <f t="shared" si="21"/>
        <v>NAD83(HARN) / Idaho West (ftUS)</v>
      </c>
    </row>
    <row r="1381" spans="1:3" x14ac:dyDescent="0.3">
      <c r="A1381" t="s">
        <v>1439</v>
      </c>
      <c r="B1381">
        <f>IF(ISNUMBER(SEARCH(Form!$C$11,Tabel2[[#This Row],[Coordinate Projection System]])),MAX($B$1:B1380)+1,0)</f>
        <v>1380</v>
      </c>
      <c r="C1381" t="str">
        <f t="shared" si="21"/>
        <v>NAD83(HARN) / Indiana East (ftUS) (deprecated)</v>
      </c>
    </row>
    <row r="1382" spans="1:3" x14ac:dyDescent="0.3">
      <c r="A1382" t="s">
        <v>1440</v>
      </c>
      <c r="B1382">
        <f>IF(ISNUMBER(SEARCH(Form!$C$11,Tabel2[[#This Row],[Coordinate Projection System]])),MAX($B$1:B1381)+1,0)</f>
        <v>1381</v>
      </c>
      <c r="C1382" t="str">
        <f t="shared" si="21"/>
        <v>NAD83(HARN) / Indiana West (ftUS) (deprecated)</v>
      </c>
    </row>
    <row r="1383" spans="1:3" x14ac:dyDescent="0.3">
      <c r="A1383" t="s">
        <v>1441</v>
      </c>
      <c r="B1383">
        <f>IF(ISNUMBER(SEARCH(Form!$C$11,Tabel2[[#This Row],[Coordinate Projection System]])),MAX($B$1:B1382)+1,0)</f>
        <v>1382</v>
      </c>
      <c r="C1383" t="str">
        <f t="shared" si="21"/>
        <v>NAD83(HARN) / Kentucky North (ftUS)</v>
      </c>
    </row>
    <row r="1384" spans="1:3" x14ac:dyDescent="0.3">
      <c r="A1384" t="s">
        <v>1442</v>
      </c>
      <c r="B1384">
        <f>IF(ISNUMBER(SEARCH(Form!$C$11,Tabel2[[#This Row],[Coordinate Projection System]])),MAX($B$1:B1383)+1,0)</f>
        <v>1383</v>
      </c>
      <c r="C1384" t="str">
        <f t="shared" si="21"/>
        <v>NAD83(HARN) / Kentucky South (ftUS)</v>
      </c>
    </row>
    <row r="1385" spans="1:3" x14ac:dyDescent="0.3">
      <c r="A1385" t="s">
        <v>1443</v>
      </c>
      <c r="B1385">
        <f>IF(ISNUMBER(SEARCH(Form!$C$11,Tabel2[[#This Row],[Coordinate Projection System]])),MAX($B$1:B1384)+1,0)</f>
        <v>1384</v>
      </c>
      <c r="C1385" t="str">
        <f t="shared" si="21"/>
        <v>NAD83(HARN) / Maryland (ftUS)</v>
      </c>
    </row>
    <row r="1386" spans="1:3" x14ac:dyDescent="0.3">
      <c r="A1386" t="s">
        <v>1444</v>
      </c>
      <c r="B1386">
        <f>IF(ISNUMBER(SEARCH(Form!$C$11,Tabel2[[#This Row],[Coordinate Projection System]])),MAX($B$1:B1385)+1,0)</f>
        <v>1385</v>
      </c>
      <c r="C1386" t="str">
        <f t="shared" si="21"/>
        <v>NAD83(HARN) / Massachusetts Mainland (ftUS)</v>
      </c>
    </row>
    <row r="1387" spans="1:3" x14ac:dyDescent="0.3">
      <c r="A1387" t="s">
        <v>1445</v>
      </c>
      <c r="B1387">
        <f>IF(ISNUMBER(SEARCH(Form!$C$11,Tabel2[[#This Row],[Coordinate Projection System]])),MAX($B$1:B1386)+1,0)</f>
        <v>1386</v>
      </c>
      <c r="C1387" t="str">
        <f t="shared" si="21"/>
        <v>NAD83(HARN) / Massachusetts Island (ftUS)</v>
      </c>
    </row>
    <row r="1388" spans="1:3" x14ac:dyDescent="0.3">
      <c r="A1388" t="s">
        <v>1446</v>
      </c>
      <c r="B1388">
        <f>IF(ISNUMBER(SEARCH(Form!$C$11,Tabel2[[#This Row],[Coordinate Projection System]])),MAX($B$1:B1387)+1,0)</f>
        <v>1387</v>
      </c>
      <c r="C1388" t="str">
        <f t="shared" si="21"/>
        <v>NAD83(HARN) / Michigan North (ft)</v>
      </c>
    </row>
    <row r="1389" spans="1:3" x14ac:dyDescent="0.3">
      <c r="A1389" t="s">
        <v>1447</v>
      </c>
      <c r="B1389">
        <f>IF(ISNUMBER(SEARCH(Form!$C$11,Tabel2[[#This Row],[Coordinate Projection System]])),MAX($B$1:B1388)+1,0)</f>
        <v>1388</v>
      </c>
      <c r="C1389" t="str">
        <f t="shared" si="21"/>
        <v>NAD83(HARN) / Michigan Central (ft)</v>
      </c>
    </row>
    <row r="1390" spans="1:3" x14ac:dyDescent="0.3">
      <c r="A1390" t="s">
        <v>1448</v>
      </c>
      <c r="B1390">
        <f>IF(ISNUMBER(SEARCH(Form!$C$11,Tabel2[[#This Row],[Coordinate Projection System]])),MAX($B$1:B1389)+1,0)</f>
        <v>1389</v>
      </c>
      <c r="C1390" t="str">
        <f t="shared" si="21"/>
        <v>NAD83(HARN) / Michigan South (ft)</v>
      </c>
    </row>
    <row r="1391" spans="1:3" x14ac:dyDescent="0.3">
      <c r="A1391" t="s">
        <v>1449</v>
      </c>
      <c r="B1391">
        <f>IF(ISNUMBER(SEARCH(Form!$C$11,Tabel2[[#This Row],[Coordinate Projection System]])),MAX($B$1:B1390)+1,0)</f>
        <v>1390</v>
      </c>
      <c r="C1391" t="str">
        <f t="shared" si="21"/>
        <v>NAD83(HARN) / Mississippi East (ftUS)</v>
      </c>
    </row>
    <row r="1392" spans="1:3" x14ac:dyDescent="0.3">
      <c r="A1392" t="s">
        <v>1450</v>
      </c>
      <c r="B1392">
        <f>IF(ISNUMBER(SEARCH(Form!$C$11,Tabel2[[#This Row],[Coordinate Projection System]])),MAX($B$1:B1391)+1,0)</f>
        <v>1391</v>
      </c>
      <c r="C1392" t="str">
        <f t="shared" si="21"/>
        <v>NAD83(HARN) / Mississippi West (ftUS)</v>
      </c>
    </row>
    <row r="1393" spans="1:3" x14ac:dyDescent="0.3">
      <c r="A1393" t="s">
        <v>1451</v>
      </c>
      <c r="B1393">
        <f>IF(ISNUMBER(SEARCH(Form!$C$11,Tabel2[[#This Row],[Coordinate Projection System]])),MAX($B$1:B1392)+1,0)</f>
        <v>1392</v>
      </c>
      <c r="C1393" t="str">
        <f t="shared" si="21"/>
        <v>NAD83(HARN) / Montana (ft)</v>
      </c>
    </row>
    <row r="1394" spans="1:3" x14ac:dyDescent="0.3">
      <c r="A1394" t="s">
        <v>1452</v>
      </c>
      <c r="B1394">
        <f>IF(ISNUMBER(SEARCH(Form!$C$11,Tabel2[[#This Row],[Coordinate Projection System]])),MAX($B$1:B1393)+1,0)</f>
        <v>1393</v>
      </c>
      <c r="C1394" t="str">
        <f t="shared" si="21"/>
        <v>NAD83(HARN) / New Mexico East (ftUS)</v>
      </c>
    </row>
    <row r="1395" spans="1:3" x14ac:dyDescent="0.3">
      <c r="A1395" t="s">
        <v>1453</v>
      </c>
      <c r="B1395">
        <f>IF(ISNUMBER(SEARCH(Form!$C$11,Tabel2[[#This Row],[Coordinate Projection System]])),MAX($B$1:B1394)+1,0)</f>
        <v>1394</v>
      </c>
      <c r="C1395" t="str">
        <f t="shared" si="21"/>
        <v>NAD83(HARN) / New Mexico Central (ftUS)</v>
      </c>
    </row>
    <row r="1396" spans="1:3" x14ac:dyDescent="0.3">
      <c r="A1396" t="s">
        <v>1454</v>
      </c>
      <c r="B1396">
        <f>IF(ISNUMBER(SEARCH(Form!$C$11,Tabel2[[#This Row],[Coordinate Projection System]])),MAX($B$1:B1395)+1,0)</f>
        <v>1395</v>
      </c>
      <c r="C1396" t="str">
        <f t="shared" si="21"/>
        <v>NAD83(HARN) / New Mexico West (ftUS)</v>
      </c>
    </row>
    <row r="1397" spans="1:3" x14ac:dyDescent="0.3">
      <c r="A1397" t="s">
        <v>1455</v>
      </c>
      <c r="B1397">
        <f>IF(ISNUMBER(SEARCH(Form!$C$11,Tabel2[[#This Row],[Coordinate Projection System]])),MAX($B$1:B1396)+1,0)</f>
        <v>1396</v>
      </c>
      <c r="C1397" t="str">
        <f t="shared" si="21"/>
        <v>NAD83(HARN) / New York East (ftUS)</v>
      </c>
    </row>
    <row r="1398" spans="1:3" x14ac:dyDescent="0.3">
      <c r="A1398" t="s">
        <v>1456</v>
      </c>
      <c r="B1398">
        <f>IF(ISNUMBER(SEARCH(Form!$C$11,Tabel2[[#This Row],[Coordinate Projection System]])),MAX($B$1:B1397)+1,0)</f>
        <v>1397</v>
      </c>
      <c r="C1398" t="str">
        <f t="shared" si="21"/>
        <v>NAD83(HARN) / New York Central (ftUS)</v>
      </c>
    </row>
    <row r="1399" spans="1:3" x14ac:dyDescent="0.3">
      <c r="A1399" t="s">
        <v>1457</v>
      </c>
      <c r="B1399">
        <f>IF(ISNUMBER(SEARCH(Form!$C$11,Tabel2[[#This Row],[Coordinate Projection System]])),MAX($B$1:B1398)+1,0)</f>
        <v>1398</v>
      </c>
      <c r="C1399" t="str">
        <f t="shared" si="21"/>
        <v>NAD83(HARN) / New York West (ftUS)</v>
      </c>
    </row>
    <row r="1400" spans="1:3" x14ac:dyDescent="0.3">
      <c r="A1400" t="s">
        <v>1458</v>
      </c>
      <c r="B1400">
        <f>IF(ISNUMBER(SEARCH(Form!$C$11,Tabel2[[#This Row],[Coordinate Projection System]])),MAX($B$1:B1399)+1,0)</f>
        <v>1399</v>
      </c>
      <c r="C1400" t="str">
        <f t="shared" si="21"/>
        <v>NAD83(HARN) / New York Long Island (ftUS)</v>
      </c>
    </row>
    <row r="1401" spans="1:3" x14ac:dyDescent="0.3">
      <c r="A1401" t="s">
        <v>1459</v>
      </c>
      <c r="B1401">
        <f>IF(ISNUMBER(SEARCH(Form!$C$11,Tabel2[[#This Row],[Coordinate Projection System]])),MAX($B$1:B1400)+1,0)</f>
        <v>1400</v>
      </c>
      <c r="C1401" t="str">
        <f t="shared" si="21"/>
        <v>NAD83(HARN) / North Dakota North (ft)</v>
      </c>
    </row>
    <row r="1402" spans="1:3" x14ac:dyDescent="0.3">
      <c r="A1402" t="s">
        <v>1460</v>
      </c>
      <c r="B1402">
        <f>IF(ISNUMBER(SEARCH(Form!$C$11,Tabel2[[#This Row],[Coordinate Projection System]])),MAX($B$1:B1401)+1,0)</f>
        <v>1401</v>
      </c>
      <c r="C1402" t="str">
        <f t="shared" si="21"/>
        <v>NAD83(HARN) / North Dakota South (ft)</v>
      </c>
    </row>
    <row r="1403" spans="1:3" x14ac:dyDescent="0.3">
      <c r="A1403" t="s">
        <v>1461</v>
      </c>
      <c r="B1403">
        <f>IF(ISNUMBER(SEARCH(Form!$C$11,Tabel2[[#This Row],[Coordinate Projection System]])),MAX($B$1:B1402)+1,0)</f>
        <v>1402</v>
      </c>
      <c r="C1403" t="str">
        <f t="shared" si="21"/>
        <v>NAD83(HARN) / Oklahoma North (ftUS)</v>
      </c>
    </row>
    <row r="1404" spans="1:3" x14ac:dyDescent="0.3">
      <c r="A1404" t="s">
        <v>1462</v>
      </c>
      <c r="B1404">
        <f>IF(ISNUMBER(SEARCH(Form!$C$11,Tabel2[[#This Row],[Coordinate Projection System]])),MAX($B$1:B1403)+1,0)</f>
        <v>1403</v>
      </c>
      <c r="C1404" t="str">
        <f t="shared" si="21"/>
        <v>NAD83(HARN) / Oklahoma South (ftUS)</v>
      </c>
    </row>
    <row r="1405" spans="1:3" x14ac:dyDescent="0.3">
      <c r="A1405" t="s">
        <v>1463</v>
      </c>
      <c r="B1405">
        <f>IF(ISNUMBER(SEARCH(Form!$C$11,Tabel2[[#This Row],[Coordinate Projection System]])),MAX($B$1:B1404)+1,0)</f>
        <v>1404</v>
      </c>
      <c r="C1405" t="str">
        <f t="shared" si="21"/>
        <v>NAD83(HARN) / Oregon North (ft)</v>
      </c>
    </row>
    <row r="1406" spans="1:3" x14ac:dyDescent="0.3">
      <c r="A1406" t="s">
        <v>1464</v>
      </c>
      <c r="B1406">
        <f>IF(ISNUMBER(SEARCH(Form!$C$11,Tabel2[[#This Row],[Coordinate Projection System]])),MAX($B$1:B1405)+1,0)</f>
        <v>1405</v>
      </c>
      <c r="C1406" t="str">
        <f t="shared" si="21"/>
        <v>NAD83(HARN) / Oregon South (ft)</v>
      </c>
    </row>
    <row r="1407" spans="1:3" x14ac:dyDescent="0.3">
      <c r="A1407" t="s">
        <v>1465</v>
      </c>
      <c r="B1407">
        <f>IF(ISNUMBER(SEARCH(Form!$C$11,Tabel2[[#This Row],[Coordinate Projection System]])),MAX($B$1:B1406)+1,0)</f>
        <v>1406</v>
      </c>
      <c r="C1407" t="str">
        <f t="shared" si="21"/>
        <v>NAD83(HARN) / Tennessee (ftUS)</v>
      </c>
    </row>
    <row r="1408" spans="1:3" x14ac:dyDescent="0.3">
      <c r="A1408" t="s">
        <v>1466</v>
      </c>
      <c r="B1408">
        <f>IF(ISNUMBER(SEARCH(Form!$C$11,Tabel2[[#This Row],[Coordinate Projection System]])),MAX($B$1:B1407)+1,0)</f>
        <v>1407</v>
      </c>
      <c r="C1408" t="str">
        <f t="shared" si="21"/>
        <v>NAD83(HARN) / Texas North (ftUS)</v>
      </c>
    </row>
    <row r="1409" spans="1:3" x14ac:dyDescent="0.3">
      <c r="A1409" t="s">
        <v>1467</v>
      </c>
      <c r="B1409">
        <f>IF(ISNUMBER(SEARCH(Form!$C$11,Tabel2[[#This Row],[Coordinate Projection System]])),MAX($B$1:B1408)+1,0)</f>
        <v>1408</v>
      </c>
      <c r="C1409" t="str">
        <f t="shared" si="21"/>
        <v>NAD83(HARN) / Texas North Central (ftUS)</v>
      </c>
    </row>
    <row r="1410" spans="1:3" x14ac:dyDescent="0.3">
      <c r="A1410" t="s">
        <v>1468</v>
      </c>
      <c r="B1410">
        <f>IF(ISNUMBER(SEARCH(Form!$C$11,Tabel2[[#This Row],[Coordinate Projection System]])),MAX($B$1:B1409)+1,0)</f>
        <v>1409</v>
      </c>
      <c r="C1410" t="str">
        <f t="shared" si="21"/>
        <v>NAD83(HARN) / Texas Central (ftUS)</v>
      </c>
    </row>
    <row r="1411" spans="1:3" x14ac:dyDescent="0.3">
      <c r="A1411" t="s">
        <v>1469</v>
      </c>
      <c r="B1411">
        <f>IF(ISNUMBER(SEARCH(Form!$C$11,Tabel2[[#This Row],[Coordinate Projection System]])),MAX($B$1:B1410)+1,0)</f>
        <v>1410</v>
      </c>
      <c r="C1411" t="str">
        <f t="shared" ref="C1411:C1474" si="22">_xlfn.IFNA(INDEX(A1411:A6922,MATCH(ROW(C1410),B1411:B6922,0)),"")</f>
        <v>NAD83(HARN) / Texas South Central (ftUS)</v>
      </c>
    </row>
    <row r="1412" spans="1:3" x14ac:dyDescent="0.3">
      <c r="A1412" t="s">
        <v>1470</v>
      </c>
      <c r="B1412">
        <f>IF(ISNUMBER(SEARCH(Form!$C$11,Tabel2[[#This Row],[Coordinate Projection System]])),MAX($B$1:B1411)+1,0)</f>
        <v>1411</v>
      </c>
      <c r="C1412" t="str">
        <f t="shared" si="22"/>
        <v>NAD83(HARN) / Texas South (ftUS)</v>
      </c>
    </row>
    <row r="1413" spans="1:3" x14ac:dyDescent="0.3">
      <c r="A1413" t="s">
        <v>1471</v>
      </c>
      <c r="B1413">
        <f>IF(ISNUMBER(SEARCH(Form!$C$11,Tabel2[[#This Row],[Coordinate Projection System]])),MAX($B$1:B1412)+1,0)</f>
        <v>1412</v>
      </c>
      <c r="C1413" t="str">
        <f t="shared" si="22"/>
        <v>NAD83(HARN) / Utah North (ft)</v>
      </c>
    </row>
    <row r="1414" spans="1:3" x14ac:dyDescent="0.3">
      <c r="A1414" t="s">
        <v>1472</v>
      </c>
      <c r="B1414">
        <f>IF(ISNUMBER(SEARCH(Form!$C$11,Tabel2[[#This Row],[Coordinate Projection System]])),MAX($B$1:B1413)+1,0)</f>
        <v>1413</v>
      </c>
      <c r="C1414" t="str">
        <f t="shared" si="22"/>
        <v>NAD83(HARN) / Utah Central (ft)</v>
      </c>
    </row>
    <row r="1415" spans="1:3" x14ac:dyDescent="0.3">
      <c r="A1415" t="s">
        <v>1473</v>
      </c>
      <c r="B1415">
        <f>IF(ISNUMBER(SEARCH(Form!$C$11,Tabel2[[#This Row],[Coordinate Projection System]])),MAX($B$1:B1414)+1,0)</f>
        <v>1414</v>
      </c>
      <c r="C1415" t="str">
        <f t="shared" si="22"/>
        <v>NAD83(HARN) / Utah South (ft)</v>
      </c>
    </row>
    <row r="1416" spans="1:3" x14ac:dyDescent="0.3">
      <c r="A1416" t="s">
        <v>1474</v>
      </c>
      <c r="B1416">
        <f>IF(ISNUMBER(SEARCH(Form!$C$11,Tabel2[[#This Row],[Coordinate Projection System]])),MAX($B$1:B1415)+1,0)</f>
        <v>1415</v>
      </c>
      <c r="C1416" t="str">
        <f t="shared" si="22"/>
        <v>NAD83(HARN) / Virginia North (ftUS)</v>
      </c>
    </row>
    <row r="1417" spans="1:3" x14ac:dyDescent="0.3">
      <c r="A1417" t="s">
        <v>1475</v>
      </c>
      <c r="B1417">
        <f>IF(ISNUMBER(SEARCH(Form!$C$11,Tabel2[[#This Row],[Coordinate Projection System]])),MAX($B$1:B1416)+1,0)</f>
        <v>1416</v>
      </c>
      <c r="C1417" t="str">
        <f t="shared" si="22"/>
        <v>NAD83(HARN) / Virginia South (ftUS)</v>
      </c>
    </row>
    <row r="1418" spans="1:3" x14ac:dyDescent="0.3">
      <c r="A1418" t="s">
        <v>1476</v>
      </c>
      <c r="B1418">
        <f>IF(ISNUMBER(SEARCH(Form!$C$11,Tabel2[[#This Row],[Coordinate Projection System]])),MAX($B$1:B1417)+1,0)</f>
        <v>1417</v>
      </c>
      <c r="C1418" t="str">
        <f t="shared" si="22"/>
        <v>NAD83(HARN) / Washington North (ftUS)</v>
      </c>
    </row>
    <row r="1419" spans="1:3" x14ac:dyDescent="0.3">
      <c r="A1419" t="s">
        <v>1477</v>
      </c>
      <c r="B1419">
        <f>IF(ISNUMBER(SEARCH(Form!$C$11,Tabel2[[#This Row],[Coordinate Projection System]])),MAX($B$1:B1418)+1,0)</f>
        <v>1418</v>
      </c>
      <c r="C1419" t="str">
        <f t="shared" si="22"/>
        <v>NAD83(HARN) / Washington South (ftUS)</v>
      </c>
    </row>
    <row r="1420" spans="1:3" x14ac:dyDescent="0.3">
      <c r="A1420" t="s">
        <v>1478</v>
      </c>
      <c r="B1420">
        <f>IF(ISNUMBER(SEARCH(Form!$C$11,Tabel2[[#This Row],[Coordinate Projection System]])),MAX($B$1:B1419)+1,0)</f>
        <v>1419</v>
      </c>
      <c r="C1420" t="str">
        <f t="shared" si="22"/>
        <v>NAD83(HARN) / Wisconsin North (ftUS)</v>
      </c>
    </row>
    <row r="1421" spans="1:3" x14ac:dyDescent="0.3">
      <c r="A1421" t="s">
        <v>1479</v>
      </c>
      <c r="B1421">
        <f>IF(ISNUMBER(SEARCH(Form!$C$11,Tabel2[[#This Row],[Coordinate Projection System]])),MAX($B$1:B1420)+1,0)</f>
        <v>1420</v>
      </c>
      <c r="C1421" t="str">
        <f t="shared" si="22"/>
        <v>NAD83(HARN) / Wisconsin Central (ftUS)</v>
      </c>
    </row>
    <row r="1422" spans="1:3" x14ac:dyDescent="0.3">
      <c r="A1422" t="s">
        <v>1480</v>
      </c>
      <c r="B1422">
        <f>IF(ISNUMBER(SEARCH(Form!$C$11,Tabel2[[#This Row],[Coordinate Projection System]])),MAX($B$1:B1421)+1,0)</f>
        <v>1421</v>
      </c>
      <c r="C1422" t="str">
        <f t="shared" si="22"/>
        <v>NAD83(HARN) / Wisconsin South (ftUS)</v>
      </c>
    </row>
    <row r="1423" spans="1:3" x14ac:dyDescent="0.3">
      <c r="A1423" t="s">
        <v>1481</v>
      </c>
      <c r="B1423">
        <f>IF(ISNUMBER(SEARCH(Form!$C$11,Tabel2[[#This Row],[Coordinate Projection System]])),MAX($B$1:B1422)+1,0)</f>
        <v>1422</v>
      </c>
      <c r="C1423" t="str">
        <f t="shared" si="22"/>
        <v>Beduaram / TM 13 NE</v>
      </c>
    </row>
    <row r="1424" spans="1:3" x14ac:dyDescent="0.3">
      <c r="A1424" t="s">
        <v>1482</v>
      </c>
      <c r="B1424">
        <f>IF(ISNUMBER(SEARCH(Form!$C$11,Tabel2[[#This Row],[Coordinate Projection System]])),MAX($B$1:B1423)+1,0)</f>
        <v>1423</v>
      </c>
      <c r="C1424" t="str">
        <f t="shared" si="22"/>
        <v>QND95 / Qatar National Grid</v>
      </c>
    </row>
    <row r="1425" spans="1:3" x14ac:dyDescent="0.3">
      <c r="A1425" t="s">
        <v>1483</v>
      </c>
      <c r="B1425">
        <f>IF(ISNUMBER(SEARCH(Form!$C$11,Tabel2[[#This Row],[Coordinate Projection System]])),MAX($B$1:B1424)+1,0)</f>
        <v>1424</v>
      </c>
      <c r="C1425" t="str">
        <f t="shared" si="22"/>
        <v>Segara / UTM zone 50S</v>
      </c>
    </row>
    <row r="1426" spans="1:3" x14ac:dyDescent="0.3">
      <c r="A1426" t="s">
        <v>1484</v>
      </c>
      <c r="B1426">
        <f>IF(ISNUMBER(SEARCH(Form!$C$11,Tabel2[[#This Row],[Coordinate Projection System]])),MAX($B$1:B1425)+1,0)</f>
        <v>1425</v>
      </c>
      <c r="C1426" t="str">
        <f t="shared" si="22"/>
        <v>Segara (Jakarta) / NEIEZ (deprecated)</v>
      </c>
    </row>
    <row r="1427" spans="1:3" x14ac:dyDescent="0.3">
      <c r="A1427" t="s">
        <v>1485</v>
      </c>
      <c r="B1427">
        <f>IF(ISNUMBER(SEARCH(Form!$C$11,Tabel2[[#This Row],[Coordinate Projection System]])),MAX($B$1:B1426)+1,0)</f>
        <v>1426</v>
      </c>
      <c r="C1427" t="str">
        <f t="shared" si="22"/>
        <v>Pulkovo 1942 / CS63 zone A1</v>
      </c>
    </row>
    <row r="1428" spans="1:3" x14ac:dyDescent="0.3">
      <c r="A1428" t="s">
        <v>1486</v>
      </c>
      <c r="B1428">
        <f>IF(ISNUMBER(SEARCH(Form!$C$11,Tabel2[[#This Row],[Coordinate Projection System]])),MAX($B$1:B1427)+1,0)</f>
        <v>1427</v>
      </c>
      <c r="C1428" t="str">
        <f t="shared" si="22"/>
        <v>Pulkovo 1942 / CS63 zone A2</v>
      </c>
    </row>
    <row r="1429" spans="1:3" x14ac:dyDescent="0.3">
      <c r="A1429" t="s">
        <v>1487</v>
      </c>
      <c r="B1429">
        <f>IF(ISNUMBER(SEARCH(Form!$C$11,Tabel2[[#This Row],[Coordinate Projection System]])),MAX($B$1:B1428)+1,0)</f>
        <v>1428</v>
      </c>
      <c r="C1429" t="str">
        <f t="shared" si="22"/>
        <v>Pulkovo 1942 / CS63 zone A3</v>
      </c>
    </row>
    <row r="1430" spans="1:3" x14ac:dyDescent="0.3">
      <c r="A1430" t="s">
        <v>1488</v>
      </c>
      <c r="B1430">
        <f>IF(ISNUMBER(SEARCH(Form!$C$11,Tabel2[[#This Row],[Coordinate Projection System]])),MAX($B$1:B1429)+1,0)</f>
        <v>1429</v>
      </c>
      <c r="C1430" t="str">
        <f t="shared" si="22"/>
        <v>Pulkovo 1942 / CS63 zone A4</v>
      </c>
    </row>
    <row r="1431" spans="1:3" x14ac:dyDescent="0.3">
      <c r="A1431" t="s">
        <v>1489</v>
      </c>
      <c r="B1431">
        <f>IF(ISNUMBER(SEARCH(Form!$C$11,Tabel2[[#This Row],[Coordinate Projection System]])),MAX($B$1:B1430)+1,0)</f>
        <v>1430</v>
      </c>
      <c r="C1431" t="str">
        <f t="shared" si="22"/>
        <v>Pulkovo 1942 / CS63 zone K2</v>
      </c>
    </row>
    <row r="1432" spans="1:3" x14ac:dyDescent="0.3">
      <c r="A1432" t="s">
        <v>1490</v>
      </c>
      <c r="B1432">
        <f>IF(ISNUMBER(SEARCH(Form!$C$11,Tabel2[[#This Row],[Coordinate Projection System]])),MAX($B$1:B1431)+1,0)</f>
        <v>1431</v>
      </c>
      <c r="C1432" t="str">
        <f t="shared" si="22"/>
        <v>Pulkovo 1942 / CS63 zone K3</v>
      </c>
    </row>
    <row r="1433" spans="1:3" x14ac:dyDescent="0.3">
      <c r="A1433" t="s">
        <v>1491</v>
      </c>
      <c r="B1433">
        <f>IF(ISNUMBER(SEARCH(Form!$C$11,Tabel2[[#This Row],[Coordinate Projection System]])),MAX($B$1:B1432)+1,0)</f>
        <v>1432</v>
      </c>
      <c r="C1433" t="str">
        <f t="shared" si="22"/>
        <v>Pulkovo 1942 / CS63 zone K4</v>
      </c>
    </row>
    <row r="1434" spans="1:3" x14ac:dyDescent="0.3">
      <c r="A1434" t="s">
        <v>1492</v>
      </c>
      <c r="B1434">
        <f>IF(ISNUMBER(SEARCH(Form!$C$11,Tabel2[[#This Row],[Coordinate Projection System]])),MAX($B$1:B1433)+1,0)</f>
        <v>1433</v>
      </c>
      <c r="C1434" t="str">
        <f t="shared" si="22"/>
        <v>Porto Santo / UTM zone 28N</v>
      </c>
    </row>
    <row r="1435" spans="1:3" x14ac:dyDescent="0.3">
      <c r="A1435" t="s">
        <v>1493</v>
      </c>
      <c r="B1435">
        <f>IF(ISNUMBER(SEARCH(Form!$C$11,Tabel2[[#This Row],[Coordinate Projection System]])),MAX($B$1:B1434)+1,0)</f>
        <v>1434</v>
      </c>
      <c r="C1435" t="str">
        <f t="shared" si="22"/>
        <v>Selvagem Grande / UTM zone 28N</v>
      </c>
    </row>
    <row r="1436" spans="1:3" x14ac:dyDescent="0.3">
      <c r="A1436" t="s">
        <v>1494</v>
      </c>
      <c r="B1436">
        <f>IF(ISNUMBER(SEARCH(Form!$C$11,Tabel2[[#This Row],[Coordinate Projection System]])),MAX($B$1:B1435)+1,0)</f>
        <v>1435</v>
      </c>
      <c r="C1436" t="str">
        <f t="shared" si="22"/>
        <v>NAD83(CSRS) / SCoPQ zone 2 (deprecated)</v>
      </c>
    </row>
    <row r="1437" spans="1:3" x14ac:dyDescent="0.3">
      <c r="A1437" t="s">
        <v>1495</v>
      </c>
      <c r="B1437">
        <f>IF(ISNUMBER(SEARCH(Form!$C$11,Tabel2[[#This Row],[Coordinate Projection System]])),MAX($B$1:B1436)+1,0)</f>
        <v>1436</v>
      </c>
      <c r="C1437" t="str">
        <f t="shared" si="22"/>
        <v>NAD83(CSRS) / MTM zone 3</v>
      </c>
    </row>
    <row r="1438" spans="1:3" x14ac:dyDescent="0.3">
      <c r="A1438" t="s">
        <v>1496</v>
      </c>
      <c r="B1438">
        <f>IF(ISNUMBER(SEARCH(Form!$C$11,Tabel2[[#This Row],[Coordinate Projection System]])),MAX($B$1:B1437)+1,0)</f>
        <v>1437</v>
      </c>
      <c r="C1438" t="str">
        <f t="shared" si="22"/>
        <v>NAD83(CSRS) / MTM zone 4</v>
      </c>
    </row>
    <row r="1439" spans="1:3" x14ac:dyDescent="0.3">
      <c r="A1439" t="s">
        <v>1497</v>
      </c>
      <c r="B1439">
        <f>IF(ISNUMBER(SEARCH(Form!$C$11,Tabel2[[#This Row],[Coordinate Projection System]])),MAX($B$1:B1438)+1,0)</f>
        <v>1438</v>
      </c>
      <c r="C1439" t="str">
        <f t="shared" si="22"/>
        <v>NAD83(CSRS) / MTM zone 5</v>
      </c>
    </row>
    <row r="1440" spans="1:3" x14ac:dyDescent="0.3">
      <c r="A1440" t="s">
        <v>1498</v>
      </c>
      <c r="B1440">
        <f>IF(ISNUMBER(SEARCH(Form!$C$11,Tabel2[[#This Row],[Coordinate Projection System]])),MAX($B$1:B1439)+1,0)</f>
        <v>1439</v>
      </c>
      <c r="C1440" t="str">
        <f t="shared" si="22"/>
        <v>NAD83(CSRS) / MTM zone 6</v>
      </c>
    </row>
    <row r="1441" spans="1:3" x14ac:dyDescent="0.3">
      <c r="A1441" t="s">
        <v>1499</v>
      </c>
      <c r="B1441">
        <f>IF(ISNUMBER(SEARCH(Form!$C$11,Tabel2[[#This Row],[Coordinate Projection System]])),MAX($B$1:B1440)+1,0)</f>
        <v>1440</v>
      </c>
      <c r="C1441" t="str">
        <f t="shared" si="22"/>
        <v>NAD83(CSRS) / MTM zone 7</v>
      </c>
    </row>
    <row r="1442" spans="1:3" x14ac:dyDescent="0.3">
      <c r="A1442" t="s">
        <v>1500</v>
      </c>
      <c r="B1442">
        <f>IF(ISNUMBER(SEARCH(Form!$C$11,Tabel2[[#This Row],[Coordinate Projection System]])),MAX($B$1:B1441)+1,0)</f>
        <v>1441</v>
      </c>
      <c r="C1442" t="str">
        <f t="shared" si="22"/>
        <v>NAD83(CSRS) / MTM zone 8</v>
      </c>
    </row>
    <row r="1443" spans="1:3" x14ac:dyDescent="0.3">
      <c r="A1443" t="s">
        <v>1501</v>
      </c>
      <c r="B1443">
        <f>IF(ISNUMBER(SEARCH(Form!$C$11,Tabel2[[#This Row],[Coordinate Projection System]])),MAX($B$1:B1442)+1,0)</f>
        <v>1442</v>
      </c>
      <c r="C1443" t="str">
        <f t="shared" si="22"/>
        <v>NAD83(CSRS) / MTM zone 9</v>
      </c>
    </row>
    <row r="1444" spans="1:3" x14ac:dyDescent="0.3">
      <c r="A1444" t="s">
        <v>1502</v>
      </c>
      <c r="B1444">
        <f>IF(ISNUMBER(SEARCH(Form!$C$11,Tabel2[[#This Row],[Coordinate Projection System]])),MAX($B$1:B1443)+1,0)</f>
        <v>1443</v>
      </c>
      <c r="C1444" t="str">
        <f t="shared" si="22"/>
        <v>NAD83(CSRS) / MTM zone 10</v>
      </c>
    </row>
    <row r="1445" spans="1:3" x14ac:dyDescent="0.3">
      <c r="A1445" t="s">
        <v>1503</v>
      </c>
      <c r="B1445">
        <f>IF(ISNUMBER(SEARCH(Form!$C$11,Tabel2[[#This Row],[Coordinate Projection System]])),MAX($B$1:B1444)+1,0)</f>
        <v>1444</v>
      </c>
      <c r="C1445" t="str">
        <f t="shared" si="22"/>
        <v>NAD83(CSRS) / New Brunswick Stereographic</v>
      </c>
    </row>
    <row r="1446" spans="1:3" x14ac:dyDescent="0.3">
      <c r="A1446" t="s">
        <v>1504</v>
      </c>
      <c r="B1446">
        <f>IF(ISNUMBER(SEARCH(Form!$C$11,Tabel2[[#This Row],[Coordinate Projection System]])),MAX($B$1:B1445)+1,0)</f>
        <v>1445</v>
      </c>
      <c r="C1446" t="str">
        <f t="shared" si="22"/>
        <v>NAD83(CSRS) / Prince Edward Isl. Stereographic (NAD83)</v>
      </c>
    </row>
    <row r="1447" spans="1:3" x14ac:dyDescent="0.3">
      <c r="A1447" t="s">
        <v>1505</v>
      </c>
      <c r="B1447">
        <f>IF(ISNUMBER(SEARCH(Form!$C$11,Tabel2[[#This Row],[Coordinate Projection System]])),MAX($B$1:B1446)+1,0)</f>
        <v>1446</v>
      </c>
      <c r="C1447" t="str">
        <f t="shared" si="22"/>
        <v>NAD83(CSRS) / UTM zone 11N</v>
      </c>
    </row>
    <row r="1448" spans="1:3" x14ac:dyDescent="0.3">
      <c r="A1448" t="s">
        <v>1506</v>
      </c>
      <c r="B1448">
        <f>IF(ISNUMBER(SEARCH(Form!$C$11,Tabel2[[#This Row],[Coordinate Projection System]])),MAX($B$1:B1447)+1,0)</f>
        <v>1447</v>
      </c>
      <c r="C1448" t="str">
        <f t="shared" si="22"/>
        <v>NAD83(CSRS) / UTM zone 12N</v>
      </c>
    </row>
    <row r="1449" spans="1:3" x14ac:dyDescent="0.3">
      <c r="A1449" t="s">
        <v>1507</v>
      </c>
      <c r="B1449">
        <f>IF(ISNUMBER(SEARCH(Form!$C$11,Tabel2[[#This Row],[Coordinate Projection System]])),MAX($B$1:B1448)+1,0)</f>
        <v>1448</v>
      </c>
      <c r="C1449" t="str">
        <f t="shared" si="22"/>
        <v>NAD83(CSRS) / UTM zone 13N</v>
      </c>
    </row>
    <row r="1450" spans="1:3" x14ac:dyDescent="0.3">
      <c r="A1450" t="s">
        <v>1508</v>
      </c>
      <c r="B1450">
        <f>IF(ISNUMBER(SEARCH(Form!$C$11,Tabel2[[#This Row],[Coordinate Projection System]])),MAX($B$1:B1449)+1,0)</f>
        <v>1449</v>
      </c>
      <c r="C1450" t="str">
        <f t="shared" si="22"/>
        <v>NAD83(CSRS) / UTM zone 17N</v>
      </c>
    </row>
    <row r="1451" spans="1:3" x14ac:dyDescent="0.3">
      <c r="A1451" t="s">
        <v>1509</v>
      </c>
      <c r="B1451">
        <f>IF(ISNUMBER(SEARCH(Form!$C$11,Tabel2[[#This Row],[Coordinate Projection System]])),MAX($B$1:B1450)+1,0)</f>
        <v>1450</v>
      </c>
      <c r="C1451" t="str">
        <f t="shared" si="22"/>
        <v>NAD83(CSRS) / UTM zone 18N</v>
      </c>
    </row>
    <row r="1452" spans="1:3" x14ac:dyDescent="0.3">
      <c r="A1452" t="s">
        <v>1510</v>
      </c>
      <c r="B1452">
        <f>IF(ISNUMBER(SEARCH(Form!$C$11,Tabel2[[#This Row],[Coordinate Projection System]])),MAX($B$1:B1451)+1,0)</f>
        <v>1451</v>
      </c>
      <c r="C1452" t="str">
        <f t="shared" si="22"/>
        <v>NAD83(CSRS) / UTM zone 19N</v>
      </c>
    </row>
    <row r="1453" spans="1:3" x14ac:dyDescent="0.3">
      <c r="A1453" t="s">
        <v>1511</v>
      </c>
      <c r="B1453">
        <f>IF(ISNUMBER(SEARCH(Form!$C$11,Tabel2[[#This Row],[Coordinate Projection System]])),MAX($B$1:B1452)+1,0)</f>
        <v>1452</v>
      </c>
      <c r="C1453" t="str">
        <f t="shared" si="22"/>
        <v>NAD83(CSRS) / UTM zone 20N</v>
      </c>
    </row>
    <row r="1454" spans="1:3" x14ac:dyDescent="0.3">
      <c r="A1454" t="s">
        <v>1512</v>
      </c>
      <c r="B1454">
        <f>IF(ISNUMBER(SEARCH(Form!$C$11,Tabel2[[#This Row],[Coordinate Projection System]])),MAX($B$1:B1453)+1,0)</f>
        <v>1453</v>
      </c>
      <c r="C1454" t="str">
        <f t="shared" si="22"/>
        <v>NAD83(CSRS) / UTM zone 21N</v>
      </c>
    </row>
    <row r="1455" spans="1:3" x14ac:dyDescent="0.3">
      <c r="A1455" t="s">
        <v>1513</v>
      </c>
      <c r="B1455">
        <f>IF(ISNUMBER(SEARCH(Form!$C$11,Tabel2[[#This Row],[Coordinate Projection System]])),MAX($B$1:B1454)+1,0)</f>
        <v>1454</v>
      </c>
      <c r="C1455" t="str">
        <f t="shared" si="22"/>
        <v>Lisbon 1890 (Lisbon) / Portugal BonneUnable to translate coordinate system EPSG:2963 into PROJ.4 format.</v>
      </c>
    </row>
    <row r="1456" spans="1:3" x14ac:dyDescent="0.3">
      <c r="A1456" t="s">
        <v>1514</v>
      </c>
      <c r="B1456">
        <f>IF(ISNUMBER(SEARCH(Form!$C$11,Tabel2[[#This Row],[Coordinate Projection System]])),MAX($B$1:B1455)+1,0)</f>
        <v>1455</v>
      </c>
      <c r="C1456" t="str">
        <f t="shared" si="22"/>
        <v>NAD27 / Alaska Albers</v>
      </c>
    </row>
    <row r="1457" spans="1:3" x14ac:dyDescent="0.3">
      <c r="A1457" t="s">
        <v>1515</v>
      </c>
      <c r="B1457">
        <f>IF(ISNUMBER(SEARCH(Form!$C$11,Tabel2[[#This Row],[Coordinate Projection System]])),MAX($B$1:B1456)+1,0)</f>
        <v>1456</v>
      </c>
      <c r="C1457" t="str">
        <f t="shared" si="22"/>
        <v>NAD83 / Indiana East (ftUS)</v>
      </c>
    </row>
    <row r="1458" spans="1:3" x14ac:dyDescent="0.3">
      <c r="A1458" t="s">
        <v>1516</v>
      </c>
      <c r="B1458">
        <f>IF(ISNUMBER(SEARCH(Form!$C$11,Tabel2[[#This Row],[Coordinate Projection System]])),MAX($B$1:B1457)+1,0)</f>
        <v>1457</v>
      </c>
      <c r="C1458" t="str">
        <f t="shared" si="22"/>
        <v>NAD83 / Indiana West (ftUS)</v>
      </c>
    </row>
    <row r="1459" spans="1:3" x14ac:dyDescent="0.3">
      <c r="A1459" t="s">
        <v>1517</v>
      </c>
      <c r="B1459">
        <f>IF(ISNUMBER(SEARCH(Form!$C$11,Tabel2[[#This Row],[Coordinate Projection System]])),MAX($B$1:B1458)+1,0)</f>
        <v>1458</v>
      </c>
      <c r="C1459" t="str">
        <f t="shared" si="22"/>
        <v>NAD83(HARN) / Indiana East (ftUS)</v>
      </c>
    </row>
    <row r="1460" spans="1:3" x14ac:dyDescent="0.3">
      <c r="A1460" t="s">
        <v>1518</v>
      </c>
      <c r="B1460">
        <f>IF(ISNUMBER(SEARCH(Form!$C$11,Tabel2[[#This Row],[Coordinate Projection System]])),MAX($B$1:B1459)+1,0)</f>
        <v>1459</v>
      </c>
      <c r="C1460" t="str">
        <f t="shared" si="22"/>
        <v>NAD83(HARN) / Indiana West (ftUS)</v>
      </c>
    </row>
    <row r="1461" spans="1:3" x14ac:dyDescent="0.3">
      <c r="A1461" t="s">
        <v>1519</v>
      </c>
      <c r="B1461">
        <f>IF(ISNUMBER(SEARCH(Form!$C$11,Tabel2[[#This Row],[Coordinate Projection System]])),MAX($B$1:B1460)+1,0)</f>
        <v>1460</v>
      </c>
      <c r="C1461" t="str">
        <f t="shared" si="22"/>
        <v>Fort Marigot / UTM zone 20N</v>
      </c>
    </row>
    <row r="1462" spans="1:3" x14ac:dyDescent="0.3">
      <c r="A1462" t="s">
        <v>1520</v>
      </c>
      <c r="B1462">
        <f>IF(ISNUMBER(SEARCH(Form!$C$11,Tabel2[[#This Row],[Coordinate Projection System]])),MAX($B$1:B1461)+1,0)</f>
        <v>1461</v>
      </c>
      <c r="C1462" t="str">
        <f t="shared" si="22"/>
        <v>Guadeloupe 1948 / UTM zone 20N</v>
      </c>
    </row>
    <row r="1463" spans="1:3" x14ac:dyDescent="0.3">
      <c r="A1463" t="s">
        <v>1521</v>
      </c>
      <c r="B1463">
        <f>IF(ISNUMBER(SEARCH(Form!$C$11,Tabel2[[#This Row],[Coordinate Projection System]])),MAX($B$1:B1462)+1,0)</f>
        <v>1462</v>
      </c>
      <c r="C1463" t="str">
        <f t="shared" si="22"/>
        <v>CSG67 / UTM zone 22N</v>
      </c>
    </row>
    <row r="1464" spans="1:3" x14ac:dyDescent="0.3">
      <c r="A1464" t="s">
        <v>1522</v>
      </c>
      <c r="B1464">
        <f>IF(ISNUMBER(SEARCH(Form!$C$11,Tabel2[[#This Row],[Coordinate Projection System]])),MAX($B$1:B1463)+1,0)</f>
        <v>1463</v>
      </c>
      <c r="C1464" t="str">
        <f t="shared" si="22"/>
        <v>RGFG95 / UTM zone 22N</v>
      </c>
    </row>
    <row r="1465" spans="1:3" x14ac:dyDescent="0.3">
      <c r="A1465" t="s">
        <v>1523</v>
      </c>
      <c r="B1465">
        <f>IF(ISNUMBER(SEARCH(Form!$C$11,Tabel2[[#This Row],[Coordinate Projection System]])),MAX($B$1:B1464)+1,0)</f>
        <v>1464</v>
      </c>
      <c r="C1465" t="str">
        <f t="shared" si="22"/>
        <v>Martinique 1938 / UTM zone 20N</v>
      </c>
    </row>
    <row r="1466" spans="1:3" x14ac:dyDescent="0.3">
      <c r="A1466" t="s">
        <v>1524</v>
      </c>
      <c r="B1466">
        <f>IF(ISNUMBER(SEARCH(Form!$C$11,Tabel2[[#This Row],[Coordinate Projection System]])),MAX($B$1:B1465)+1,0)</f>
        <v>1465</v>
      </c>
      <c r="C1466" t="str">
        <f t="shared" si="22"/>
        <v>RGR92 / UTM zone 40S</v>
      </c>
    </row>
    <row r="1467" spans="1:3" x14ac:dyDescent="0.3">
      <c r="A1467" t="s">
        <v>1525</v>
      </c>
      <c r="B1467">
        <f>IF(ISNUMBER(SEARCH(Form!$C$11,Tabel2[[#This Row],[Coordinate Projection System]])),MAX($B$1:B1466)+1,0)</f>
        <v>1466</v>
      </c>
      <c r="C1467" t="str">
        <f t="shared" si="22"/>
        <v>Tahiti 52 / UTM zone 6S</v>
      </c>
    </row>
    <row r="1468" spans="1:3" x14ac:dyDescent="0.3">
      <c r="A1468" t="s">
        <v>1526</v>
      </c>
      <c r="B1468">
        <f>IF(ISNUMBER(SEARCH(Form!$C$11,Tabel2[[#This Row],[Coordinate Projection System]])),MAX($B$1:B1467)+1,0)</f>
        <v>1467</v>
      </c>
      <c r="C1468" t="str">
        <f t="shared" si="22"/>
        <v>Tahaa 54 / UTM zone 5S</v>
      </c>
    </row>
    <row r="1469" spans="1:3" x14ac:dyDescent="0.3">
      <c r="A1469" t="s">
        <v>1527</v>
      </c>
      <c r="B1469">
        <f>IF(ISNUMBER(SEARCH(Form!$C$11,Tabel2[[#This Row],[Coordinate Projection System]])),MAX($B$1:B1468)+1,0)</f>
        <v>1468</v>
      </c>
      <c r="C1469" t="str">
        <f t="shared" si="22"/>
        <v>IGN72 Nuku Hiva / UTM zone 7S</v>
      </c>
    </row>
    <row r="1470" spans="1:3" x14ac:dyDescent="0.3">
      <c r="A1470" t="s">
        <v>1528</v>
      </c>
      <c r="B1470">
        <f>IF(ISNUMBER(SEARCH(Form!$C$11,Tabel2[[#This Row],[Coordinate Projection System]])),MAX($B$1:B1469)+1,0)</f>
        <v>1469</v>
      </c>
      <c r="C1470" t="str">
        <f t="shared" si="22"/>
        <v>K0 1949 / UTM zone 42S (deprecated)</v>
      </c>
    </row>
    <row r="1471" spans="1:3" x14ac:dyDescent="0.3">
      <c r="A1471" t="s">
        <v>1529</v>
      </c>
      <c r="B1471">
        <f>IF(ISNUMBER(SEARCH(Form!$C$11,Tabel2[[#This Row],[Coordinate Projection System]])),MAX($B$1:B1470)+1,0)</f>
        <v>1470</v>
      </c>
      <c r="C1471" t="str">
        <f t="shared" si="22"/>
        <v>Combani 1950 / UTM zone 38S</v>
      </c>
    </row>
    <row r="1472" spans="1:3" x14ac:dyDescent="0.3">
      <c r="A1472" t="s">
        <v>1530</v>
      </c>
      <c r="B1472">
        <f>IF(ISNUMBER(SEARCH(Form!$C$11,Tabel2[[#This Row],[Coordinate Projection System]])),MAX($B$1:B1471)+1,0)</f>
        <v>1471</v>
      </c>
      <c r="C1472" t="str">
        <f t="shared" si="22"/>
        <v>IGN56 Lifou / UTM zone 58S</v>
      </c>
    </row>
    <row r="1473" spans="1:3" x14ac:dyDescent="0.3">
      <c r="A1473" t="s">
        <v>1531</v>
      </c>
      <c r="B1473">
        <f>IF(ISNUMBER(SEARCH(Form!$C$11,Tabel2[[#This Row],[Coordinate Projection System]])),MAX($B$1:B1472)+1,0)</f>
        <v>1472</v>
      </c>
      <c r="C1473" t="str">
        <f t="shared" si="22"/>
        <v>IGN72 Grand Terre / UTM zone 58S (deprecated)</v>
      </c>
    </row>
    <row r="1474" spans="1:3" x14ac:dyDescent="0.3">
      <c r="A1474" t="s">
        <v>1532</v>
      </c>
      <c r="B1474">
        <f>IF(ISNUMBER(SEARCH(Form!$C$11,Tabel2[[#This Row],[Coordinate Projection System]])),MAX($B$1:B1473)+1,0)</f>
        <v>1473</v>
      </c>
      <c r="C1474" t="str">
        <f t="shared" si="22"/>
        <v>ST87 Ouvea / UTM zone 58S (deprecated)</v>
      </c>
    </row>
    <row r="1475" spans="1:3" x14ac:dyDescent="0.3">
      <c r="A1475" t="s">
        <v>1533</v>
      </c>
      <c r="B1475">
        <f>IF(ISNUMBER(SEARCH(Form!$C$11,Tabel2[[#This Row],[Coordinate Projection System]])),MAX($B$1:B1474)+1,0)</f>
        <v>1474</v>
      </c>
      <c r="C1475" t="str">
        <f t="shared" ref="C1475:C1538" si="23">_xlfn.IFNA(INDEX(A1475:A6986,MATCH(ROW(C1474),B1475:B6986,0)),"")</f>
        <v>RGNC 1991 / Lambert New Caledonia (deprecated)</v>
      </c>
    </row>
    <row r="1476" spans="1:3" x14ac:dyDescent="0.3">
      <c r="A1476" t="s">
        <v>1534</v>
      </c>
      <c r="B1476">
        <f>IF(ISNUMBER(SEARCH(Form!$C$11,Tabel2[[#This Row],[Coordinate Projection System]])),MAX($B$1:B1475)+1,0)</f>
        <v>1475</v>
      </c>
      <c r="C1476" t="str">
        <f t="shared" si="23"/>
        <v>Petrels 1972 / Terre Adelie Polar StereographicUnable to translate coordinate system EPSG:2985 into PROJ.4 format.</v>
      </c>
    </row>
    <row r="1477" spans="1:3" x14ac:dyDescent="0.3">
      <c r="A1477" t="s">
        <v>1535</v>
      </c>
      <c r="B1477">
        <f>IF(ISNUMBER(SEARCH(Form!$C$11,Tabel2[[#This Row],[Coordinate Projection System]])),MAX($B$1:B1476)+1,0)</f>
        <v>1476</v>
      </c>
      <c r="C1477" t="str">
        <f t="shared" si="23"/>
        <v>Perroud 1950 / Terre Adelie Polar StereographicUnable to translate coordinate system EPSG:2986 into PROJ.4 format.</v>
      </c>
    </row>
    <row r="1478" spans="1:3" x14ac:dyDescent="0.3">
      <c r="A1478" t="s">
        <v>1536</v>
      </c>
      <c r="B1478">
        <f>IF(ISNUMBER(SEARCH(Form!$C$11,Tabel2[[#This Row],[Coordinate Projection System]])),MAX($B$1:B1477)+1,0)</f>
        <v>1477</v>
      </c>
      <c r="C1478" t="str">
        <f t="shared" si="23"/>
        <v>Saint Pierre et Miquelon 1950 / UTM zone 21N</v>
      </c>
    </row>
    <row r="1479" spans="1:3" x14ac:dyDescent="0.3">
      <c r="A1479" t="s">
        <v>1537</v>
      </c>
      <c r="B1479">
        <f>IF(ISNUMBER(SEARCH(Form!$C$11,Tabel2[[#This Row],[Coordinate Projection System]])),MAX($B$1:B1478)+1,0)</f>
        <v>1478</v>
      </c>
      <c r="C1479" t="str">
        <f t="shared" si="23"/>
        <v>MOP78 / UTM zone 1S</v>
      </c>
    </row>
    <row r="1480" spans="1:3" x14ac:dyDescent="0.3">
      <c r="A1480" t="s">
        <v>1538</v>
      </c>
      <c r="B1480">
        <f>IF(ISNUMBER(SEARCH(Form!$C$11,Tabel2[[#This Row],[Coordinate Projection System]])),MAX($B$1:B1479)+1,0)</f>
        <v>1479</v>
      </c>
      <c r="C1480" t="str">
        <f t="shared" si="23"/>
        <v>RRAF 1991 / UTM zone 20N (deprecated)</v>
      </c>
    </row>
    <row r="1481" spans="1:3" x14ac:dyDescent="0.3">
      <c r="A1481" t="s">
        <v>1539</v>
      </c>
      <c r="B1481">
        <f>IF(ISNUMBER(SEARCH(Form!$C$11,Tabel2[[#This Row],[Coordinate Projection System]])),MAX($B$1:B1480)+1,0)</f>
        <v>1480</v>
      </c>
      <c r="C1481" t="str">
        <f t="shared" si="23"/>
        <v>Reunion 1947 / TM Reunion (deprecated)</v>
      </c>
    </row>
    <row r="1482" spans="1:3" x14ac:dyDescent="0.3">
      <c r="A1482" t="s">
        <v>1540</v>
      </c>
      <c r="B1482">
        <f>IF(ISNUMBER(SEARCH(Form!$C$11,Tabel2[[#This Row],[Coordinate Projection System]])),MAX($B$1:B1481)+1,0)</f>
        <v>1481</v>
      </c>
      <c r="C1482" t="str">
        <f t="shared" si="23"/>
        <v>NAD83 / Oregon LCC (m)</v>
      </c>
    </row>
    <row r="1483" spans="1:3" x14ac:dyDescent="0.3">
      <c r="A1483" t="s">
        <v>1541</v>
      </c>
      <c r="B1483">
        <f>IF(ISNUMBER(SEARCH(Form!$C$11,Tabel2[[#This Row],[Coordinate Projection System]])),MAX($B$1:B1482)+1,0)</f>
        <v>1482</v>
      </c>
      <c r="C1483" t="str">
        <f t="shared" si="23"/>
        <v>NAD83 / Oregon GIC Lambert (ft)</v>
      </c>
    </row>
    <row r="1484" spans="1:3" x14ac:dyDescent="0.3">
      <c r="A1484" t="s">
        <v>1542</v>
      </c>
      <c r="B1484">
        <f>IF(ISNUMBER(SEARCH(Form!$C$11,Tabel2[[#This Row],[Coordinate Projection System]])),MAX($B$1:B1483)+1,0)</f>
        <v>1483</v>
      </c>
      <c r="C1484" t="str">
        <f t="shared" si="23"/>
        <v>NAD83(HARN) / Oregon LCC (m)</v>
      </c>
    </row>
    <row r="1485" spans="1:3" x14ac:dyDescent="0.3">
      <c r="A1485" t="s">
        <v>1543</v>
      </c>
      <c r="B1485">
        <f>IF(ISNUMBER(SEARCH(Form!$C$11,Tabel2[[#This Row],[Coordinate Projection System]])),MAX($B$1:B1484)+1,0)</f>
        <v>1484</v>
      </c>
      <c r="C1485" t="str">
        <f t="shared" si="23"/>
        <v>NAD83(HARN) / Oregon GIC Lambert (ft)</v>
      </c>
    </row>
    <row r="1486" spans="1:3" x14ac:dyDescent="0.3">
      <c r="A1486" t="s">
        <v>1544</v>
      </c>
      <c r="B1486">
        <f>IF(ISNUMBER(SEARCH(Form!$C$11,Tabel2[[#This Row],[Coordinate Projection System]])),MAX($B$1:B1485)+1,0)</f>
        <v>1485</v>
      </c>
      <c r="C1486" t="str">
        <f t="shared" si="23"/>
        <v>IGN53 Mare / UTM zone 58S</v>
      </c>
    </row>
    <row r="1487" spans="1:3" x14ac:dyDescent="0.3">
      <c r="A1487" t="s">
        <v>1545</v>
      </c>
      <c r="B1487">
        <f>IF(ISNUMBER(SEARCH(Form!$C$11,Tabel2[[#This Row],[Coordinate Projection System]])),MAX($B$1:B1486)+1,0)</f>
        <v>1486</v>
      </c>
      <c r="C1487" t="str">
        <f t="shared" si="23"/>
        <v>ST84 Ile des Pins / UTM zone 58S</v>
      </c>
    </row>
    <row r="1488" spans="1:3" x14ac:dyDescent="0.3">
      <c r="A1488" t="s">
        <v>1546</v>
      </c>
      <c r="B1488">
        <f>IF(ISNUMBER(SEARCH(Form!$C$11,Tabel2[[#This Row],[Coordinate Projection System]])),MAX($B$1:B1487)+1,0)</f>
        <v>1487</v>
      </c>
      <c r="C1488" t="str">
        <f t="shared" si="23"/>
        <v>ST71 Belep / UTM zone 58S</v>
      </c>
    </row>
    <row r="1489" spans="1:3" x14ac:dyDescent="0.3">
      <c r="A1489" t="s">
        <v>1547</v>
      </c>
      <c r="B1489">
        <f>IF(ISNUMBER(SEARCH(Form!$C$11,Tabel2[[#This Row],[Coordinate Projection System]])),MAX($B$1:B1488)+1,0)</f>
        <v>1488</v>
      </c>
      <c r="C1489" t="str">
        <f t="shared" si="23"/>
        <v>NEA74 Noumea / UTM zone 58S</v>
      </c>
    </row>
    <row r="1490" spans="1:3" x14ac:dyDescent="0.3">
      <c r="A1490" t="s">
        <v>1548</v>
      </c>
      <c r="B1490">
        <f>IF(ISNUMBER(SEARCH(Form!$C$11,Tabel2[[#This Row],[Coordinate Projection System]])),MAX($B$1:B1489)+1,0)</f>
        <v>1489</v>
      </c>
      <c r="C1490" t="str">
        <f t="shared" si="23"/>
        <v>Grand Comoros / UTM zone 38S</v>
      </c>
    </row>
    <row r="1491" spans="1:3" x14ac:dyDescent="0.3">
      <c r="A1491" t="s">
        <v>1549</v>
      </c>
      <c r="B1491">
        <f>IF(ISNUMBER(SEARCH(Form!$C$11,Tabel2[[#This Row],[Coordinate Projection System]])),MAX($B$1:B1490)+1,0)</f>
        <v>1490</v>
      </c>
      <c r="C1491" t="str">
        <f t="shared" si="23"/>
        <v>Segara / NEIEZ</v>
      </c>
    </row>
    <row r="1492" spans="1:3" x14ac:dyDescent="0.3">
      <c r="A1492" t="s">
        <v>1550</v>
      </c>
      <c r="B1492">
        <f>IF(ISNUMBER(SEARCH(Form!$C$11,Tabel2[[#This Row],[Coordinate Projection System]])),MAX($B$1:B1491)+1,0)</f>
        <v>1491</v>
      </c>
      <c r="C1492" t="str">
        <f t="shared" si="23"/>
        <v>Batavia / NEIEZ</v>
      </c>
    </row>
    <row r="1493" spans="1:3" x14ac:dyDescent="0.3">
      <c r="A1493" t="s">
        <v>1551</v>
      </c>
      <c r="B1493">
        <f>IF(ISNUMBER(SEARCH(Form!$C$11,Tabel2[[#This Row],[Coordinate Projection System]])),MAX($B$1:B1492)+1,0)</f>
        <v>1492</v>
      </c>
      <c r="C1493" t="str">
        <f t="shared" si="23"/>
        <v>Makassar / NEIEZ</v>
      </c>
    </row>
    <row r="1494" spans="1:3" x14ac:dyDescent="0.3">
      <c r="A1494" t="s">
        <v>1552</v>
      </c>
      <c r="B1494">
        <f>IF(ISNUMBER(SEARCH(Form!$C$11,Tabel2[[#This Row],[Coordinate Projection System]])),MAX($B$1:B1493)+1,0)</f>
        <v>1493</v>
      </c>
      <c r="C1494" t="str">
        <f t="shared" si="23"/>
        <v>Monte Mario / Italy zone 1</v>
      </c>
    </row>
    <row r="1495" spans="1:3" x14ac:dyDescent="0.3">
      <c r="A1495" t="s">
        <v>1553</v>
      </c>
      <c r="B1495">
        <f>IF(ISNUMBER(SEARCH(Form!$C$11,Tabel2[[#This Row],[Coordinate Projection System]])),MAX($B$1:B1494)+1,0)</f>
        <v>1494</v>
      </c>
      <c r="C1495" t="str">
        <f t="shared" si="23"/>
        <v>Monte Mario / Italy zone 2</v>
      </c>
    </row>
    <row r="1496" spans="1:3" x14ac:dyDescent="0.3">
      <c r="A1496" t="s">
        <v>1554</v>
      </c>
      <c r="B1496">
        <f>IF(ISNUMBER(SEARCH(Form!$C$11,Tabel2[[#This Row],[Coordinate Projection System]])),MAX($B$1:B1495)+1,0)</f>
        <v>1495</v>
      </c>
      <c r="C1496" t="str">
        <f t="shared" si="23"/>
        <v>NAD83 / BC Albers</v>
      </c>
    </row>
    <row r="1497" spans="1:3" x14ac:dyDescent="0.3">
      <c r="A1497" t="s">
        <v>1555</v>
      </c>
      <c r="B1497">
        <f>IF(ISNUMBER(SEARCH(Form!$C$11,Tabel2[[#This Row],[Coordinate Projection System]])),MAX($B$1:B1496)+1,0)</f>
        <v>1496</v>
      </c>
      <c r="C1497" t="str">
        <f t="shared" si="23"/>
        <v>SWEREF99 TM</v>
      </c>
    </row>
    <row r="1498" spans="1:3" x14ac:dyDescent="0.3">
      <c r="A1498" t="s">
        <v>1556</v>
      </c>
      <c r="B1498">
        <f>IF(ISNUMBER(SEARCH(Form!$C$11,Tabel2[[#This Row],[Coordinate Projection System]])),MAX($B$1:B1497)+1,0)</f>
        <v>1497</v>
      </c>
      <c r="C1498" t="str">
        <f t="shared" si="23"/>
        <v>SWEREF99 12 00</v>
      </c>
    </row>
    <row r="1499" spans="1:3" x14ac:dyDescent="0.3">
      <c r="A1499" t="s">
        <v>1557</v>
      </c>
      <c r="B1499">
        <f>IF(ISNUMBER(SEARCH(Form!$C$11,Tabel2[[#This Row],[Coordinate Projection System]])),MAX($B$1:B1498)+1,0)</f>
        <v>1498</v>
      </c>
      <c r="C1499" t="str">
        <f t="shared" si="23"/>
        <v>SWEREF99 13 30</v>
      </c>
    </row>
    <row r="1500" spans="1:3" x14ac:dyDescent="0.3">
      <c r="A1500" t="s">
        <v>1558</v>
      </c>
      <c r="B1500">
        <f>IF(ISNUMBER(SEARCH(Form!$C$11,Tabel2[[#This Row],[Coordinate Projection System]])),MAX($B$1:B1499)+1,0)</f>
        <v>1499</v>
      </c>
      <c r="C1500" t="str">
        <f t="shared" si="23"/>
        <v>SWEREF99 15 00</v>
      </c>
    </row>
    <row r="1501" spans="1:3" x14ac:dyDescent="0.3">
      <c r="A1501" t="s">
        <v>1559</v>
      </c>
      <c r="B1501">
        <f>IF(ISNUMBER(SEARCH(Form!$C$11,Tabel2[[#This Row],[Coordinate Projection System]])),MAX($B$1:B1500)+1,0)</f>
        <v>1500</v>
      </c>
      <c r="C1501" t="str">
        <f t="shared" si="23"/>
        <v>SWEREF99 16 30</v>
      </c>
    </row>
    <row r="1502" spans="1:3" x14ac:dyDescent="0.3">
      <c r="A1502" t="s">
        <v>1560</v>
      </c>
      <c r="B1502">
        <f>IF(ISNUMBER(SEARCH(Form!$C$11,Tabel2[[#This Row],[Coordinate Projection System]])),MAX($B$1:B1501)+1,0)</f>
        <v>1501</v>
      </c>
      <c r="C1502" t="str">
        <f t="shared" si="23"/>
        <v>SWEREF99 18 00</v>
      </c>
    </row>
    <row r="1503" spans="1:3" x14ac:dyDescent="0.3">
      <c r="A1503" t="s">
        <v>1561</v>
      </c>
      <c r="B1503">
        <f>IF(ISNUMBER(SEARCH(Form!$C$11,Tabel2[[#This Row],[Coordinate Projection System]])),MAX($B$1:B1502)+1,0)</f>
        <v>1502</v>
      </c>
      <c r="C1503" t="str">
        <f t="shared" si="23"/>
        <v>SWEREF99 14 15</v>
      </c>
    </row>
    <row r="1504" spans="1:3" x14ac:dyDescent="0.3">
      <c r="A1504" t="s">
        <v>1562</v>
      </c>
      <c r="B1504">
        <f>IF(ISNUMBER(SEARCH(Form!$C$11,Tabel2[[#This Row],[Coordinate Projection System]])),MAX($B$1:B1503)+1,0)</f>
        <v>1503</v>
      </c>
      <c r="C1504" t="str">
        <f t="shared" si="23"/>
        <v>SWEREF99 15 45</v>
      </c>
    </row>
    <row r="1505" spans="1:3" x14ac:dyDescent="0.3">
      <c r="A1505" t="s">
        <v>1563</v>
      </c>
      <c r="B1505">
        <f>IF(ISNUMBER(SEARCH(Form!$C$11,Tabel2[[#This Row],[Coordinate Projection System]])),MAX($B$1:B1504)+1,0)</f>
        <v>1504</v>
      </c>
      <c r="C1505" t="str">
        <f t="shared" si="23"/>
        <v>SWEREF99 17 15</v>
      </c>
    </row>
    <row r="1506" spans="1:3" x14ac:dyDescent="0.3">
      <c r="A1506" t="s">
        <v>1564</v>
      </c>
      <c r="B1506">
        <f>IF(ISNUMBER(SEARCH(Form!$C$11,Tabel2[[#This Row],[Coordinate Projection System]])),MAX($B$1:B1505)+1,0)</f>
        <v>1505</v>
      </c>
      <c r="C1506" t="str">
        <f t="shared" si="23"/>
        <v>SWEREF99 18 45</v>
      </c>
    </row>
    <row r="1507" spans="1:3" x14ac:dyDescent="0.3">
      <c r="A1507" t="s">
        <v>1565</v>
      </c>
      <c r="B1507">
        <f>IF(ISNUMBER(SEARCH(Form!$C$11,Tabel2[[#This Row],[Coordinate Projection System]])),MAX($B$1:B1506)+1,0)</f>
        <v>1506</v>
      </c>
      <c r="C1507" t="str">
        <f t="shared" si="23"/>
        <v>SWEREF99 20 15</v>
      </c>
    </row>
    <row r="1508" spans="1:3" x14ac:dyDescent="0.3">
      <c r="A1508" t="s">
        <v>1566</v>
      </c>
      <c r="B1508">
        <f>IF(ISNUMBER(SEARCH(Form!$C$11,Tabel2[[#This Row],[Coordinate Projection System]])),MAX($B$1:B1507)+1,0)</f>
        <v>1507</v>
      </c>
      <c r="C1508" t="str">
        <f t="shared" si="23"/>
        <v>SWEREF99 21 45</v>
      </c>
    </row>
    <row r="1509" spans="1:3" x14ac:dyDescent="0.3">
      <c r="A1509" t="s">
        <v>1567</v>
      </c>
      <c r="B1509">
        <f>IF(ISNUMBER(SEARCH(Form!$C$11,Tabel2[[#This Row],[Coordinate Projection System]])),MAX($B$1:B1508)+1,0)</f>
        <v>1508</v>
      </c>
      <c r="C1509" t="str">
        <f t="shared" si="23"/>
        <v>SWEREF99 23 15</v>
      </c>
    </row>
    <row r="1510" spans="1:3" x14ac:dyDescent="0.3">
      <c r="A1510" t="s">
        <v>1568</v>
      </c>
      <c r="B1510">
        <f>IF(ISNUMBER(SEARCH(Form!$C$11,Tabel2[[#This Row],[Coordinate Projection System]])),MAX($B$1:B1509)+1,0)</f>
        <v>1509</v>
      </c>
      <c r="C1510" t="str">
        <f t="shared" si="23"/>
        <v>RT90 7.5 gon V</v>
      </c>
    </row>
    <row r="1511" spans="1:3" x14ac:dyDescent="0.3">
      <c r="A1511" t="s">
        <v>1569</v>
      </c>
      <c r="B1511">
        <f>IF(ISNUMBER(SEARCH(Form!$C$11,Tabel2[[#This Row],[Coordinate Projection System]])),MAX($B$1:B1510)+1,0)</f>
        <v>1510</v>
      </c>
      <c r="C1511" t="str">
        <f t="shared" si="23"/>
        <v>RT90 5 gon V</v>
      </c>
    </row>
    <row r="1512" spans="1:3" x14ac:dyDescent="0.3">
      <c r="A1512" t="s">
        <v>1570</v>
      </c>
      <c r="B1512">
        <f>IF(ISNUMBER(SEARCH(Form!$C$11,Tabel2[[#This Row],[Coordinate Projection System]])),MAX($B$1:B1511)+1,0)</f>
        <v>1511</v>
      </c>
      <c r="C1512" t="str">
        <f t="shared" si="23"/>
        <v>RT90 2.5 gon V</v>
      </c>
    </row>
    <row r="1513" spans="1:3" x14ac:dyDescent="0.3">
      <c r="A1513" t="s">
        <v>1571</v>
      </c>
      <c r="B1513">
        <f>IF(ISNUMBER(SEARCH(Form!$C$11,Tabel2[[#This Row],[Coordinate Projection System]])),MAX($B$1:B1512)+1,0)</f>
        <v>1512</v>
      </c>
      <c r="C1513" t="str">
        <f t="shared" si="23"/>
        <v>RT90 0 gon</v>
      </c>
    </row>
    <row r="1514" spans="1:3" x14ac:dyDescent="0.3">
      <c r="A1514" t="s">
        <v>1572</v>
      </c>
      <c r="B1514">
        <f>IF(ISNUMBER(SEARCH(Form!$C$11,Tabel2[[#This Row],[Coordinate Projection System]])),MAX($B$1:B1513)+1,0)</f>
        <v>1513</v>
      </c>
      <c r="C1514" t="str">
        <f t="shared" si="23"/>
        <v>RT90 2.5 gon O</v>
      </c>
    </row>
    <row r="1515" spans="1:3" x14ac:dyDescent="0.3">
      <c r="A1515" t="s">
        <v>1573</v>
      </c>
      <c r="B1515">
        <f>IF(ISNUMBER(SEARCH(Form!$C$11,Tabel2[[#This Row],[Coordinate Projection System]])),MAX($B$1:B1514)+1,0)</f>
        <v>1514</v>
      </c>
      <c r="C1515" t="str">
        <f t="shared" si="23"/>
        <v>RT90 5 gon O</v>
      </c>
    </row>
    <row r="1516" spans="1:3" x14ac:dyDescent="0.3">
      <c r="A1516" t="s">
        <v>1574</v>
      </c>
      <c r="B1516">
        <f>IF(ISNUMBER(SEARCH(Form!$C$11,Tabel2[[#This Row],[Coordinate Projection System]])),MAX($B$1:B1515)+1,0)</f>
        <v>1515</v>
      </c>
      <c r="C1516" t="str">
        <f t="shared" si="23"/>
        <v>RT38 7.5 gon V</v>
      </c>
    </row>
    <row r="1517" spans="1:3" x14ac:dyDescent="0.3">
      <c r="A1517" t="s">
        <v>1575</v>
      </c>
      <c r="B1517">
        <f>IF(ISNUMBER(SEARCH(Form!$C$11,Tabel2[[#This Row],[Coordinate Projection System]])),MAX($B$1:B1516)+1,0)</f>
        <v>1516</v>
      </c>
      <c r="C1517" t="str">
        <f t="shared" si="23"/>
        <v>RT38 5 gon V</v>
      </c>
    </row>
    <row r="1518" spans="1:3" x14ac:dyDescent="0.3">
      <c r="A1518" t="s">
        <v>1576</v>
      </c>
      <c r="B1518">
        <f>IF(ISNUMBER(SEARCH(Form!$C$11,Tabel2[[#This Row],[Coordinate Projection System]])),MAX($B$1:B1517)+1,0)</f>
        <v>1517</v>
      </c>
      <c r="C1518" t="str">
        <f t="shared" si="23"/>
        <v>RT38 2.5 gon V</v>
      </c>
    </row>
    <row r="1519" spans="1:3" x14ac:dyDescent="0.3">
      <c r="A1519" t="s">
        <v>1577</v>
      </c>
      <c r="B1519">
        <f>IF(ISNUMBER(SEARCH(Form!$C$11,Tabel2[[#This Row],[Coordinate Projection System]])),MAX($B$1:B1518)+1,0)</f>
        <v>1518</v>
      </c>
      <c r="C1519" t="str">
        <f t="shared" si="23"/>
        <v>RT38 0 gon</v>
      </c>
    </row>
    <row r="1520" spans="1:3" x14ac:dyDescent="0.3">
      <c r="A1520" t="s">
        <v>1578</v>
      </c>
      <c r="B1520">
        <f>IF(ISNUMBER(SEARCH(Form!$C$11,Tabel2[[#This Row],[Coordinate Projection System]])),MAX($B$1:B1519)+1,0)</f>
        <v>1519</v>
      </c>
      <c r="C1520" t="str">
        <f t="shared" si="23"/>
        <v>RT38 2.5 gon O</v>
      </c>
    </row>
    <row r="1521" spans="1:3" x14ac:dyDescent="0.3">
      <c r="A1521" t="s">
        <v>1579</v>
      </c>
      <c r="B1521">
        <f>IF(ISNUMBER(SEARCH(Form!$C$11,Tabel2[[#This Row],[Coordinate Projection System]])),MAX($B$1:B1520)+1,0)</f>
        <v>1520</v>
      </c>
      <c r="C1521" t="str">
        <f t="shared" si="23"/>
        <v>RT38 5 gon O</v>
      </c>
    </row>
    <row r="1522" spans="1:3" x14ac:dyDescent="0.3">
      <c r="A1522" t="s">
        <v>1580</v>
      </c>
      <c r="B1522">
        <f>IF(ISNUMBER(SEARCH(Form!$C$11,Tabel2[[#This Row],[Coordinate Projection System]])),MAX($B$1:B1521)+1,0)</f>
        <v>1521</v>
      </c>
      <c r="C1522" t="str">
        <f t="shared" si="23"/>
        <v>WGS 84 / Antarctic Polar Stereographic</v>
      </c>
    </row>
    <row r="1523" spans="1:3" x14ac:dyDescent="0.3">
      <c r="A1523" t="s">
        <v>1581</v>
      </c>
      <c r="B1523">
        <f>IF(ISNUMBER(SEARCH(Form!$C$11,Tabel2[[#This Row],[Coordinate Projection System]])),MAX($B$1:B1522)+1,0)</f>
        <v>1522</v>
      </c>
      <c r="C1523" t="str">
        <f t="shared" si="23"/>
        <v>WGS 84 / Australian Antarctic Polar Stereographic</v>
      </c>
    </row>
    <row r="1524" spans="1:3" x14ac:dyDescent="0.3">
      <c r="A1524" t="s">
        <v>1582</v>
      </c>
      <c r="B1524">
        <f>IF(ISNUMBER(SEARCH(Form!$C$11,Tabel2[[#This Row],[Coordinate Projection System]])),MAX($B$1:B1523)+1,0)</f>
        <v>1523</v>
      </c>
      <c r="C1524" t="str">
        <f t="shared" si="23"/>
        <v>WGS 84 / Australian Antarctic Lambert</v>
      </c>
    </row>
    <row r="1525" spans="1:3" x14ac:dyDescent="0.3">
      <c r="A1525" t="s">
        <v>1583</v>
      </c>
      <c r="B1525">
        <f>IF(ISNUMBER(SEARCH(Form!$C$11,Tabel2[[#This Row],[Coordinate Projection System]])),MAX($B$1:B1524)+1,0)</f>
        <v>1524</v>
      </c>
      <c r="C1525" t="str">
        <f t="shared" si="23"/>
        <v>ETRS89 / LCC Europe</v>
      </c>
    </row>
    <row r="1526" spans="1:3" x14ac:dyDescent="0.3">
      <c r="A1526" t="s">
        <v>1584</v>
      </c>
      <c r="B1526">
        <f>IF(ISNUMBER(SEARCH(Form!$C$11,Tabel2[[#This Row],[Coordinate Projection System]])),MAX($B$1:B1525)+1,0)</f>
        <v>1525</v>
      </c>
      <c r="C1526" t="str">
        <f t="shared" si="23"/>
        <v>ETRS89 / LAEA Europe</v>
      </c>
    </row>
    <row r="1527" spans="1:3" x14ac:dyDescent="0.3">
      <c r="A1527" t="s">
        <v>1585</v>
      </c>
      <c r="B1527">
        <f>IF(ISNUMBER(SEARCH(Form!$C$11,Tabel2[[#This Row],[Coordinate Projection System]])),MAX($B$1:B1526)+1,0)</f>
        <v>1526</v>
      </c>
      <c r="C1527" t="str">
        <f t="shared" si="23"/>
        <v>Moznet / UTM zone 36S</v>
      </c>
    </row>
    <row r="1528" spans="1:3" x14ac:dyDescent="0.3">
      <c r="A1528" t="s">
        <v>1586</v>
      </c>
      <c r="B1528">
        <f>IF(ISNUMBER(SEARCH(Form!$C$11,Tabel2[[#This Row],[Coordinate Projection System]])),MAX($B$1:B1527)+1,0)</f>
        <v>1527</v>
      </c>
      <c r="C1528" t="str">
        <f t="shared" si="23"/>
        <v>Moznet / UTM zone 37S</v>
      </c>
    </row>
    <row r="1529" spans="1:3" x14ac:dyDescent="0.3">
      <c r="A1529" t="s">
        <v>1587</v>
      </c>
      <c r="B1529">
        <f>IF(ISNUMBER(SEARCH(Form!$C$11,Tabel2[[#This Row],[Coordinate Projection System]])),MAX($B$1:B1528)+1,0)</f>
        <v>1528</v>
      </c>
      <c r="C1529" t="str">
        <f t="shared" si="23"/>
        <v>ETRS89 / TM26 (deprecated)</v>
      </c>
    </row>
    <row r="1530" spans="1:3" x14ac:dyDescent="0.3">
      <c r="A1530" t="s">
        <v>1588</v>
      </c>
      <c r="B1530">
        <f>IF(ISNUMBER(SEARCH(Form!$C$11,Tabel2[[#This Row],[Coordinate Projection System]])),MAX($B$1:B1529)+1,0)</f>
        <v>1529</v>
      </c>
      <c r="C1530" t="str">
        <f t="shared" si="23"/>
        <v>ETRS89 / TM27 (deprecated)</v>
      </c>
    </row>
    <row r="1531" spans="1:3" x14ac:dyDescent="0.3">
      <c r="A1531" t="s">
        <v>1589</v>
      </c>
      <c r="B1531">
        <f>IF(ISNUMBER(SEARCH(Form!$C$11,Tabel2[[#This Row],[Coordinate Projection System]])),MAX($B$1:B1530)+1,0)</f>
        <v>1530</v>
      </c>
      <c r="C1531" t="str">
        <f t="shared" si="23"/>
        <v>ETRS89 / UTM zone 28N (N-E)</v>
      </c>
    </row>
    <row r="1532" spans="1:3" x14ac:dyDescent="0.3">
      <c r="A1532" t="s">
        <v>1590</v>
      </c>
      <c r="B1532">
        <f>IF(ISNUMBER(SEARCH(Form!$C$11,Tabel2[[#This Row],[Coordinate Projection System]])),MAX($B$1:B1531)+1,0)</f>
        <v>1531</v>
      </c>
      <c r="C1532" t="str">
        <f t="shared" si="23"/>
        <v>ETRS89 / UTM zone 29N (N-E)</v>
      </c>
    </row>
    <row r="1533" spans="1:3" x14ac:dyDescent="0.3">
      <c r="A1533" t="s">
        <v>1591</v>
      </c>
      <c r="B1533">
        <f>IF(ISNUMBER(SEARCH(Form!$C$11,Tabel2[[#This Row],[Coordinate Projection System]])),MAX($B$1:B1532)+1,0)</f>
        <v>1532</v>
      </c>
      <c r="C1533" t="str">
        <f t="shared" si="23"/>
        <v>ETRS89 / UTM zone 30N (N-E)</v>
      </c>
    </row>
    <row r="1534" spans="1:3" x14ac:dyDescent="0.3">
      <c r="A1534" t="s">
        <v>1592</v>
      </c>
      <c r="B1534">
        <f>IF(ISNUMBER(SEARCH(Form!$C$11,Tabel2[[#This Row],[Coordinate Projection System]])),MAX($B$1:B1533)+1,0)</f>
        <v>1533</v>
      </c>
      <c r="C1534" t="str">
        <f t="shared" si="23"/>
        <v>ETRS89 / UTM zone 31N (N-E)</v>
      </c>
    </row>
    <row r="1535" spans="1:3" x14ac:dyDescent="0.3">
      <c r="A1535" t="s">
        <v>1593</v>
      </c>
      <c r="B1535">
        <f>IF(ISNUMBER(SEARCH(Form!$C$11,Tabel2[[#This Row],[Coordinate Projection System]])),MAX($B$1:B1534)+1,0)</f>
        <v>1534</v>
      </c>
      <c r="C1535" t="str">
        <f t="shared" si="23"/>
        <v>ETRS89 / UTM zone 32N (N-E)</v>
      </c>
    </row>
    <row r="1536" spans="1:3" x14ac:dyDescent="0.3">
      <c r="A1536" t="s">
        <v>1594</v>
      </c>
      <c r="B1536">
        <f>IF(ISNUMBER(SEARCH(Form!$C$11,Tabel2[[#This Row],[Coordinate Projection System]])),MAX($B$1:B1535)+1,0)</f>
        <v>1535</v>
      </c>
      <c r="C1536" t="str">
        <f t="shared" si="23"/>
        <v>ETRS89 / UTM zone 33N (N-E)</v>
      </c>
    </row>
    <row r="1537" spans="1:3" x14ac:dyDescent="0.3">
      <c r="A1537" t="s">
        <v>1595</v>
      </c>
      <c r="B1537">
        <f>IF(ISNUMBER(SEARCH(Form!$C$11,Tabel2[[#This Row],[Coordinate Projection System]])),MAX($B$1:B1536)+1,0)</f>
        <v>1536</v>
      </c>
      <c r="C1537" t="str">
        <f t="shared" si="23"/>
        <v>ETRS89 / UTM zone 34N (N-E)</v>
      </c>
    </row>
    <row r="1538" spans="1:3" x14ac:dyDescent="0.3">
      <c r="A1538" t="s">
        <v>1596</v>
      </c>
      <c r="B1538">
        <f>IF(ISNUMBER(SEARCH(Form!$C$11,Tabel2[[#This Row],[Coordinate Projection System]])),MAX($B$1:B1537)+1,0)</f>
        <v>1537</v>
      </c>
      <c r="C1538" t="str">
        <f t="shared" si="23"/>
        <v>ETRS89 / UTM zone 35N (N-E)</v>
      </c>
    </row>
    <row r="1539" spans="1:3" x14ac:dyDescent="0.3">
      <c r="A1539" t="s">
        <v>1597</v>
      </c>
      <c r="B1539">
        <f>IF(ISNUMBER(SEARCH(Form!$C$11,Tabel2[[#This Row],[Coordinate Projection System]])),MAX($B$1:B1538)+1,0)</f>
        <v>1538</v>
      </c>
      <c r="C1539" t="str">
        <f t="shared" ref="C1539:C1602" si="24">_xlfn.IFNA(INDEX(A1539:A7050,MATCH(ROW(C1538),B1539:B7050,0)),"")</f>
        <v>ETRS89 / UTM zone 36N (N-E)</v>
      </c>
    </row>
    <row r="1540" spans="1:3" x14ac:dyDescent="0.3">
      <c r="A1540" t="s">
        <v>1598</v>
      </c>
      <c r="B1540">
        <f>IF(ISNUMBER(SEARCH(Form!$C$11,Tabel2[[#This Row],[Coordinate Projection System]])),MAX($B$1:B1539)+1,0)</f>
        <v>1539</v>
      </c>
      <c r="C1540" t="str">
        <f t="shared" si="24"/>
        <v>ETRS89 / UTM zone 37N (N-E)</v>
      </c>
    </row>
    <row r="1541" spans="1:3" x14ac:dyDescent="0.3">
      <c r="A1541" t="s">
        <v>1599</v>
      </c>
      <c r="B1541">
        <f>IF(ISNUMBER(SEARCH(Form!$C$11,Tabel2[[#This Row],[Coordinate Projection System]])),MAX($B$1:B1540)+1,0)</f>
        <v>1540</v>
      </c>
      <c r="C1541" t="str">
        <f t="shared" si="24"/>
        <v>ETRS89 / TM38 (deprecated)</v>
      </c>
    </row>
    <row r="1542" spans="1:3" x14ac:dyDescent="0.3">
      <c r="A1542" t="s">
        <v>1600</v>
      </c>
      <c r="B1542">
        <f>IF(ISNUMBER(SEARCH(Form!$C$11,Tabel2[[#This Row],[Coordinate Projection System]])),MAX($B$1:B1541)+1,0)</f>
        <v>1541</v>
      </c>
      <c r="C1542" t="str">
        <f t="shared" si="24"/>
        <v>ETRS89 / TM39 (deprecated)</v>
      </c>
    </row>
    <row r="1543" spans="1:3" x14ac:dyDescent="0.3">
      <c r="A1543" t="s">
        <v>1601</v>
      </c>
      <c r="B1543">
        <f>IF(ISNUMBER(SEARCH(Form!$C$11,Tabel2[[#This Row],[Coordinate Projection System]])),MAX($B$1:B1542)+1,0)</f>
        <v>1542</v>
      </c>
      <c r="C1543" t="str">
        <f t="shared" si="24"/>
        <v>Reykjavik 1900 / Lambert 1900Unable to translate coordinate system EPSG:3052 into PROJ.4 format.</v>
      </c>
    </row>
    <row r="1544" spans="1:3" x14ac:dyDescent="0.3">
      <c r="A1544" t="s">
        <v>1602</v>
      </c>
      <c r="B1544">
        <f>IF(ISNUMBER(SEARCH(Form!$C$11,Tabel2[[#This Row],[Coordinate Projection System]])),MAX($B$1:B1543)+1,0)</f>
        <v>1543</v>
      </c>
      <c r="C1544" t="str">
        <f t="shared" si="24"/>
        <v>Hjorsey 1955 / Lambert 1955Unable to translate coordinate system EPSG:3053 into PROJ.4 format.</v>
      </c>
    </row>
    <row r="1545" spans="1:3" x14ac:dyDescent="0.3">
      <c r="A1545" t="s">
        <v>1603</v>
      </c>
      <c r="B1545">
        <f>IF(ISNUMBER(SEARCH(Form!$C$11,Tabel2[[#This Row],[Coordinate Projection System]])),MAX($B$1:B1544)+1,0)</f>
        <v>1544</v>
      </c>
      <c r="C1545" t="str">
        <f t="shared" si="24"/>
        <v>Hjorsey 1955 / UTM zone 26N</v>
      </c>
    </row>
    <row r="1546" spans="1:3" x14ac:dyDescent="0.3">
      <c r="A1546" t="s">
        <v>1604</v>
      </c>
      <c r="B1546">
        <f>IF(ISNUMBER(SEARCH(Form!$C$11,Tabel2[[#This Row],[Coordinate Projection System]])),MAX($B$1:B1545)+1,0)</f>
        <v>1545</v>
      </c>
      <c r="C1546" t="str">
        <f t="shared" si="24"/>
        <v>Hjorsey 1955 / UTM zone 27N</v>
      </c>
    </row>
    <row r="1547" spans="1:3" x14ac:dyDescent="0.3">
      <c r="A1547" t="s">
        <v>1605</v>
      </c>
      <c r="B1547">
        <f>IF(ISNUMBER(SEARCH(Form!$C$11,Tabel2[[#This Row],[Coordinate Projection System]])),MAX($B$1:B1546)+1,0)</f>
        <v>1546</v>
      </c>
      <c r="C1547" t="str">
        <f t="shared" si="24"/>
        <v>Hjorsey 1955 / UTM zone 28N</v>
      </c>
    </row>
    <row r="1548" spans="1:3" x14ac:dyDescent="0.3">
      <c r="A1548" t="s">
        <v>1606</v>
      </c>
      <c r="B1548">
        <f>IF(ISNUMBER(SEARCH(Form!$C$11,Tabel2[[#This Row],[Coordinate Projection System]])),MAX($B$1:B1547)+1,0)</f>
        <v>1547</v>
      </c>
      <c r="C1548" t="str">
        <f t="shared" si="24"/>
        <v>ISN93 / Lambert 1993</v>
      </c>
    </row>
    <row r="1549" spans="1:3" x14ac:dyDescent="0.3">
      <c r="A1549" t="s">
        <v>1607</v>
      </c>
      <c r="B1549">
        <f>IF(ISNUMBER(SEARCH(Form!$C$11,Tabel2[[#This Row],[Coordinate Projection System]])),MAX($B$1:B1548)+1,0)</f>
        <v>1548</v>
      </c>
      <c r="C1549" t="str">
        <f t="shared" si="24"/>
        <v>Helle 1954 / Jan Mayen Grid</v>
      </c>
    </row>
    <row r="1550" spans="1:3" x14ac:dyDescent="0.3">
      <c r="A1550" t="s">
        <v>1608</v>
      </c>
      <c r="B1550">
        <f>IF(ISNUMBER(SEARCH(Form!$C$11,Tabel2[[#This Row],[Coordinate Projection System]])),MAX($B$1:B1549)+1,0)</f>
        <v>1549</v>
      </c>
      <c r="C1550" t="str">
        <f t="shared" si="24"/>
        <v>LKS92 / Latvia TM</v>
      </c>
    </row>
    <row r="1551" spans="1:3" x14ac:dyDescent="0.3">
      <c r="A1551" t="s">
        <v>1609</v>
      </c>
      <c r="B1551">
        <f>IF(ISNUMBER(SEARCH(Form!$C$11,Tabel2[[#This Row],[Coordinate Projection System]])),MAX($B$1:B1550)+1,0)</f>
        <v>1550</v>
      </c>
      <c r="C1551" t="str">
        <f t="shared" si="24"/>
        <v>IGN72 Grande Terre / UTM zone 58S</v>
      </c>
    </row>
    <row r="1552" spans="1:3" x14ac:dyDescent="0.3">
      <c r="A1552" t="s">
        <v>1610</v>
      </c>
      <c r="B1552">
        <f>IF(ISNUMBER(SEARCH(Form!$C$11,Tabel2[[#This Row],[Coordinate Projection System]])),MAX($B$1:B1551)+1,0)</f>
        <v>1551</v>
      </c>
      <c r="C1552" t="str">
        <f t="shared" si="24"/>
        <v>Porto Santo 1995 / UTM zone 28N</v>
      </c>
    </row>
    <row r="1553" spans="1:3" x14ac:dyDescent="0.3">
      <c r="A1553" t="s">
        <v>1611</v>
      </c>
      <c r="B1553">
        <f>IF(ISNUMBER(SEARCH(Form!$C$11,Tabel2[[#This Row],[Coordinate Projection System]])),MAX($B$1:B1552)+1,0)</f>
        <v>1552</v>
      </c>
      <c r="C1553" t="str">
        <f t="shared" si="24"/>
        <v>Azores Oriental 1995 / UTM zone 26N</v>
      </c>
    </row>
    <row r="1554" spans="1:3" x14ac:dyDescent="0.3">
      <c r="A1554" t="s">
        <v>1612</v>
      </c>
      <c r="B1554">
        <f>IF(ISNUMBER(SEARCH(Form!$C$11,Tabel2[[#This Row],[Coordinate Projection System]])),MAX($B$1:B1553)+1,0)</f>
        <v>1553</v>
      </c>
      <c r="C1554" t="str">
        <f t="shared" si="24"/>
        <v>Azores Central 1995 / UTM zone 26N</v>
      </c>
    </row>
    <row r="1555" spans="1:3" x14ac:dyDescent="0.3">
      <c r="A1555" t="s">
        <v>1613</v>
      </c>
      <c r="B1555">
        <f>IF(ISNUMBER(SEARCH(Form!$C$11,Tabel2[[#This Row],[Coordinate Projection System]])),MAX($B$1:B1554)+1,0)</f>
        <v>1554</v>
      </c>
      <c r="C1555" t="str">
        <f t="shared" si="24"/>
        <v>IGM95 / UTM zone 32N</v>
      </c>
    </row>
    <row r="1556" spans="1:3" x14ac:dyDescent="0.3">
      <c r="A1556" t="s">
        <v>1614</v>
      </c>
      <c r="B1556">
        <f>IF(ISNUMBER(SEARCH(Form!$C$11,Tabel2[[#This Row],[Coordinate Projection System]])),MAX($B$1:B1555)+1,0)</f>
        <v>1555</v>
      </c>
      <c r="C1556" t="str">
        <f t="shared" si="24"/>
        <v>IGM95 / UTM zone 33N</v>
      </c>
    </row>
    <row r="1557" spans="1:3" x14ac:dyDescent="0.3">
      <c r="A1557" t="s">
        <v>1615</v>
      </c>
      <c r="B1557">
        <f>IF(ISNUMBER(SEARCH(Form!$C$11,Tabel2[[#This Row],[Coordinate Projection System]])),MAX($B$1:B1556)+1,0)</f>
        <v>1556</v>
      </c>
      <c r="C1557" t="str">
        <f t="shared" si="24"/>
        <v>ED50 / Jordan TM</v>
      </c>
    </row>
    <row r="1558" spans="1:3" x14ac:dyDescent="0.3">
      <c r="A1558" t="s">
        <v>1616</v>
      </c>
      <c r="B1558">
        <f>IF(ISNUMBER(SEARCH(Form!$C$11,Tabel2[[#This Row],[Coordinate Projection System]])),MAX($B$1:B1557)+1,0)</f>
        <v>1557</v>
      </c>
      <c r="C1558" t="str">
        <f t="shared" si="24"/>
        <v>ETRS89 / TM35FIN(E,N)</v>
      </c>
    </row>
    <row r="1559" spans="1:3" x14ac:dyDescent="0.3">
      <c r="A1559" t="s">
        <v>1617</v>
      </c>
      <c r="B1559">
        <f>IF(ISNUMBER(SEARCH(Form!$C$11,Tabel2[[#This Row],[Coordinate Projection System]])),MAX($B$1:B1558)+1,0)</f>
        <v>1558</v>
      </c>
      <c r="C1559" t="str">
        <f t="shared" si="24"/>
        <v>DHDN / Soldner Berlin</v>
      </c>
    </row>
    <row r="1560" spans="1:3" x14ac:dyDescent="0.3">
      <c r="A1560" t="s">
        <v>1618</v>
      </c>
      <c r="B1560">
        <f>IF(ISNUMBER(SEARCH(Form!$C$11,Tabel2[[#This Row],[Coordinate Projection System]])),MAX($B$1:B1559)+1,0)</f>
        <v>1559</v>
      </c>
      <c r="C1560" t="str">
        <f t="shared" si="24"/>
        <v>NAD27 / Wisconsin Transverse Mercator</v>
      </c>
    </row>
    <row r="1561" spans="1:3" x14ac:dyDescent="0.3">
      <c r="A1561" t="s">
        <v>1619</v>
      </c>
      <c r="B1561">
        <f>IF(ISNUMBER(SEARCH(Form!$C$11,Tabel2[[#This Row],[Coordinate Projection System]])),MAX($B$1:B1560)+1,0)</f>
        <v>1560</v>
      </c>
      <c r="C1561" t="str">
        <f t="shared" si="24"/>
        <v>NAD83 / Wisconsin Transverse Mercator</v>
      </c>
    </row>
    <row r="1562" spans="1:3" x14ac:dyDescent="0.3">
      <c r="A1562" t="s">
        <v>1620</v>
      </c>
      <c r="B1562">
        <f>IF(ISNUMBER(SEARCH(Form!$C$11,Tabel2[[#This Row],[Coordinate Projection System]])),MAX($B$1:B1561)+1,0)</f>
        <v>1561</v>
      </c>
      <c r="C1562" t="str">
        <f t="shared" si="24"/>
        <v>NAD83(HARN) / Wisconsin Transverse Mercator</v>
      </c>
    </row>
    <row r="1563" spans="1:3" x14ac:dyDescent="0.3">
      <c r="A1563" t="s">
        <v>1621</v>
      </c>
      <c r="B1563">
        <f>IF(ISNUMBER(SEARCH(Form!$C$11,Tabel2[[#This Row],[Coordinate Projection System]])),MAX($B$1:B1562)+1,0)</f>
        <v>1562</v>
      </c>
      <c r="C1563" t="str">
        <f t="shared" si="24"/>
        <v>NAD83 / Maine CS2000 East</v>
      </c>
    </row>
    <row r="1564" spans="1:3" x14ac:dyDescent="0.3">
      <c r="A1564" t="s">
        <v>1622</v>
      </c>
      <c r="B1564">
        <f>IF(ISNUMBER(SEARCH(Form!$C$11,Tabel2[[#This Row],[Coordinate Projection System]])),MAX($B$1:B1563)+1,0)</f>
        <v>1563</v>
      </c>
      <c r="C1564" t="str">
        <f t="shared" si="24"/>
        <v>NAD83 / Maine CS2000 Central (deprecated)</v>
      </c>
    </row>
    <row r="1565" spans="1:3" x14ac:dyDescent="0.3">
      <c r="A1565" t="s">
        <v>1623</v>
      </c>
      <c r="B1565">
        <f>IF(ISNUMBER(SEARCH(Form!$C$11,Tabel2[[#This Row],[Coordinate Projection System]])),MAX($B$1:B1564)+1,0)</f>
        <v>1564</v>
      </c>
      <c r="C1565" t="str">
        <f t="shared" si="24"/>
        <v>NAD83 / Maine CS2000 West</v>
      </c>
    </row>
    <row r="1566" spans="1:3" x14ac:dyDescent="0.3">
      <c r="A1566" t="s">
        <v>1624</v>
      </c>
      <c r="B1566">
        <f>IF(ISNUMBER(SEARCH(Form!$C$11,Tabel2[[#This Row],[Coordinate Projection System]])),MAX($B$1:B1565)+1,0)</f>
        <v>1565</v>
      </c>
      <c r="C1566" t="str">
        <f t="shared" si="24"/>
        <v>NAD83(HARN) / Maine CS2000 East</v>
      </c>
    </row>
    <row r="1567" spans="1:3" x14ac:dyDescent="0.3">
      <c r="A1567" t="s">
        <v>1625</v>
      </c>
      <c r="B1567">
        <f>IF(ISNUMBER(SEARCH(Form!$C$11,Tabel2[[#This Row],[Coordinate Projection System]])),MAX($B$1:B1566)+1,0)</f>
        <v>1566</v>
      </c>
      <c r="C1567" t="str">
        <f t="shared" si="24"/>
        <v>NAD83(HARN) / Maine CS2000 Central (deprecated)</v>
      </c>
    </row>
    <row r="1568" spans="1:3" x14ac:dyDescent="0.3">
      <c r="A1568" t="s">
        <v>1626</v>
      </c>
      <c r="B1568">
        <f>IF(ISNUMBER(SEARCH(Form!$C$11,Tabel2[[#This Row],[Coordinate Projection System]])),MAX($B$1:B1567)+1,0)</f>
        <v>1567</v>
      </c>
      <c r="C1568" t="str">
        <f t="shared" si="24"/>
        <v>NAD83(HARN) / Maine CS2000 West</v>
      </c>
    </row>
    <row r="1569" spans="1:3" x14ac:dyDescent="0.3">
      <c r="A1569" t="s">
        <v>1627</v>
      </c>
      <c r="B1569">
        <f>IF(ISNUMBER(SEARCH(Form!$C$11,Tabel2[[#This Row],[Coordinate Projection System]])),MAX($B$1:B1568)+1,0)</f>
        <v>1568</v>
      </c>
      <c r="C1569" t="str">
        <f t="shared" si="24"/>
        <v>NAD83 / Michigan Oblique Mercator</v>
      </c>
    </row>
    <row r="1570" spans="1:3" x14ac:dyDescent="0.3">
      <c r="A1570" t="s">
        <v>1628</v>
      </c>
      <c r="B1570">
        <f>IF(ISNUMBER(SEARCH(Form!$C$11,Tabel2[[#This Row],[Coordinate Projection System]])),MAX($B$1:B1569)+1,0)</f>
        <v>1569</v>
      </c>
      <c r="C1570" t="str">
        <f t="shared" si="24"/>
        <v>NAD83(HARN) / Michigan Oblique Mercator</v>
      </c>
    </row>
    <row r="1571" spans="1:3" x14ac:dyDescent="0.3">
      <c r="A1571" t="s">
        <v>1629</v>
      </c>
      <c r="B1571">
        <f>IF(ISNUMBER(SEARCH(Form!$C$11,Tabel2[[#This Row],[Coordinate Projection System]])),MAX($B$1:B1570)+1,0)</f>
        <v>1570</v>
      </c>
      <c r="C1571" t="str">
        <f t="shared" si="24"/>
        <v>NAD27 / Shackleford</v>
      </c>
    </row>
    <row r="1572" spans="1:3" x14ac:dyDescent="0.3">
      <c r="A1572" t="s">
        <v>1630</v>
      </c>
      <c r="B1572">
        <f>IF(ISNUMBER(SEARCH(Form!$C$11,Tabel2[[#This Row],[Coordinate Projection System]])),MAX($B$1:B1571)+1,0)</f>
        <v>1571</v>
      </c>
      <c r="C1572" t="str">
        <f t="shared" si="24"/>
        <v>NAD83 / Texas State Mapping System</v>
      </c>
    </row>
    <row r="1573" spans="1:3" x14ac:dyDescent="0.3">
      <c r="A1573" t="s">
        <v>1631</v>
      </c>
      <c r="B1573">
        <f>IF(ISNUMBER(SEARCH(Form!$C$11,Tabel2[[#This Row],[Coordinate Projection System]])),MAX($B$1:B1572)+1,0)</f>
        <v>1572</v>
      </c>
      <c r="C1573" t="str">
        <f t="shared" si="24"/>
        <v>NAD83 / Texas Centric Lambert Conformal</v>
      </c>
    </row>
    <row r="1574" spans="1:3" x14ac:dyDescent="0.3">
      <c r="A1574" t="s">
        <v>1632</v>
      </c>
      <c r="B1574">
        <f>IF(ISNUMBER(SEARCH(Form!$C$11,Tabel2[[#This Row],[Coordinate Projection System]])),MAX($B$1:B1573)+1,0)</f>
        <v>1573</v>
      </c>
      <c r="C1574" t="str">
        <f t="shared" si="24"/>
        <v>NAD83 / Texas Centric Albers Equal Area</v>
      </c>
    </row>
    <row r="1575" spans="1:3" x14ac:dyDescent="0.3">
      <c r="A1575" t="s">
        <v>1633</v>
      </c>
      <c r="B1575">
        <f>IF(ISNUMBER(SEARCH(Form!$C$11,Tabel2[[#This Row],[Coordinate Projection System]])),MAX($B$1:B1574)+1,0)</f>
        <v>1574</v>
      </c>
      <c r="C1575" t="str">
        <f t="shared" si="24"/>
        <v>NAD83(HARN) / Texas Centric Lambert Conformal</v>
      </c>
    </row>
    <row r="1576" spans="1:3" x14ac:dyDescent="0.3">
      <c r="A1576" t="s">
        <v>1634</v>
      </c>
      <c r="B1576">
        <f>IF(ISNUMBER(SEARCH(Form!$C$11,Tabel2[[#This Row],[Coordinate Projection System]])),MAX($B$1:B1575)+1,0)</f>
        <v>1575</v>
      </c>
      <c r="C1576" t="str">
        <f t="shared" si="24"/>
        <v>NAD83(HARN) / Texas Centric Albers Equal Area</v>
      </c>
    </row>
    <row r="1577" spans="1:3" x14ac:dyDescent="0.3">
      <c r="A1577" t="s">
        <v>1635</v>
      </c>
      <c r="B1577">
        <f>IF(ISNUMBER(SEARCH(Form!$C$11,Tabel2[[#This Row],[Coordinate Projection System]])),MAX($B$1:B1576)+1,0)</f>
        <v>1576</v>
      </c>
      <c r="C1577" t="str">
        <f t="shared" si="24"/>
        <v>NAD83 / Florida GDL Albers</v>
      </c>
    </row>
    <row r="1578" spans="1:3" x14ac:dyDescent="0.3">
      <c r="A1578" t="s">
        <v>1636</v>
      </c>
      <c r="B1578">
        <f>IF(ISNUMBER(SEARCH(Form!$C$11,Tabel2[[#This Row],[Coordinate Projection System]])),MAX($B$1:B1577)+1,0)</f>
        <v>1577</v>
      </c>
      <c r="C1578" t="str">
        <f t="shared" si="24"/>
        <v>NAD83(HARN) / Florida GDL Albers</v>
      </c>
    </row>
    <row r="1579" spans="1:3" x14ac:dyDescent="0.3">
      <c r="A1579" t="s">
        <v>1637</v>
      </c>
      <c r="B1579">
        <f>IF(ISNUMBER(SEARCH(Form!$C$11,Tabel2[[#This Row],[Coordinate Projection System]])),MAX($B$1:B1578)+1,0)</f>
        <v>1578</v>
      </c>
      <c r="C1579" t="str">
        <f t="shared" si="24"/>
        <v>NAD83 / Kentucky Single Zone</v>
      </c>
    </row>
    <row r="1580" spans="1:3" x14ac:dyDescent="0.3">
      <c r="A1580" t="s">
        <v>1638</v>
      </c>
      <c r="B1580">
        <f>IF(ISNUMBER(SEARCH(Form!$C$11,Tabel2[[#This Row],[Coordinate Projection System]])),MAX($B$1:B1579)+1,0)</f>
        <v>1579</v>
      </c>
      <c r="C1580" t="str">
        <f t="shared" si="24"/>
        <v>NAD83 / Kentucky Single Zone (ftUS)</v>
      </c>
    </row>
    <row r="1581" spans="1:3" x14ac:dyDescent="0.3">
      <c r="A1581" t="s">
        <v>1639</v>
      </c>
      <c r="B1581">
        <f>IF(ISNUMBER(SEARCH(Form!$C$11,Tabel2[[#This Row],[Coordinate Projection System]])),MAX($B$1:B1580)+1,0)</f>
        <v>1580</v>
      </c>
      <c r="C1581" t="str">
        <f t="shared" si="24"/>
        <v>NAD83(HARN) / Kentucky Single Zone</v>
      </c>
    </row>
    <row r="1582" spans="1:3" x14ac:dyDescent="0.3">
      <c r="A1582" t="s">
        <v>1640</v>
      </c>
      <c r="B1582">
        <f>IF(ISNUMBER(SEARCH(Form!$C$11,Tabel2[[#This Row],[Coordinate Projection System]])),MAX($B$1:B1581)+1,0)</f>
        <v>1581</v>
      </c>
      <c r="C1582" t="str">
        <f t="shared" si="24"/>
        <v>NAD83(HARN) / Kentucky Single Zone (ftUS)</v>
      </c>
    </row>
    <row r="1583" spans="1:3" x14ac:dyDescent="0.3">
      <c r="A1583" t="s">
        <v>1641</v>
      </c>
      <c r="B1583">
        <f>IF(ISNUMBER(SEARCH(Form!$C$11,Tabel2[[#This Row],[Coordinate Projection System]])),MAX($B$1:B1582)+1,0)</f>
        <v>1582</v>
      </c>
      <c r="C1583" t="str">
        <f t="shared" si="24"/>
        <v>Tokyo / UTM zone 51N</v>
      </c>
    </row>
    <row r="1584" spans="1:3" x14ac:dyDescent="0.3">
      <c r="A1584" t="s">
        <v>1642</v>
      </c>
      <c r="B1584">
        <f>IF(ISNUMBER(SEARCH(Form!$C$11,Tabel2[[#This Row],[Coordinate Projection System]])),MAX($B$1:B1583)+1,0)</f>
        <v>1583</v>
      </c>
      <c r="C1584" t="str">
        <f t="shared" si="24"/>
        <v>Tokyo / UTM zone 52N</v>
      </c>
    </row>
    <row r="1585" spans="1:3" x14ac:dyDescent="0.3">
      <c r="A1585" t="s">
        <v>1643</v>
      </c>
      <c r="B1585">
        <f>IF(ISNUMBER(SEARCH(Form!$C$11,Tabel2[[#This Row],[Coordinate Projection System]])),MAX($B$1:B1584)+1,0)</f>
        <v>1584</v>
      </c>
      <c r="C1585" t="str">
        <f t="shared" si="24"/>
        <v>Tokyo / UTM zone 53N</v>
      </c>
    </row>
    <row r="1586" spans="1:3" x14ac:dyDescent="0.3">
      <c r="A1586" t="s">
        <v>1644</v>
      </c>
      <c r="B1586">
        <f>IF(ISNUMBER(SEARCH(Form!$C$11,Tabel2[[#This Row],[Coordinate Projection System]])),MAX($B$1:B1585)+1,0)</f>
        <v>1585</v>
      </c>
      <c r="C1586" t="str">
        <f t="shared" si="24"/>
        <v>Tokyo / UTM zone 54N</v>
      </c>
    </row>
    <row r="1587" spans="1:3" x14ac:dyDescent="0.3">
      <c r="A1587" t="s">
        <v>1645</v>
      </c>
      <c r="B1587">
        <f>IF(ISNUMBER(SEARCH(Form!$C$11,Tabel2[[#This Row],[Coordinate Projection System]])),MAX($B$1:B1586)+1,0)</f>
        <v>1586</v>
      </c>
      <c r="C1587" t="str">
        <f t="shared" si="24"/>
        <v>Tokyo / UTM zone 55N</v>
      </c>
    </row>
    <row r="1588" spans="1:3" x14ac:dyDescent="0.3">
      <c r="A1588" t="s">
        <v>1646</v>
      </c>
      <c r="B1588">
        <f>IF(ISNUMBER(SEARCH(Form!$C$11,Tabel2[[#This Row],[Coordinate Projection System]])),MAX($B$1:B1587)+1,0)</f>
        <v>1587</v>
      </c>
      <c r="C1588" t="str">
        <f t="shared" si="24"/>
        <v>JGD2000 / UTM zone 51N</v>
      </c>
    </row>
    <row r="1589" spans="1:3" x14ac:dyDescent="0.3">
      <c r="A1589" t="s">
        <v>1647</v>
      </c>
      <c r="B1589">
        <f>IF(ISNUMBER(SEARCH(Form!$C$11,Tabel2[[#This Row],[Coordinate Projection System]])),MAX($B$1:B1588)+1,0)</f>
        <v>1588</v>
      </c>
      <c r="C1589" t="str">
        <f t="shared" si="24"/>
        <v>JGD2000 / UTM zone 52N</v>
      </c>
    </row>
    <row r="1590" spans="1:3" x14ac:dyDescent="0.3">
      <c r="A1590" t="s">
        <v>1648</v>
      </c>
      <c r="B1590">
        <f>IF(ISNUMBER(SEARCH(Form!$C$11,Tabel2[[#This Row],[Coordinate Projection System]])),MAX($B$1:B1589)+1,0)</f>
        <v>1589</v>
      </c>
      <c r="C1590" t="str">
        <f t="shared" si="24"/>
        <v>JGD2000 / UTM zone 53N</v>
      </c>
    </row>
    <row r="1591" spans="1:3" x14ac:dyDescent="0.3">
      <c r="A1591" t="s">
        <v>1649</v>
      </c>
      <c r="B1591">
        <f>IF(ISNUMBER(SEARCH(Form!$C$11,Tabel2[[#This Row],[Coordinate Projection System]])),MAX($B$1:B1590)+1,0)</f>
        <v>1590</v>
      </c>
      <c r="C1591" t="str">
        <f t="shared" si="24"/>
        <v>JGD2000 / UTM zone 54N</v>
      </c>
    </row>
    <row r="1592" spans="1:3" x14ac:dyDescent="0.3">
      <c r="A1592" t="s">
        <v>1650</v>
      </c>
      <c r="B1592">
        <f>IF(ISNUMBER(SEARCH(Form!$C$11,Tabel2[[#This Row],[Coordinate Projection System]])),MAX($B$1:B1591)+1,0)</f>
        <v>1591</v>
      </c>
      <c r="C1592" t="str">
        <f t="shared" si="24"/>
        <v>JGD2000 / UTM zone 55N</v>
      </c>
    </row>
    <row r="1593" spans="1:3" x14ac:dyDescent="0.3">
      <c r="A1593" t="s">
        <v>1651</v>
      </c>
      <c r="B1593">
        <f>IF(ISNUMBER(SEARCH(Form!$C$11,Tabel2[[#This Row],[Coordinate Projection System]])),MAX($B$1:B1592)+1,0)</f>
        <v>1592</v>
      </c>
      <c r="C1593" t="str">
        <f t="shared" si="24"/>
        <v>American Samoa 1962 / American Samoa Lambert</v>
      </c>
    </row>
    <row r="1594" spans="1:3" x14ac:dyDescent="0.3">
      <c r="A1594" t="s">
        <v>1652</v>
      </c>
      <c r="B1594">
        <f>IF(ISNUMBER(SEARCH(Form!$C$11,Tabel2[[#This Row],[Coordinate Projection System]])),MAX($B$1:B1593)+1,0)</f>
        <v>1593</v>
      </c>
      <c r="C1594" t="str">
        <f t="shared" si="24"/>
        <v>Mauritania 1999 / UTM zone 28N (deprecated)</v>
      </c>
    </row>
    <row r="1595" spans="1:3" x14ac:dyDescent="0.3">
      <c r="A1595" t="s">
        <v>1653</v>
      </c>
      <c r="B1595">
        <f>IF(ISNUMBER(SEARCH(Form!$C$11,Tabel2[[#This Row],[Coordinate Projection System]])),MAX($B$1:B1594)+1,0)</f>
        <v>1594</v>
      </c>
      <c r="C1595" t="str">
        <f t="shared" si="24"/>
        <v>Mauritania 1999 / UTM zone 29N (deprecated)</v>
      </c>
    </row>
    <row r="1596" spans="1:3" x14ac:dyDescent="0.3">
      <c r="A1596" t="s">
        <v>1654</v>
      </c>
      <c r="B1596">
        <f>IF(ISNUMBER(SEARCH(Form!$C$11,Tabel2[[#This Row],[Coordinate Projection System]])),MAX($B$1:B1595)+1,0)</f>
        <v>1595</v>
      </c>
      <c r="C1596" t="str">
        <f t="shared" si="24"/>
        <v>Mauritania 1999 / UTM zone 30N (deprecated)</v>
      </c>
    </row>
    <row r="1597" spans="1:3" x14ac:dyDescent="0.3">
      <c r="A1597" t="s">
        <v>1655</v>
      </c>
      <c r="B1597">
        <f>IF(ISNUMBER(SEARCH(Form!$C$11,Tabel2[[#This Row],[Coordinate Projection System]])),MAX($B$1:B1596)+1,0)</f>
        <v>1596</v>
      </c>
      <c r="C1597" t="str">
        <f t="shared" si="24"/>
        <v>Gulshan 303 / Bangladesh Transverse Mercator</v>
      </c>
    </row>
    <row r="1598" spans="1:3" x14ac:dyDescent="0.3">
      <c r="A1598" t="s">
        <v>1656</v>
      </c>
      <c r="B1598">
        <f>IF(ISNUMBER(SEARCH(Form!$C$11,Tabel2[[#This Row],[Coordinate Projection System]])),MAX($B$1:B1597)+1,0)</f>
        <v>1597</v>
      </c>
      <c r="C1598" t="str">
        <f t="shared" si="24"/>
        <v>GDA94 / SA Lambert</v>
      </c>
    </row>
    <row r="1599" spans="1:3" x14ac:dyDescent="0.3">
      <c r="A1599" t="s">
        <v>1657</v>
      </c>
      <c r="B1599">
        <f>IF(ISNUMBER(SEARCH(Form!$C$11,Tabel2[[#This Row],[Coordinate Projection System]])),MAX($B$1:B1598)+1,0)</f>
        <v>1598</v>
      </c>
      <c r="C1599" t="str">
        <f t="shared" si="24"/>
        <v>ETRS89 / Guernsey Grid</v>
      </c>
    </row>
    <row r="1600" spans="1:3" x14ac:dyDescent="0.3">
      <c r="A1600" t="s">
        <v>1658</v>
      </c>
      <c r="B1600">
        <f>IF(ISNUMBER(SEARCH(Form!$C$11,Tabel2[[#This Row],[Coordinate Projection System]])),MAX($B$1:B1599)+1,0)</f>
        <v>1599</v>
      </c>
      <c r="C1600" t="str">
        <f t="shared" si="24"/>
        <v>ETRS89 / Jersey Transverse Mercator</v>
      </c>
    </row>
    <row r="1601" spans="1:3" x14ac:dyDescent="0.3">
      <c r="A1601" t="s">
        <v>1659</v>
      </c>
      <c r="B1601">
        <f>IF(ISNUMBER(SEARCH(Form!$C$11,Tabel2[[#This Row],[Coordinate Projection System]])),MAX($B$1:B1600)+1,0)</f>
        <v>1600</v>
      </c>
      <c r="C1601" t="str">
        <f t="shared" si="24"/>
        <v>AGD66 / Vicgrid66</v>
      </c>
    </row>
    <row r="1602" spans="1:3" x14ac:dyDescent="0.3">
      <c r="A1602" t="s">
        <v>1660</v>
      </c>
      <c r="B1602">
        <f>IF(ISNUMBER(SEARCH(Form!$C$11,Tabel2[[#This Row],[Coordinate Projection System]])),MAX($B$1:B1601)+1,0)</f>
        <v>1601</v>
      </c>
      <c r="C1602" t="str">
        <f t="shared" si="24"/>
        <v>GDA94 / Vicgrid94</v>
      </c>
    </row>
    <row r="1603" spans="1:3" x14ac:dyDescent="0.3">
      <c r="A1603" t="s">
        <v>1661</v>
      </c>
      <c r="B1603">
        <f>IF(ISNUMBER(SEARCH(Form!$C$11,Tabel2[[#This Row],[Coordinate Projection System]])),MAX($B$1:B1602)+1,0)</f>
        <v>1602</v>
      </c>
      <c r="C1603" t="str">
        <f t="shared" ref="C1603:C1666" si="25">_xlfn.IFNA(INDEX(A1603:A7114,MATCH(ROW(C1602),B1603:B7114,0)),"")</f>
        <v>GDA94 / Geoscience Australia Lambert</v>
      </c>
    </row>
    <row r="1604" spans="1:3" x14ac:dyDescent="0.3">
      <c r="A1604" t="s">
        <v>1662</v>
      </c>
      <c r="B1604">
        <f>IF(ISNUMBER(SEARCH(Form!$C$11,Tabel2[[#This Row],[Coordinate Projection System]])),MAX($B$1:B1603)+1,0)</f>
        <v>1603</v>
      </c>
      <c r="C1604" t="str">
        <f t="shared" si="25"/>
        <v>GDA94 / BCSG02</v>
      </c>
    </row>
    <row r="1605" spans="1:3" x14ac:dyDescent="0.3">
      <c r="A1605" t="s">
        <v>1663</v>
      </c>
      <c r="B1605">
        <f>IF(ISNUMBER(SEARCH(Form!$C$11,Tabel2[[#This Row],[Coordinate Projection System]])),MAX($B$1:B1604)+1,0)</f>
        <v>1604</v>
      </c>
      <c r="C1605" t="str">
        <f t="shared" si="25"/>
        <v>MAGNA-SIRGAS / Colombia Far West zone</v>
      </c>
    </row>
    <row r="1606" spans="1:3" x14ac:dyDescent="0.3">
      <c r="A1606" t="s">
        <v>1664</v>
      </c>
      <c r="B1606">
        <f>IF(ISNUMBER(SEARCH(Form!$C$11,Tabel2[[#This Row],[Coordinate Projection System]])),MAX($B$1:B1605)+1,0)</f>
        <v>1605</v>
      </c>
      <c r="C1606" t="str">
        <f t="shared" si="25"/>
        <v>MAGNA-SIRGAS / Colombia West zone</v>
      </c>
    </row>
    <row r="1607" spans="1:3" x14ac:dyDescent="0.3">
      <c r="A1607" t="s">
        <v>1665</v>
      </c>
      <c r="B1607">
        <f>IF(ISNUMBER(SEARCH(Form!$C$11,Tabel2[[#This Row],[Coordinate Projection System]])),MAX($B$1:B1606)+1,0)</f>
        <v>1606</v>
      </c>
      <c r="C1607" t="str">
        <f t="shared" si="25"/>
        <v>MAGNA-SIRGAS / Colombia Bogota zone</v>
      </c>
    </row>
    <row r="1608" spans="1:3" x14ac:dyDescent="0.3">
      <c r="A1608" t="s">
        <v>1666</v>
      </c>
      <c r="B1608">
        <f>IF(ISNUMBER(SEARCH(Form!$C$11,Tabel2[[#This Row],[Coordinate Projection System]])),MAX($B$1:B1607)+1,0)</f>
        <v>1607</v>
      </c>
      <c r="C1608" t="str">
        <f t="shared" si="25"/>
        <v>MAGNA-SIRGAS / Colombia East Central zone</v>
      </c>
    </row>
    <row r="1609" spans="1:3" x14ac:dyDescent="0.3">
      <c r="A1609" t="s">
        <v>1667</v>
      </c>
      <c r="B1609">
        <f>IF(ISNUMBER(SEARCH(Form!$C$11,Tabel2[[#This Row],[Coordinate Projection System]])),MAX($B$1:B1608)+1,0)</f>
        <v>1608</v>
      </c>
      <c r="C1609" t="str">
        <f t="shared" si="25"/>
        <v>MAGNA-SIRGAS / Colombia East zone</v>
      </c>
    </row>
    <row r="1610" spans="1:3" x14ac:dyDescent="0.3">
      <c r="A1610" t="s">
        <v>1668</v>
      </c>
      <c r="B1610">
        <f>IF(ISNUMBER(SEARCH(Form!$C$11,Tabel2[[#This Row],[Coordinate Projection System]])),MAX($B$1:B1609)+1,0)</f>
        <v>1609</v>
      </c>
      <c r="C1610" t="str">
        <f t="shared" si="25"/>
        <v>Douala 1948 / AEF west</v>
      </c>
    </row>
    <row r="1611" spans="1:3" x14ac:dyDescent="0.3">
      <c r="A1611" t="s">
        <v>1669</v>
      </c>
      <c r="B1611">
        <f>IF(ISNUMBER(SEARCH(Form!$C$11,Tabel2[[#This Row],[Coordinate Projection System]])),MAX($B$1:B1610)+1,0)</f>
        <v>1610</v>
      </c>
      <c r="C1611" t="str">
        <f t="shared" si="25"/>
        <v>Pulkovo 1942(58) / Poland zone I</v>
      </c>
    </row>
    <row r="1612" spans="1:3" x14ac:dyDescent="0.3">
      <c r="A1612" t="s">
        <v>1670</v>
      </c>
      <c r="B1612">
        <f>IF(ISNUMBER(SEARCH(Form!$C$11,Tabel2[[#This Row],[Coordinate Projection System]])),MAX($B$1:B1611)+1,0)</f>
        <v>1611</v>
      </c>
      <c r="C1612" t="str">
        <f t="shared" si="25"/>
        <v>PRS92 / Philippines zone 1</v>
      </c>
    </row>
    <row r="1613" spans="1:3" x14ac:dyDescent="0.3">
      <c r="A1613" t="s">
        <v>1671</v>
      </c>
      <c r="B1613">
        <f>IF(ISNUMBER(SEARCH(Form!$C$11,Tabel2[[#This Row],[Coordinate Projection System]])),MAX($B$1:B1612)+1,0)</f>
        <v>1612</v>
      </c>
      <c r="C1613" t="str">
        <f t="shared" si="25"/>
        <v>PRS92 / Philippines zone 2</v>
      </c>
    </row>
    <row r="1614" spans="1:3" x14ac:dyDescent="0.3">
      <c r="A1614" t="s">
        <v>1672</v>
      </c>
      <c r="B1614">
        <f>IF(ISNUMBER(SEARCH(Form!$C$11,Tabel2[[#This Row],[Coordinate Projection System]])),MAX($B$1:B1613)+1,0)</f>
        <v>1613</v>
      </c>
      <c r="C1614" t="str">
        <f t="shared" si="25"/>
        <v>PRS92 / Philippines zone 3</v>
      </c>
    </row>
    <row r="1615" spans="1:3" x14ac:dyDescent="0.3">
      <c r="A1615" t="s">
        <v>1673</v>
      </c>
      <c r="B1615">
        <f>IF(ISNUMBER(SEARCH(Form!$C$11,Tabel2[[#This Row],[Coordinate Projection System]])),MAX($B$1:B1614)+1,0)</f>
        <v>1614</v>
      </c>
      <c r="C1615" t="str">
        <f t="shared" si="25"/>
        <v>PRS92 / Philippines zone 4</v>
      </c>
    </row>
    <row r="1616" spans="1:3" x14ac:dyDescent="0.3">
      <c r="A1616" t="s">
        <v>1674</v>
      </c>
      <c r="B1616">
        <f>IF(ISNUMBER(SEARCH(Form!$C$11,Tabel2[[#This Row],[Coordinate Projection System]])),MAX($B$1:B1615)+1,0)</f>
        <v>1615</v>
      </c>
      <c r="C1616" t="str">
        <f t="shared" si="25"/>
        <v>PRS92 / Philippines zone 5</v>
      </c>
    </row>
    <row r="1617" spans="1:3" x14ac:dyDescent="0.3">
      <c r="A1617" t="s">
        <v>1675</v>
      </c>
      <c r="B1617">
        <f>IF(ISNUMBER(SEARCH(Form!$C$11,Tabel2[[#This Row],[Coordinate Projection System]])),MAX($B$1:B1616)+1,0)</f>
        <v>1616</v>
      </c>
      <c r="C1617" t="str">
        <f t="shared" si="25"/>
        <v>ETRS89 / ETRS-GK19FIN</v>
      </c>
    </row>
    <row r="1618" spans="1:3" x14ac:dyDescent="0.3">
      <c r="A1618" t="s">
        <v>1676</v>
      </c>
      <c r="B1618">
        <f>IF(ISNUMBER(SEARCH(Form!$C$11,Tabel2[[#This Row],[Coordinate Projection System]])),MAX($B$1:B1617)+1,0)</f>
        <v>1617</v>
      </c>
      <c r="C1618" t="str">
        <f t="shared" si="25"/>
        <v>ETRS89 / ETRS-GK20FIN</v>
      </c>
    </row>
    <row r="1619" spans="1:3" x14ac:dyDescent="0.3">
      <c r="A1619" t="s">
        <v>1677</v>
      </c>
      <c r="B1619">
        <f>IF(ISNUMBER(SEARCH(Form!$C$11,Tabel2[[#This Row],[Coordinate Projection System]])),MAX($B$1:B1618)+1,0)</f>
        <v>1618</v>
      </c>
      <c r="C1619" t="str">
        <f t="shared" si="25"/>
        <v>ETRS89 / ETRS-GK21FIN</v>
      </c>
    </row>
    <row r="1620" spans="1:3" x14ac:dyDescent="0.3">
      <c r="A1620" t="s">
        <v>1678</v>
      </c>
      <c r="B1620">
        <f>IF(ISNUMBER(SEARCH(Form!$C$11,Tabel2[[#This Row],[Coordinate Projection System]])),MAX($B$1:B1619)+1,0)</f>
        <v>1619</v>
      </c>
      <c r="C1620" t="str">
        <f t="shared" si="25"/>
        <v>ETRS89 / ETRS-GK22FIN</v>
      </c>
    </row>
    <row r="1621" spans="1:3" x14ac:dyDescent="0.3">
      <c r="A1621" t="s">
        <v>1679</v>
      </c>
      <c r="B1621">
        <f>IF(ISNUMBER(SEARCH(Form!$C$11,Tabel2[[#This Row],[Coordinate Projection System]])),MAX($B$1:B1620)+1,0)</f>
        <v>1620</v>
      </c>
      <c r="C1621" t="str">
        <f t="shared" si="25"/>
        <v>ETRS89 / ETRS-GK23FIN</v>
      </c>
    </row>
    <row r="1622" spans="1:3" x14ac:dyDescent="0.3">
      <c r="A1622" t="s">
        <v>1680</v>
      </c>
      <c r="B1622">
        <f>IF(ISNUMBER(SEARCH(Form!$C$11,Tabel2[[#This Row],[Coordinate Projection System]])),MAX($B$1:B1621)+1,0)</f>
        <v>1621</v>
      </c>
      <c r="C1622" t="str">
        <f t="shared" si="25"/>
        <v>ETRS89 / ETRS-GK24FIN</v>
      </c>
    </row>
    <row r="1623" spans="1:3" x14ac:dyDescent="0.3">
      <c r="A1623" t="s">
        <v>1681</v>
      </c>
      <c r="B1623">
        <f>IF(ISNUMBER(SEARCH(Form!$C$11,Tabel2[[#This Row],[Coordinate Projection System]])),MAX($B$1:B1622)+1,0)</f>
        <v>1622</v>
      </c>
      <c r="C1623" t="str">
        <f t="shared" si="25"/>
        <v>ETRS89 / ETRS-GK25FIN</v>
      </c>
    </row>
    <row r="1624" spans="1:3" x14ac:dyDescent="0.3">
      <c r="A1624" t="s">
        <v>1682</v>
      </c>
      <c r="B1624">
        <f>IF(ISNUMBER(SEARCH(Form!$C$11,Tabel2[[#This Row],[Coordinate Projection System]])),MAX($B$1:B1623)+1,0)</f>
        <v>1623</v>
      </c>
      <c r="C1624" t="str">
        <f t="shared" si="25"/>
        <v>ETRS89 / ETRS-GK26FIN</v>
      </c>
    </row>
    <row r="1625" spans="1:3" x14ac:dyDescent="0.3">
      <c r="A1625" t="s">
        <v>1683</v>
      </c>
      <c r="B1625">
        <f>IF(ISNUMBER(SEARCH(Form!$C$11,Tabel2[[#This Row],[Coordinate Projection System]])),MAX($B$1:B1624)+1,0)</f>
        <v>1624</v>
      </c>
      <c r="C1625" t="str">
        <f t="shared" si="25"/>
        <v>ETRS89 / ETRS-GK27FIN</v>
      </c>
    </row>
    <row r="1626" spans="1:3" x14ac:dyDescent="0.3">
      <c r="A1626" t="s">
        <v>1684</v>
      </c>
      <c r="B1626">
        <f>IF(ISNUMBER(SEARCH(Form!$C$11,Tabel2[[#This Row],[Coordinate Projection System]])),MAX($B$1:B1625)+1,0)</f>
        <v>1625</v>
      </c>
      <c r="C1626" t="str">
        <f t="shared" si="25"/>
        <v>ETRS89 / ETRS-GK28FIN</v>
      </c>
    </row>
    <row r="1627" spans="1:3" x14ac:dyDescent="0.3">
      <c r="A1627" t="s">
        <v>1685</v>
      </c>
      <c r="B1627">
        <f>IF(ISNUMBER(SEARCH(Form!$C$11,Tabel2[[#This Row],[Coordinate Projection System]])),MAX($B$1:B1626)+1,0)</f>
        <v>1626</v>
      </c>
      <c r="C1627" t="str">
        <f t="shared" si="25"/>
        <v>ETRS89 / ETRS-GK29FIN</v>
      </c>
    </row>
    <row r="1628" spans="1:3" x14ac:dyDescent="0.3">
      <c r="A1628" t="s">
        <v>1686</v>
      </c>
      <c r="B1628">
        <f>IF(ISNUMBER(SEARCH(Form!$C$11,Tabel2[[#This Row],[Coordinate Projection System]])),MAX($B$1:B1627)+1,0)</f>
        <v>1627</v>
      </c>
      <c r="C1628" t="str">
        <f t="shared" si="25"/>
        <v>ETRS89 / ETRS-GK30FIN</v>
      </c>
    </row>
    <row r="1629" spans="1:3" x14ac:dyDescent="0.3">
      <c r="A1629" t="s">
        <v>1687</v>
      </c>
      <c r="B1629">
        <f>IF(ISNUMBER(SEARCH(Form!$C$11,Tabel2[[#This Row],[Coordinate Projection System]])),MAX($B$1:B1628)+1,0)</f>
        <v>1628</v>
      </c>
      <c r="C1629" t="str">
        <f t="shared" si="25"/>
        <v>ETRS89 / ETRS-GK31FIN</v>
      </c>
    </row>
    <row r="1630" spans="1:3" x14ac:dyDescent="0.3">
      <c r="A1630" t="s">
        <v>1688</v>
      </c>
      <c r="B1630">
        <f>IF(ISNUMBER(SEARCH(Form!$C$11,Tabel2[[#This Row],[Coordinate Projection System]])),MAX($B$1:B1629)+1,0)</f>
        <v>1629</v>
      </c>
      <c r="C1630" t="str">
        <f t="shared" si="25"/>
        <v>Vanua Levu 1915 / Vanua Levu GridUnable to translate coordinate system EPSG:3139 into PROJ.4 format.</v>
      </c>
    </row>
    <row r="1631" spans="1:3" x14ac:dyDescent="0.3">
      <c r="A1631" t="s">
        <v>1689</v>
      </c>
      <c r="B1631">
        <f>IF(ISNUMBER(SEARCH(Form!$C$11,Tabel2[[#This Row],[Coordinate Projection System]])),MAX($B$1:B1630)+1,0)</f>
        <v>1630</v>
      </c>
      <c r="C1631" t="str">
        <f t="shared" si="25"/>
        <v>Viti Levu 1912 / Viti Levu Grid</v>
      </c>
    </row>
    <row r="1632" spans="1:3" x14ac:dyDescent="0.3">
      <c r="A1632" t="s">
        <v>1690</v>
      </c>
      <c r="B1632">
        <f>IF(ISNUMBER(SEARCH(Form!$C$11,Tabel2[[#This Row],[Coordinate Projection System]])),MAX($B$1:B1631)+1,0)</f>
        <v>1631</v>
      </c>
      <c r="C1632" t="str">
        <f t="shared" si="25"/>
        <v>Fiji 1956 / UTM zone 60S</v>
      </c>
    </row>
    <row r="1633" spans="1:3" x14ac:dyDescent="0.3">
      <c r="A1633" t="s">
        <v>1691</v>
      </c>
      <c r="B1633">
        <f>IF(ISNUMBER(SEARCH(Form!$C$11,Tabel2[[#This Row],[Coordinate Projection System]])),MAX($B$1:B1632)+1,0)</f>
        <v>1632</v>
      </c>
      <c r="C1633" t="str">
        <f t="shared" si="25"/>
        <v>Fiji 1956 / UTM zone 1S</v>
      </c>
    </row>
    <row r="1634" spans="1:3" x14ac:dyDescent="0.3">
      <c r="A1634" t="s">
        <v>1692</v>
      </c>
      <c r="B1634">
        <f>IF(ISNUMBER(SEARCH(Form!$C$11,Tabel2[[#This Row],[Coordinate Projection System]])),MAX($B$1:B1633)+1,0)</f>
        <v>1633</v>
      </c>
      <c r="C1634" t="str">
        <f t="shared" si="25"/>
        <v>Fiji 1986 / Fiji Map Grid (deprecated)</v>
      </c>
    </row>
    <row r="1635" spans="1:3" x14ac:dyDescent="0.3">
      <c r="A1635" t="s">
        <v>1693</v>
      </c>
      <c r="B1635">
        <f>IF(ISNUMBER(SEARCH(Form!$C$11,Tabel2[[#This Row],[Coordinate Projection System]])),MAX($B$1:B1634)+1,0)</f>
        <v>1634</v>
      </c>
      <c r="C1635" t="str">
        <f t="shared" si="25"/>
        <v>FD54 / Faroe LambertUnable to translate coordinate system EPSG:3144 into PROJ.4 format.</v>
      </c>
    </row>
    <row r="1636" spans="1:3" x14ac:dyDescent="0.3">
      <c r="A1636" t="s">
        <v>1694</v>
      </c>
      <c r="B1636">
        <f>IF(ISNUMBER(SEARCH(Form!$C$11,Tabel2[[#This Row],[Coordinate Projection System]])),MAX($B$1:B1635)+1,0)</f>
        <v>1635</v>
      </c>
      <c r="C1636" t="str">
        <f t="shared" si="25"/>
        <v>ETRS89 / Faroe LambertUnable to translate coordinate system EPSG:3145 into PROJ.4 format.</v>
      </c>
    </row>
    <row r="1637" spans="1:3" x14ac:dyDescent="0.3">
      <c r="A1637" t="s">
        <v>1695</v>
      </c>
      <c r="B1637">
        <f>IF(ISNUMBER(SEARCH(Form!$C$11,Tabel2[[#This Row],[Coordinate Projection System]])),MAX($B$1:B1636)+1,0)</f>
        <v>1636</v>
      </c>
      <c r="C1637" t="str">
        <f t="shared" si="25"/>
        <v>Pulkovo 1942 / 3-degree Gauss-Kruger zone 6 (deprecated)</v>
      </c>
    </row>
    <row r="1638" spans="1:3" x14ac:dyDescent="0.3">
      <c r="A1638" t="s">
        <v>1696</v>
      </c>
      <c r="B1638">
        <f>IF(ISNUMBER(SEARCH(Form!$C$11,Tabel2[[#This Row],[Coordinate Projection System]])),MAX($B$1:B1637)+1,0)</f>
        <v>1637</v>
      </c>
      <c r="C1638" t="str">
        <f t="shared" si="25"/>
        <v>Pulkovo 1942 / 3-degree Gauss-Kruger CM 18E (deprecated)</v>
      </c>
    </row>
    <row r="1639" spans="1:3" x14ac:dyDescent="0.3">
      <c r="A1639" t="s">
        <v>1697</v>
      </c>
      <c r="B1639">
        <f>IF(ISNUMBER(SEARCH(Form!$C$11,Tabel2[[#This Row],[Coordinate Projection System]])),MAX($B$1:B1638)+1,0)</f>
        <v>1638</v>
      </c>
      <c r="C1639" t="str">
        <f t="shared" si="25"/>
        <v>Indian 1960 / UTM zone 48N</v>
      </c>
    </row>
    <row r="1640" spans="1:3" x14ac:dyDescent="0.3">
      <c r="A1640" t="s">
        <v>1698</v>
      </c>
      <c r="B1640">
        <f>IF(ISNUMBER(SEARCH(Form!$C$11,Tabel2[[#This Row],[Coordinate Projection System]])),MAX($B$1:B1639)+1,0)</f>
        <v>1639</v>
      </c>
      <c r="C1640" t="str">
        <f t="shared" si="25"/>
        <v>Indian 1960 / UTM zone 49N</v>
      </c>
    </row>
    <row r="1641" spans="1:3" x14ac:dyDescent="0.3">
      <c r="A1641" t="s">
        <v>1699</v>
      </c>
      <c r="B1641">
        <f>IF(ISNUMBER(SEARCH(Form!$C$11,Tabel2[[#This Row],[Coordinate Projection System]])),MAX($B$1:B1640)+1,0)</f>
        <v>1640</v>
      </c>
      <c r="C1641" t="str">
        <f t="shared" si="25"/>
        <v>Pulkovo 1995 / 3-degree Gauss-Kruger zone 6 (deprecated)</v>
      </c>
    </row>
    <row r="1642" spans="1:3" x14ac:dyDescent="0.3">
      <c r="A1642" t="s">
        <v>1700</v>
      </c>
      <c r="B1642">
        <f>IF(ISNUMBER(SEARCH(Form!$C$11,Tabel2[[#This Row],[Coordinate Projection System]])),MAX($B$1:B1641)+1,0)</f>
        <v>1641</v>
      </c>
      <c r="C1642" t="str">
        <f t="shared" si="25"/>
        <v>Pulkovo 1995 / 3-degree Gauss-Kruger CM 18E (deprecated)</v>
      </c>
    </row>
    <row r="1643" spans="1:3" x14ac:dyDescent="0.3">
      <c r="A1643" t="s">
        <v>1701</v>
      </c>
      <c r="B1643">
        <f>IF(ISNUMBER(SEARCH(Form!$C$11,Tabel2[[#This Row],[Coordinate Projection System]])),MAX($B$1:B1642)+1,0)</f>
        <v>1642</v>
      </c>
      <c r="C1643" t="str">
        <f t="shared" si="25"/>
        <v>ST74</v>
      </c>
    </row>
    <row r="1644" spans="1:3" x14ac:dyDescent="0.3">
      <c r="A1644" t="s">
        <v>1702</v>
      </c>
      <c r="B1644">
        <f>IF(ISNUMBER(SEARCH(Form!$C$11,Tabel2[[#This Row],[Coordinate Projection System]])),MAX($B$1:B1643)+1,0)</f>
        <v>1643</v>
      </c>
      <c r="C1644" t="str">
        <f t="shared" si="25"/>
        <v>NAD83(CSRS) / BC Albers</v>
      </c>
    </row>
    <row r="1645" spans="1:3" x14ac:dyDescent="0.3">
      <c r="A1645" t="s">
        <v>1703</v>
      </c>
      <c r="B1645">
        <f>IF(ISNUMBER(SEARCH(Form!$C$11,Tabel2[[#This Row],[Coordinate Projection System]])),MAX($B$1:B1644)+1,0)</f>
        <v>1644</v>
      </c>
      <c r="C1645" t="str">
        <f t="shared" si="25"/>
        <v>NAD83(CSRS) / UTM zone 7N</v>
      </c>
    </row>
    <row r="1646" spans="1:3" x14ac:dyDescent="0.3">
      <c r="A1646" t="s">
        <v>1704</v>
      </c>
      <c r="B1646">
        <f>IF(ISNUMBER(SEARCH(Form!$C$11,Tabel2[[#This Row],[Coordinate Projection System]])),MAX($B$1:B1645)+1,0)</f>
        <v>1645</v>
      </c>
      <c r="C1646" t="str">
        <f t="shared" si="25"/>
        <v>NAD83(CSRS) / UTM zone 8N</v>
      </c>
    </row>
    <row r="1647" spans="1:3" x14ac:dyDescent="0.3">
      <c r="A1647" t="s">
        <v>1705</v>
      </c>
      <c r="B1647">
        <f>IF(ISNUMBER(SEARCH(Form!$C$11,Tabel2[[#This Row],[Coordinate Projection System]])),MAX($B$1:B1646)+1,0)</f>
        <v>1646</v>
      </c>
      <c r="C1647" t="str">
        <f t="shared" si="25"/>
        <v>NAD83(CSRS) / UTM zone 9N</v>
      </c>
    </row>
    <row r="1648" spans="1:3" x14ac:dyDescent="0.3">
      <c r="A1648" t="s">
        <v>1706</v>
      </c>
      <c r="B1648">
        <f>IF(ISNUMBER(SEARCH(Form!$C$11,Tabel2[[#This Row],[Coordinate Projection System]])),MAX($B$1:B1647)+1,0)</f>
        <v>1647</v>
      </c>
      <c r="C1648" t="str">
        <f t="shared" si="25"/>
        <v>NAD83(CSRS) / UTM zone 10N</v>
      </c>
    </row>
    <row r="1649" spans="1:3" x14ac:dyDescent="0.3">
      <c r="A1649" t="s">
        <v>1707</v>
      </c>
      <c r="B1649">
        <f>IF(ISNUMBER(SEARCH(Form!$C$11,Tabel2[[#This Row],[Coordinate Projection System]])),MAX($B$1:B1648)+1,0)</f>
        <v>1648</v>
      </c>
      <c r="C1649" t="str">
        <f t="shared" si="25"/>
        <v>NAD83(CSRS) / UTM zone 14N</v>
      </c>
    </row>
    <row r="1650" spans="1:3" x14ac:dyDescent="0.3">
      <c r="A1650" t="s">
        <v>1708</v>
      </c>
      <c r="B1650">
        <f>IF(ISNUMBER(SEARCH(Form!$C$11,Tabel2[[#This Row],[Coordinate Projection System]])),MAX($B$1:B1649)+1,0)</f>
        <v>1649</v>
      </c>
      <c r="C1650" t="str">
        <f t="shared" si="25"/>
        <v>NAD83(CSRS) / UTM zone 15N</v>
      </c>
    </row>
    <row r="1651" spans="1:3" x14ac:dyDescent="0.3">
      <c r="A1651" t="s">
        <v>1709</v>
      </c>
      <c r="B1651">
        <f>IF(ISNUMBER(SEARCH(Form!$C$11,Tabel2[[#This Row],[Coordinate Projection System]])),MAX($B$1:B1650)+1,0)</f>
        <v>1650</v>
      </c>
      <c r="C1651" t="str">
        <f t="shared" si="25"/>
        <v>NAD83(CSRS) / UTM zone 16N</v>
      </c>
    </row>
    <row r="1652" spans="1:3" x14ac:dyDescent="0.3">
      <c r="A1652" t="s">
        <v>1710</v>
      </c>
      <c r="B1652">
        <f>IF(ISNUMBER(SEARCH(Form!$C$11,Tabel2[[#This Row],[Coordinate Projection System]])),MAX($B$1:B1651)+1,0)</f>
        <v>1651</v>
      </c>
      <c r="C1652" t="str">
        <f t="shared" si="25"/>
        <v>NAD83 / Ontario MNR Lambert</v>
      </c>
    </row>
    <row r="1653" spans="1:3" x14ac:dyDescent="0.3">
      <c r="A1653" t="s">
        <v>1711</v>
      </c>
      <c r="B1653">
        <f>IF(ISNUMBER(SEARCH(Form!$C$11,Tabel2[[#This Row],[Coordinate Projection System]])),MAX($B$1:B1652)+1,0)</f>
        <v>1652</v>
      </c>
      <c r="C1653" t="str">
        <f t="shared" si="25"/>
        <v>NAD83(CSRS) / Ontario MNR Lambert</v>
      </c>
    </row>
    <row r="1654" spans="1:3" x14ac:dyDescent="0.3">
      <c r="A1654" t="s">
        <v>1712</v>
      </c>
      <c r="B1654">
        <f>IF(ISNUMBER(SEARCH(Form!$C$11,Tabel2[[#This Row],[Coordinate Projection System]])),MAX($B$1:B1653)+1,0)</f>
        <v>1653</v>
      </c>
      <c r="C1654" t="str">
        <f t="shared" si="25"/>
        <v>RGNC91-93 / Lambert New Caledonia</v>
      </c>
    </row>
    <row r="1655" spans="1:3" x14ac:dyDescent="0.3">
      <c r="A1655" t="s">
        <v>1713</v>
      </c>
      <c r="B1655">
        <f>IF(ISNUMBER(SEARCH(Form!$C$11,Tabel2[[#This Row],[Coordinate Projection System]])),MAX($B$1:B1654)+1,0)</f>
        <v>1654</v>
      </c>
      <c r="C1655" t="str">
        <f t="shared" si="25"/>
        <v>ST87 Ouvea / UTM zone 58S</v>
      </c>
    </row>
    <row r="1656" spans="1:3" x14ac:dyDescent="0.3">
      <c r="A1656" t="s">
        <v>1714</v>
      </c>
      <c r="B1656">
        <f>IF(ISNUMBER(SEARCH(Form!$C$11,Tabel2[[#This Row],[Coordinate Projection System]])),MAX($B$1:B1655)+1,0)</f>
        <v>1655</v>
      </c>
      <c r="C1656" t="str">
        <f t="shared" si="25"/>
        <v>NEA74 Noumea / Noumea Lambert</v>
      </c>
    </row>
    <row r="1657" spans="1:3" x14ac:dyDescent="0.3">
      <c r="A1657" t="s">
        <v>1715</v>
      </c>
      <c r="B1657">
        <f>IF(ISNUMBER(SEARCH(Form!$C$11,Tabel2[[#This Row],[Coordinate Projection System]])),MAX($B$1:B1656)+1,0)</f>
        <v>1656</v>
      </c>
      <c r="C1657" t="str">
        <f t="shared" si="25"/>
        <v>NEA74 Noumea / Noumea Lambert 2</v>
      </c>
    </row>
    <row r="1658" spans="1:3" x14ac:dyDescent="0.3">
      <c r="A1658" t="s">
        <v>1716</v>
      </c>
      <c r="B1658">
        <f>IF(ISNUMBER(SEARCH(Form!$C$11,Tabel2[[#This Row],[Coordinate Projection System]])),MAX($B$1:B1657)+1,0)</f>
        <v>1657</v>
      </c>
      <c r="C1658" t="str">
        <f t="shared" si="25"/>
        <v>Kertau (RSO) / RSO Malaya (ch)</v>
      </c>
    </row>
    <row r="1659" spans="1:3" x14ac:dyDescent="0.3">
      <c r="A1659" t="s">
        <v>1717</v>
      </c>
      <c r="B1659">
        <f>IF(ISNUMBER(SEARCH(Form!$C$11,Tabel2[[#This Row],[Coordinate Projection System]])),MAX($B$1:B1658)+1,0)</f>
        <v>1658</v>
      </c>
      <c r="C1659" t="str">
        <f t="shared" si="25"/>
        <v>Kertau (RSO) / RSO Malaya (m)</v>
      </c>
    </row>
    <row r="1660" spans="1:3" x14ac:dyDescent="0.3">
      <c r="A1660" t="s">
        <v>1718</v>
      </c>
      <c r="B1660">
        <f>IF(ISNUMBER(SEARCH(Form!$C$11,Tabel2[[#This Row],[Coordinate Projection System]])),MAX($B$1:B1659)+1,0)</f>
        <v>1659</v>
      </c>
      <c r="C1660" t="str">
        <f t="shared" si="25"/>
        <v>RGNC91-93 / UTM zone 57S</v>
      </c>
    </row>
    <row r="1661" spans="1:3" x14ac:dyDescent="0.3">
      <c r="A1661" t="s">
        <v>1719</v>
      </c>
      <c r="B1661">
        <f>IF(ISNUMBER(SEARCH(Form!$C$11,Tabel2[[#This Row],[Coordinate Projection System]])),MAX($B$1:B1660)+1,0)</f>
        <v>1660</v>
      </c>
      <c r="C1661" t="str">
        <f t="shared" si="25"/>
        <v>RGNC91-93 / UTM zone 58S</v>
      </c>
    </row>
    <row r="1662" spans="1:3" x14ac:dyDescent="0.3">
      <c r="A1662" t="s">
        <v>1720</v>
      </c>
      <c r="B1662">
        <f>IF(ISNUMBER(SEARCH(Form!$C$11,Tabel2[[#This Row],[Coordinate Projection System]])),MAX($B$1:B1661)+1,0)</f>
        <v>1661</v>
      </c>
      <c r="C1662" t="str">
        <f t="shared" si="25"/>
        <v>RGNC91-93 / UTM zone 59S</v>
      </c>
    </row>
    <row r="1663" spans="1:3" x14ac:dyDescent="0.3">
      <c r="A1663" t="s">
        <v>1721</v>
      </c>
      <c r="B1663">
        <f>IF(ISNUMBER(SEARCH(Form!$C$11,Tabel2[[#This Row],[Coordinate Projection System]])),MAX($B$1:B1662)+1,0)</f>
        <v>1662</v>
      </c>
      <c r="C1663" t="str">
        <f t="shared" si="25"/>
        <v>IGN53 Mare / UTM zone 59S</v>
      </c>
    </row>
    <row r="1664" spans="1:3" x14ac:dyDescent="0.3">
      <c r="A1664" t="s">
        <v>1722</v>
      </c>
      <c r="B1664">
        <f>IF(ISNUMBER(SEARCH(Form!$C$11,Tabel2[[#This Row],[Coordinate Projection System]])),MAX($B$1:B1663)+1,0)</f>
        <v>1663</v>
      </c>
      <c r="C1664" t="str">
        <f t="shared" si="25"/>
        <v>fk89 / Faroe Lambert FK89Unable to translate coordinate system EPSG:3173 into PROJ.4 format.</v>
      </c>
    </row>
    <row r="1665" spans="1:3" x14ac:dyDescent="0.3">
      <c r="A1665" t="s">
        <v>1723</v>
      </c>
      <c r="B1665">
        <f>IF(ISNUMBER(SEARCH(Form!$C$11,Tabel2[[#This Row],[Coordinate Projection System]])),MAX($B$1:B1664)+1,0)</f>
        <v>1664</v>
      </c>
      <c r="C1665" t="str">
        <f t="shared" si="25"/>
        <v>NAD83 / Great Lakes Albers</v>
      </c>
    </row>
    <row r="1666" spans="1:3" x14ac:dyDescent="0.3">
      <c r="A1666" t="s">
        <v>1724</v>
      </c>
      <c r="B1666">
        <f>IF(ISNUMBER(SEARCH(Form!$C$11,Tabel2[[#This Row],[Coordinate Projection System]])),MAX($B$1:B1665)+1,0)</f>
        <v>1665</v>
      </c>
      <c r="C1666" t="str">
        <f t="shared" si="25"/>
        <v>NAD83 / Great Lakes and St Lawrence Albers</v>
      </c>
    </row>
    <row r="1667" spans="1:3" x14ac:dyDescent="0.3">
      <c r="A1667" t="s">
        <v>1725</v>
      </c>
      <c r="B1667">
        <f>IF(ISNUMBER(SEARCH(Form!$C$11,Tabel2[[#This Row],[Coordinate Projection System]])),MAX($B$1:B1666)+1,0)</f>
        <v>1666</v>
      </c>
      <c r="C1667" t="str">
        <f t="shared" ref="C1667:C1730" si="26">_xlfn.IFNA(INDEX(A1667:A7178,MATCH(ROW(C1666),B1667:B7178,0)),"")</f>
        <v>Indian 1960 / TM 106 NE</v>
      </c>
    </row>
    <row r="1668" spans="1:3" x14ac:dyDescent="0.3">
      <c r="A1668" t="s">
        <v>1726</v>
      </c>
      <c r="B1668">
        <f>IF(ISNUMBER(SEARCH(Form!$C$11,Tabel2[[#This Row],[Coordinate Projection System]])),MAX($B$1:B1667)+1,0)</f>
        <v>1667</v>
      </c>
      <c r="C1668" t="str">
        <f t="shared" si="26"/>
        <v>LGD2006 / Libya TM</v>
      </c>
    </row>
    <row r="1669" spans="1:3" x14ac:dyDescent="0.3">
      <c r="A1669" t="s">
        <v>1727</v>
      </c>
      <c r="B1669">
        <f>IF(ISNUMBER(SEARCH(Form!$C$11,Tabel2[[#This Row],[Coordinate Projection System]])),MAX($B$1:B1668)+1,0)</f>
        <v>1668</v>
      </c>
      <c r="C1669" t="str">
        <f t="shared" si="26"/>
        <v>GR96 / UTM zone 18N</v>
      </c>
    </row>
    <row r="1670" spans="1:3" x14ac:dyDescent="0.3">
      <c r="A1670" t="s">
        <v>1728</v>
      </c>
      <c r="B1670">
        <f>IF(ISNUMBER(SEARCH(Form!$C$11,Tabel2[[#This Row],[Coordinate Projection System]])),MAX($B$1:B1669)+1,0)</f>
        <v>1669</v>
      </c>
      <c r="C1670" t="str">
        <f t="shared" si="26"/>
        <v>GR96 / UTM zone 19N</v>
      </c>
    </row>
    <row r="1671" spans="1:3" x14ac:dyDescent="0.3">
      <c r="A1671" t="s">
        <v>1729</v>
      </c>
      <c r="B1671">
        <f>IF(ISNUMBER(SEARCH(Form!$C$11,Tabel2[[#This Row],[Coordinate Projection System]])),MAX($B$1:B1670)+1,0)</f>
        <v>1670</v>
      </c>
      <c r="C1671" t="str">
        <f t="shared" si="26"/>
        <v>GR96 / UTM zone 20N</v>
      </c>
    </row>
    <row r="1672" spans="1:3" x14ac:dyDescent="0.3">
      <c r="A1672" t="s">
        <v>1730</v>
      </c>
      <c r="B1672">
        <f>IF(ISNUMBER(SEARCH(Form!$C$11,Tabel2[[#This Row],[Coordinate Projection System]])),MAX($B$1:B1671)+1,0)</f>
        <v>1671</v>
      </c>
      <c r="C1672" t="str">
        <f t="shared" si="26"/>
        <v>GR96 / UTM zone 21N</v>
      </c>
    </row>
    <row r="1673" spans="1:3" x14ac:dyDescent="0.3">
      <c r="A1673" t="s">
        <v>1731</v>
      </c>
      <c r="B1673">
        <f>IF(ISNUMBER(SEARCH(Form!$C$11,Tabel2[[#This Row],[Coordinate Projection System]])),MAX($B$1:B1672)+1,0)</f>
        <v>1672</v>
      </c>
      <c r="C1673" t="str">
        <f t="shared" si="26"/>
        <v>GR96 / UTM zone 22N</v>
      </c>
    </row>
    <row r="1674" spans="1:3" x14ac:dyDescent="0.3">
      <c r="A1674" t="s">
        <v>1732</v>
      </c>
      <c r="B1674">
        <f>IF(ISNUMBER(SEARCH(Form!$C$11,Tabel2[[#This Row],[Coordinate Projection System]])),MAX($B$1:B1673)+1,0)</f>
        <v>1673</v>
      </c>
      <c r="C1674" t="str">
        <f t="shared" si="26"/>
        <v>GR96 / UTM zone 23N</v>
      </c>
    </row>
    <row r="1675" spans="1:3" x14ac:dyDescent="0.3">
      <c r="A1675" t="s">
        <v>1733</v>
      </c>
      <c r="B1675">
        <f>IF(ISNUMBER(SEARCH(Form!$C$11,Tabel2[[#This Row],[Coordinate Projection System]])),MAX($B$1:B1674)+1,0)</f>
        <v>1674</v>
      </c>
      <c r="C1675" t="str">
        <f t="shared" si="26"/>
        <v>GR96 / UTM zone 24N</v>
      </c>
    </row>
    <row r="1676" spans="1:3" x14ac:dyDescent="0.3">
      <c r="A1676" t="s">
        <v>1734</v>
      </c>
      <c r="B1676">
        <f>IF(ISNUMBER(SEARCH(Form!$C$11,Tabel2[[#This Row],[Coordinate Projection System]])),MAX($B$1:B1675)+1,0)</f>
        <v>1675</v>
      </c>
      <c r="C1676" t="str">
        <f t="shared" si="26"/>
        <v>GR96 / UTM zone 25N</v>
      </c>
    </row>
    <row r="1677" spans="1:3" x14ac:dyDescent="0.3">
      <c r="A1677" t="s">
        <v>1735</v>
      </c>
      <c r="B1677">
        <f>IF(ISNUMBER(SEARCH(Form!$C$11,Tabel2[[#This Row],[Coordinate Projection System]])),MAX($B$1:B1676)+1,0)</f>
        <v>1676</v>
      </c>
      <c r="C1677" t="str">
        <f t="shared" si="26"/>
        <v>GR96 / UTM zone 26N</v>
      </c>
    </row>
    <row r="1678" spans="1:3" x14ac:dyDescent="0.3">
      <c r="A1678" t="s">
        <v>1736</v>
      </c>
      <c r="B1678">
        <f>IF(ISNUMBER(SEARCH(Form!$C$11,Tabel2[[#This Row],[Coordinate Projection System]])),MAX($B$1:B1677)+1,0)</f>
        <v>1677</v>
      </c>
      <c r="C1678" t="str">
        <f t="shared" si="26"/>
        <v>GR96 / UTM zone 27N</v>
      </c>
    </row>
    <row r="1679" spans="1:3" x14ac:dyDescent="0.3">
      <c r="A1679" t="s">
        <v>1737</v>
      </c>
      <c r="B1679">
        <f>IF(ISNUMBER(SEARCH(Form!$C$11,Tabel2[[#This Row],[Coordinate Projection System]])),MAX($B$1:B1678)+1,0)</f>
        <v>1678</v>
      </c>
      <c r="C1679" t="str">
        <f t="shared" si="26"/>
        <v>GR96 / UTM zone 28N</v>
      </c>
    </row>
    <row r="1680" spans="1:3" x14ac:dyDescent="0.3">
      <c r="A1680" t="s">
        <v>1738</v>
      </c>
      <c r="B1680">
        <f>IF(ISNUMBER(SEARCH(Form!$C$11,Tabel2[[#This Row],[Coordinate Projection System]])),MAX($B$1:B1679)+1,0)</f>
        <v>1679</v>
      </c>
      <c r="C1680" t="str">
        <f t="shared" si="26"/>
        <v>GR96 / UTM zone 29N</v>
      </c>
    </row>
    <row r="1681" spans="1:3" x14ac:dyDescent="0.3">
      <c r="A1681" t="s">
        <v>1739</v>
      </c>
      <c r="B1681">
        <f>IF(ISNUMBER(SEARCH(Form!$C$11,Tabel2[[#This Row],[Coordinate Projection System]])),MAX($B$1:B1680)+1,0)</f>
        <v>1680</v>
      </c>
      <c r="C1681" t="str">
        <f t="shared" si="26"/>
        <v>LGD2006 / Libya TM zone 5</v>
      </c>
    </row>
    <row r="1682" spans="1:3" x14ac:dyDescent="0.3">
      <c r="A1682" t="s">
        <v>1740</v>
      </c>
      <c r="B1682">
        <f>IF(ISNUMBER(SEARCH(Form!$C$11,Tabel2[[#This Row],[Coordinate Projection System]])),MAX($B$1:B1681)+1,0)</f>
        <v>1681</v>
      </c>
      <c r="C1682" t="str">
        <f t="shared" si="26"/>
        <v>LGD2006 / Libya TM zone 6</v>
      </c>
    </row>
    <row r="1683" spans="1:3" x14ac:dyDescent="0.3">
      <c r="A1683" t="s">
        <v>1741</v>
      </c>
      <c r="B1683">
        <f>IF(ISNUMBER(SEARCH(Form!$C$11,Tabel2[[#This Row],[Coordinate Projection System]])),MAX($B$1:B1682)+1,0)</f>
        <v>1682</v>
      </c>
      <c r="C1683" t="str">
        <f t="shared" si="26"/>
        <v>LGD2006 / Libya TM zone 7</v>
      </c>
    </row>
    <row r="1684" spans="1:3" x14ac:dyDescent="0.3">
      <c r="A1684" t="s">
        <v>1742</v>
      </c>
      <c r="B1684">
        <f>IF(ISNUMBER(SEARCH(Form!$C$11,Tabel2[[#This Row],[Coordinate Projection System]])),MAX($B$1:B1683)+1,0)</f>
        <v>1683</v>
      </c>
      <c r="C1684" t="str">
        <f t="shared" si="26"/>
        <v>LGD2006 / Libya TM zone 8</v>
      </c>
    </row>
    <row r="1685" spans="1:3" x14ac:dyDescent="0.3">
      <c r="A1685" t="s">
        <v>1743</v>
      </c>
      <c r="B1685">
        <f>IF(ISNUMBER(SEARCH(Form!$C$11,Tabel2[[#This Row],[Coordinate Projection System]])),MAX($B$1:B1684)+1,0)</f>
        <v>1684</v>
      </c>
      <c r="C1685" t="str">
        <f t="shared" si="26"/>
        <v>LGD2006 / Libya TM zone 9</v>
      </c>
    </row>
    <row r="1686" spans="1:3" x14ac:dyDescent="0.3">
      <c r="A1686" t="s">
        <v>1744</v>
      </c>
      <c r="B1686">
        <f>IF(ISNUMBER(SEARCH(Form!$C$11,Tabel2[[#This Row],[Coordinate Projection System]])),MAX($B$1:B1685)+1,0)</f>
        <v>1685</v>
      </c>
      <c r="C1686" t="str">
        <f t="shared" si="26"/>
        <v>LGD2006 / Libya TM zone 10</v>
      </c>
    </row>
    <row r="1687" spans="1:3" x14ac:dyDescent="0.3">
      <c r="A1687" t="s">
        <v>1745</v>
      </c>
      <c r="B1687">
        <f>IF(ISNUMBER(SEARCH(Form!$C$11,Tabel2[[#This Row],[Coordinate Projection System]])),MAX($B$1:B1686)+1,0)</f>
        <v>1686</v>
      </c>
      <c r="C1687" t="str">
        <f t="shared" si="26"/>
        <v>LGD2006 / Libya TM zone 11</v>
      </c>
    </row>
    <row r="1688" spans="1:3" x14ac:dyDescent="0.3">
      <c r="A1688" t="s">
        <v>1746</v>
      </c>
      <c r="B1688">
        <f>IF(ISNUMBER(SEARCH(Form!$C$11,Tabel2[[#This Row],[Coordinate Projection System]])),MAX($B$1:B1687)+1,0)</f>
        <v>1687</v>
      </c>
      <c r="C1688" t="str">
        <f t="shared" si="26"/>
        <v>LGD2006 / Libya TM zone 12</v>
      </c>
    </row>
    <row r="1689" spans="1:3" x14ac:dyDescent="0.3">
      <c r="A1689" t="s">
        <v>1747</v>
      </c>
      <c r="B1689">
        <f>IF(ISNUMBER(SEARCH(Form!$C$11,Tabel2[[#This Row],[Coordinate Projection System]])),MAX($B$1:B1688)+1,0)</f>
        <v>1688</v>
      </c>
      <c r="C1689" t="str">
        <f t="shared" si="26"/>
        <v>LGD2006 / Libya TM zone 13</v>
      </c>
    </row>
    <row r="1690" spans="1:3" x14ac:dyDescent="0.3">
      <c r="A1690" t="s">
        <v>1748</v>
      </c>
      <c r="B1690">
        <f>IF(ISNUMBER(SEARCH(Form!$C$11,Tabel2[[#This Row],[Coordinate Projection System]])),MAX($B$1:B1689)+1,0)</f>
        <v>1689</v>
      </c>
      <c r="C1690" t="str">
        <f t="shared" si="26"/>
        <v>LGD2006 / UTM zone 32N</v>
      </c>
    </row>
    <row r="1691" spans="1:3" x14ac:dyDescent="0.3">
      <c r="A1691" t="s">
        <v>1749</v>
      </c>
      <c r="B1691">
        <f>IF(ISNUMBER(SEARCH(Form!$C$11,Tabel2[[#This Row],[Coordinate Projection System]])),MAX($B$1:B1690)+1,0)</f>
        <v>1690</v>
      </c>
      <c r="C1691" t="str">
        <f t="shared" si="26"/>
        <v>FD58 / Iraq zone</v>
      </c>
    </row>
    <row r="1692" spans="1:3" x14ac:dyDescent="0.3">
      <c r="A1692" t="s">
        <v>1750</v>
      </c>
      <c r="B1692">
        <f>IF(ISNUMBER(SEARCH(Form!$C$11,Tabel2[[#This Row],[Coordinate Projection System]])),MAX($B$1:B1691)+1,0)</f>
        <v>1691</v>
      </c>
      <c r="C1692" t="str">
        <f t="shared" si="26"/>
        <v>LGD2006 / UTM zone 33N</v>
      </c>
    </row>
    <row r="1693" spans="1:3" x14ac:dyDescent="0.3">
      <c r="A1693" t="s">
        <v>1751</v>
      </c>
      <c r="B1693">
        <f>IF(ISNUMBER(SEARCH(Form!$C$11,Tabel2[[#This Row],[Coordinate Projection System]])),MAX($B$1:B1692)+1,0)</f>
        <v>1692</v>
      </c>
      <c r="C1693" t="str">
        <f t="shared" si="26"/>
        <v>LGD2006 / UTM zone 34N</v>
      </c>
    </row>
    <row r="1694" spans="1:3" x14ac:dyDescent="0.3">
      <c r="A1694" t="s">
        <v>1752</v>
      </c>
      <c r="B1694">
        <f>IF(ISNUMBER(SEARCH(Form!$C$11,Tabel2[[#This Row],[Coordinate Projection System]])),MAX($B$1:B1693)+1,0)</f>
        <v>1693</v>
      </c>
      <c r="C1694" t="str">
        <f t="shared" si="26"/>
        <v>LGD2006 / UTM zone 35N</v>
      </c>
    </row>
    <row r="1695" spans="1:3" x14ac:dyDescent="0.3">
      <c r="A1695" t="s">
        <v>1753</v>
      </c>
      <c r="B1695">
        <f>IF(ISNUMBER(SEARCH(Form!$C$11,Tabel2[[#This Row],[Coordinate Projection System]])),MAX($B$1:B1694)+1,0)</f>
        <v>1694</v>
      </c>
      <c r="C1695" t="str">
        <f t="shared" si="26"/>
        <v>WGS 84 / SCAR IMW SP19-20</v>
      </c>
    </row>
    <row r="1696" spans="1:3" x14ac:dyDescent="0.3">
      <c r="A1696" t="s">
        <v>1754</v>
      </c>
      <c r="B1696">
        <f>IF(ISNUMBER(SEARCH(Form!$C$11,Tabel2[[#This Row],[Coordinate Projection System]])),MAX($B$1:B1695)+1,0)</f>
        <v>1695</v>
      </c>
      <c r="C1696" t="str">
        <f t="shared" si="26"/>
        <v>WGS 84 / SCAR IMW SP21-22</v>
      </c>
    </row>
    <row r="1697" spans="1:3" x14ac:dyDescent="0.3">
      <c r="A1697" t="s">
        <v>1755</v>
      </c>
      <c r="B1697">
        <f>IF(ISNUMBER(SEARCH(Form!$C$11,Tabel2[[#This Row],[Coordinate Projection System]])),MAX($B$1:B1696)+1,0)</f>
        <v>1696</v>
      </c>
      <c r="C1697" t="str">
        <f t="shared" si="26"/>
        <v>WGS 84 / SCAR IMW SP23-24</v>
      </c>
    </row>
    <row r="1698" spans="1:3" x14ac:dyDescent="0.3">
      <c r="A1698" t="s">
        <v>1756</v>
      </c>
      <c r="B1698">
        <f>IF(ISNUMBER(SEARCH(Form!$C$11,Tabel2[[#This Row],[Coordinate Projection System]])),MAX($B$1:B1697)+1,0)</f>
        <v>1697</v>
      </c>
      <c r="C1698" t="str">
        <f t="shared" si="26"/>
        <v>WGS 84 / SCAR IMW SQ01-02</v>
      </c>
    </row>
    <row r="1699" spans="1:3" x14ac:dyDescent="0.3">
      <c r="A1699" t="s">
        <v>1757</v>
      </c>
      <c r="B1699">
        <f>IF(ISNUMBER(SEARCH(Form!$C$11,Tabel2[[#This Row],[Coordinate Projection System]])),MAX($B$1:B1698)+1,0)</f>
        <v>1698</v>
      </c>
      <c r="C1699" t="str">
        <f t="shared" si="26"/>
        <v>WGS 84 / SCAR IMW SQ19-20</v>
      </c>
    </row>
    <row r="1700" spans="1:3" x14ac:dyDescent="0.3">
      <c r="A1700" t="s">
        <v>1758</v>
      </c>
      <c r="B1700">
        <f>IF(ISNUMBER(SEARCH(Form!$C$11,Tabel2[[#This Row],[Coordinate Projection System]])),MAX($B$1:B1699)+1,0)</f>
        <v>1699</v>
      </c>
      <c r="C1700" t="str">
        <f t="shared" si="26"/>
        <v>WGS 84 / SCAR IMW SQ21-22</v>
      </c>
    </row>
    <row r="1701" spans="1:3" x14ac:dyDescent="0.3">
      <c r="A1701" t="s">
        <v>1759</v>
      </c>
      <c r="B1701">
        <f>IF(ISNUMBER(SEARCH(Form!$C$11,Tabel2[[#This Row],[Coordinate Projection System]])),MAX($B$1:B1700)+1,0)</f>
        <v>1700</v>
      </c>
      <c r="C1701" t="str">
        <f t="shared" si="26"/>
        <v>WGS 84 / SCAR IMW SQ37-38</v>
      </c>
    </row>
    <row r="1702" spans="1:3" x14ac:dyDescent="0.3">
      <c r="A1702" t="s">
        <v>1760</v>
      </c>
      <c r="B1702">
        <f>IF(ISNUMBER(SEARCH(Form!$C$11,Tabel2[[#This Row],[Coordinate Projection System]])),MAX($B$1:B1701)+1,0)</f>
        <v>1701</v>
      </c>
      <c r="C1702" t="str">
        <f t="shared" si="26"/>
        <v>WGS 84 / SCAR IMW SQ39-40</v>
      </c>
    </row>
    <row r="1703" spans="1:3" x14ac:dyDescent="0.3">
      <c r="A1703" t="s">
        <v>1761</v>
      </c>
      <c r="B1703">
        <f>IF(ISNUMBER(SEARCH(Form!$C$11,Tabel2[[#This Row],[Coordinate Projection System]])),MAX($B$1:B1702)+1,0)</f>
        <v>1702</v>
      </c>
      <c r="C1703" t="str">
        <f t="shared" si="26"/>
        <v>WGS 84 / SCAR IMW SQ41-42</v>
      </c>
    </row>
    <row r="1704" spans="1:3" x14ac:dyDescent="0.3">
      <c r="A1704" t="s">
        <v>1762</v>
      </c>
      <c r="B1704">
        <f>IF(ISNUMBER(SEARCH(Form!$C$11,Tabel2[[#This Row],[Coordinate Projection System]])),MAX($B$1:B1703)+1,0)</f>
        <v>1703</v>
      </c>
      <c r="C1704" t="str">
        <f t="shared" si="26"/>
        <v>WGS 84 / SCAR IMW SQ43-44</v>
      </c>
    </row>
    <row r="1705" spans="1:3" x14ac:dyDescent="0.3">
      <c r="A1705" t="s">
        <v>1763</v>
      </c>
      <c r="B1705">
        <f>IF(ISNUMBER(SEARCH(Form!$C$11,Tabel2[[#This Row],[Coordinate Projection System]])),MAX($B$1:B1704)+1,0)</f>
        <v>1704</v>
      </c>
      <c r="C1705" t="str">
        <f t="shared" si="26"/>
        <v>WGS 84 / SCAR IMW SQ45-46</v>
      </c>
    </row>
    <row r="1706" spans="1:3" x14ac:dyDescent="0.3">
      <c r="A1706" t="s">
        <v>1764</v>
      </c>
      <c r="B1706">
        <f>IF(ISNUMBER(SEARCH(Form!$C$11,Tabel2[[#This Row],[Coordinate Projection System]])),MAX($B$1:B1705)+1,0)</f>
        <v>1705</v>
      </c>
      <c r="C1706" t="str">
        <f t="shared" si="26"/>
        <v>WGS 84 / SCAR IMW SQ47-48</v>
      </c>
    </row>
    <row r="1707" spans="1:3" x14ac:dyDescent="0.3">
      <c r="A1707" t="s">
        <v>1765</v>
      </c>
      <c r="B1707">
        <f>IF(ISNUMBER(SEARCH(Form!$C$11,Tabel2[[#This Row],[Coordinate Projection System]])),MAX($B$1:B1706)+1,0)</f>
        <v>1706</v>
      </c>
      <c r="C1707" t="str">
        <f t="shared" si="26"/>
        <v>WGS 84 / SCAR IMW SQ49-50</v>
      </c>
    </row>
    <row r="1708" spans="1:3" x14ac:dyDescent="0.3">
      <c r="A1708" t="s">
        <v>1766</v>
      </c>
      <c r="B1708">
        <f>IF(ISNUMBER(SEARCH(Form!$C$11,Tabel2[[#This Row],[Coordinate Projection System]])),MAX($B$1:B1707)+1,0)</f>
        <v>1707</v>
      </c>
      <c r="C1708" t="str">
        <f t="shared" si="26"/>
        <v>WGS 84 / SCAR IMW SQ51-52</v>
      </c>
    </row>
    <row r="1709" spans="1:3" x14ac:dyDescent="0.3">
      <c r="A1709" t="s">
        <v>1767</v>
      </c>
      <c r="B1709">
        <f>IF(ISNUMBER(SEARCH(Form!$C$11,Tabel2[[#This Row],[Coordinate Projection System]])),MAX($B$1:B1708)+1,0)</f>
        <v>1708</v>
      </c>
      <c r="C1709" t="str">
        <f t="shared" si="26"/>
        <v>WGS 84 / SCAR IMW SQ53-54</v>
      </c>
    </row>
    <row r="1710" spans="1:3" x14ac:dyDescent="0.3">
      <c r="A1710" t="s">
        <v>1768</v>
      </c>
      <c r="B1710">
        <f>IF(ISNUMBER(SEARCH(Form!$C$11,Tabel2[[#This Row],[Coordinate Projection System]])),MAX($B$1:B1709)+1,0)</f>
        <v>1709</v>
      </c>
      <c r="C1710" t="str">
        <f t="shared" si="26"/>
        <v>WGS 84 / SCAR IMW SQ55-56</v>
      </c>
    </row>
    <row r="1711" spans="1:3" x14ac:dyDescent="0.3">
      <c r="A1711" t="s">
        <v>1769</v>
      </c>
      <c r="B1711">
        <f>IF(ISNUMBER(SEARCH(Form!$C$11,Tabel2[[#This Row],[Coordinate Projection System]])),MAX($B$1:B1710)+1,0)</f>
        <v>1710</v>
      </c>
      <c r="C1711" t="str">
        <f t="shared" si="26"/>
        <v>WGS 84 / SCAR IMW SQ57-58</v>
      </c>
    </row>
    <row r="1712" spans="1:3" x14ac:dyDescent="0.3">
      <c r="A1712" t="s">
        <v>1770</v>
      </c>
      <c r="B1712">
        <f>IF(ISNUMBER(SEARCH(Form!$C$11,Tabel2[[#This Row],[Coordinate Projection System]])),MAX($B$1:B1711)+1,0)</f>
        <v>1711</v>
      </c>
      <c r="C1712" t="str">
        <f t="shared" si="26"/>
        <v>WGS 84 / SCAR IMW SR13-14</v>
      </c>
    </row>
    <row r="1713" spans="1:3" x14ac:dyDescent="0.3">
      <c r="A1713" t="s">
        <v>1771</v>
      </c>
      <c r="B1713">
        <f>IF(ISNUMBER(SEARCH(Form!$C$11,Tabel2[[#This Row],[Coordinate Projection System]])),MAX($B$1:B1712)+1,0)</f>
        <v>1712</v>
      </c>
      <c r="C1713" t="str">
        <f t="shared" si="26"/>
        <v>WGS 84 / SCAR IMW SR15-16</v>
      </c>
    </row>
    <row r="1714" spans="1:3" x14ac:dyDescent="0.3">
      <c r="A1714" t="s">
        <v>1772</v>
      </c>
      <c r="B1714">
        <f>IF(ISNUMBER(SEARCH(Form!$C$11,Tabel2[[#This Row],[Coordinate Projection System]])),MAX($B$1:B1713)+1,0)</f>
        <v>1713</v>
      </c>
      <c r="C1714" t="str">
        <f t="shared" si="26"/>
        <v>WGS 84 / SCAR IMW SR17-18</v>
      </c>
    </row>
    <row r="1715" spans="1:3" x14ac:dyDescent="0.3">
      <c r="A1715" t="s">
        <v>1773</v>
      </c>
      <c r="B1715">
        <f>IF(ISNUMBER(SEARCH(Form!$C$11,Tabel2[[#This Row],[Coordinate Projection System]])),MAX($B$1:B1714)+1,0)</f>
        <v>1714</v>
      </c>
      <c r="C1715" t="str">
        <f t="shared" si="26"/>
        <v>WGS 84 / SCAR IMW SR19-20</v>
      </c>
    </row>
    <row r="1716" spans="1:3" x14ac:dyDescent="0.3">
      <c r="A1716" t="s">
        <v>1774</v>
      </c>
      <c r="B1716">
        <f>IF(ISNUMBER(SEARCH(Form!$C$11,Tabel2[[#This Row],[Coordinate Projection System]])),MAX($B$1:B1715)+1,0)</f>
        <v>1715</v>
      </c>
      <c r="C1716" t="str">
        <f t="shared" si="26"/>
        <v>WGS 84 / SCAR IMW SR27-28</v>
      </c>
    </row>
    <row r="1717" spans="1:3" x14ac:dyDescent="0.3">
      <c r="A1717" t="s">
        <v>1775</v>
      </c>
      <c r="B1717">
        <f>IF(ISNUMBER(SEARCH(Form!$C$11,Tabel2[[#This Row],[Coordinate Projection System]])),MAX($B$1:B1716)+1,0)</f>
        <v>1716</v>
      </c>
      <c r="C1717" t="str">
        <f t="shared" si="26"/>
        <v>WGS 84 / SCAR IMW SR29-30</v>
      </c>
    </row>
    <row r="1718" spans="1:3" x14ac:dyDescent="0.3">
      <c r="A1718" t="s">
        <v>1776</v>
      </c>
      <c r="B1718">
        <f>IF(ISNUMBER(SEARCH(Form!$C$11,Tabel2[[#This Row],[Coordinate Projection System]])),MAX($B$1:B1717)+1,0)</f>
        <v>1717</v>
      </c>
      <c r="C1718" t="str">
        <f t="shared" si="26"/>
        <v>WGS 84 / SCAR IMW SR31-32</v>
      </c>
    </row>
    <row r="1719" spans="1:3" x14ac:dyDescent="0.3">
      <c r="A1719" t="s">
        <v>1777</v>
      </c>
      <c r="B1719">
        <f>IF(ISNUMBER(SEARCH(Form!$C$11,Tabel2[[#This Row],[Coordinate Projection System]])),MAX($B$1:B1718)+1,0)</f>
        <v>1718</v>
      </c>
      <c r="C1719" t="str">
        <f t="shared" si="26"/>
        <v>WGS 84 / SCAR IMW SR33-34</v>
      </c>
    </row>
    <row r="1720" spans="1:3" x14ac:dyDescent="0.3">
      <c r="A1720" t="s">
        <v>1778</v>
      </c>
      <c r="B1720">
        <f>IF(ISNUMBER(SEARCH(Form!$C$11,Tabel2[[#This Row],[Coordinate Projection System]])),MAX($B$1:B1719)+1,0)</f>
        <v>1719</v>
      </c>
      <c r="C1720" t="str">
        <f t="shared" si="26"/>
        <v>WGS 84 / SCAR IMW SR35-36</v>
      </c>
    </row>
    <row r="1721" spans="1:3" x14ac:dyDescent="0.3">
      <c r="A1721" t="s">
        <v>1779</v>
      </c>
      <c r="B1721">
        <f>IF(ISNUMBER(SEARCH(Form!$C$11,Tabel2[[#This Row],[Coordinate Projection System]])),MAX($B$1:B1720)+1,0)</f>
        <v>1720</v>
      </c>
      <c r="C1721" t="str">
        <f t="shared" si="26"/>
        <v>WGS 84 / SCAR IMW SR37-38</v>
      </c>
    </row>
    <row r="1722" spans="1:3" x14ac:dyDescent="0.3">
      <c r="A1722" t="s">
        <v>1780</v>
      </c>
      <c r="B1722">
        <f>IF(ISNUMBER(SEARCH(Form!$C$11,Tabel2[[#This Row],[Coordinate Projection System]])),MAX($B$1:B1721)+1,0)</f>
        <v>1721</v>
      </c>
      <c r="C1722" t="str">
        <f t="shared" si="26"/>
        <v>WGS 84 / SCAR IMW SR39-40</v>
      </c>
    </row>
    <row r="1723" spans="1:3" x14ac:dyDescent="0.3">
      <c r="A1723" t="s">
        <v>1781</v>
      </c>
      <c r="B1723">
        <f>IF(ISNUMBER(SEARCH(Form!$C$11,Tabel2[[#This Row],[Coordinate Projection System]])),MAX($B$1:B1722)+1,0)</f>
        <v>1722</v>
      </c>
      <c r="C1723" t="str">
        <f t="shared" si="26"/>
        <v>WGS 84 / SCAR IMW SR41-42</v>
      </c>
    </row>
    <row r="1724" spans="1:3" x14ac:dyDescent="0.3">
      <c r="A1724" t="s">
        <v>1782</v>
      </c>
      <c r="B1724">
        <f>IF(ISNUMBER(SEARCH(Form!$C$11,Tabel2[[#This Row],[Coordinate Projection System]])),MAX($B$1:B1723)+1,0)</f>
        <v>1723</v>
      </c>
      <c r="C1724" t="str">
        <f t="shared" si="26"/>
        <v>WGS 84 / SCAR IMW SR43-44</v>
      </c>
    </row>
    <row r="1725" spans="1:3" x14ac:dyDescent="0.3">
      <c r="A1725" t="s">
        <v>1783</v>
      </c>
      <c r="B1725">
        <f>IF(ISNUMBER(SEARCH(Form!$C$11,Tabel2[[#This Row],[Coordinate Projection System]])),MAX($B$1:B1724)+1,0)</f>
        <v>1724</v>
      </c>
      <c r="C1725" t="str">
        <f t="shared" si="26"/>
        <v>WGS 84 / SCAR IMW SR45-46</v>
      </c>
    </row>
    <row r="1726" spans="1:3" x14ac:dyDescent="0.3">
      <c r="A1726" t="s">
        <v>1784</v>
      </c>
      <c r="B1726">
        <f>IF(ISNUMBER(SEARCH(Form!$C$11,Tabel2[[#This Row],[Coordinate Projection System]])),MAX($B$1:B1725)+1,0)</f>
        <v>1725</v>
      </c>
      <c r="C1726" t="str">
        <f t="shared" si="26"/>
        <v>WGS 84 / SCAR IMW SR47-48</v>
      </c>
    </row>
    <row r="1727" spans="1:3" x14ac:dyDescent="0.3">
      <c r="A1727" t="s">
        <v>1785</v>
      </c>
      <c r="B1727">
        <f>IF(ISNUMBER(SEARCH(Form!$C$11,Tabel2[[#This Row],[Coordinate Projection System]])),MAX($B$1:B1726)+1,0)</f>
        <v>1726</v>
      </c>
      <c r="C1727" t="str">
        <f t="shared" si="26"/>
        <v>WGS 84 / SCAR IMW SR49-50</v>
      </c>
    </row>
    <row r="1728" spans="1:3" x14ac:dyDescent="0.3">
      <c r="A1728" t="s">
        <v>1786</v>
      </c>
      <c r="B1728">
        <f>IF(ISNUMBER(SEARCH(Form!$C$11,Tabel2[[#This Row],[Coordinate Projection System]])),MAX($B$1:B1727)+1,0)</f>
        <v>1727</v>
      </c>
      <c r="C1728" t="str">
        <f t="shared" si="26"/>
        <v>WGS 84 / SCAR IMW SR51-52</v>
      </c>
    </row>
    <row r="1729" spans="1:3" x14ac:dyDescent="0.3">
      <c r="A1729" t="s">
        <v>1787</v>
      </c>
      <c r="B1729">
        <f>IF(ISNUMBER(SEARCH(Form!$C$11,Tabel2[[#This Row],[Coordinate Projection System]])),MAX($B$1:B1728)+1,0)</f>
        <v>1728</v>
      </c>
      <c r="C1729" t="str">
        <f t="shared" si="26"/>
        <v>WGS 84 / SCAR IMW SR53-54</v>
      </c>
    </row>
    <row r="1730" spans="1:3" x14ac:dyDescent="0.3">
      <c r="A1730" t="s">
        <v>1788</v>
      </c>
      <c r="B1730">
        <f>IF(ISNUMBER(SEARCH(Form!$C$11,Tabel2[[#This Row],[Coordinate Projection System]])),MAX($B$1:B1729)+1,0)</f>
        <v>1729</v>
      </c>
      <c r="C1730" t="str">
        <f t="shared" si="26"/>
        <v>WGS 84 / SCAR IMW SR55-56</v>
      </c>
    </row>
    <row r="1731" spans="1:3" x14ac:dyDescent="0.3">
      <c r="A1731" t="s">
        <v>1789</v>
      </c>
      <c r="B1731">
        <f>IF(ISNUMBER(SEARCH(Form!$C$11,Tabel2[[#This Row],[Coordinate Projection System]])),MAX($B$1:B1730)+1,0)</f>
        <v>1730</v>
      </c>
      <c r="C1731" t="str">
        <f t="shared" ref="C1731:C1794" si="27">_xlfn.IFNA(INDEX(A1731:A7242,MATCH(ROW(C1730),B1731:B7242,0)),"")</f>
        <v>WGS 84 / SCAR IMW SR57-58</v>
      </c>
    </row>
    <row r="1732" spans="1:3" x14ac:dyDescent="0.3">
      <c r="A1732" t="s">
        <v>1790</v>
      </c>
      <c r="B1732">
        <f>IF(ISNUMBER(SEARCH(Form!$C$11,Tabel2[[#This Row],[Coordinate Projection System]])),MAX($B$1:B1731)+1,0)</f>
        <v>1731</v>
      </c>
      <c r="C1732" t="str">
        <f t="shared" si="27"/>
        <v>WGS 84 / SCAR IMW SR59-60</v>
      </c>
    </row>
    <row r="1733" spans="1:3" x14ac:dyDescent="0.3">
      <c r="A1733" t="s">
        <v>1791</v>
      </c>
      <c r="B1733">
        <f>IF(ISNUMBER(SEARCH(Form!$C$11,Tabel2[[#This Row],[Coordinate Projection System]])),MAX($B$1:B1732)+1,0)</f>
        <v>1732</v>
      </c>
      <c r="C1733" t="str">
        <f t="shared" si="27"/>
        <v>WGS 84 / SCAR IMW SS04-06</v>
      </c>
    </row>
    <row r="1734" spans="1:3" x14ac:dyDescent="0.3">
      <c r="A1734" t="s">
        <v>1792</v>
      </c>
      <c r="B1734">
        <f>IF(ISNUMBER(SEARCH(Form!$C$11,Tabel2[[#This Row],[Coordinate Projection System]])),MAX($B$1:B1733)+1,0)</f>
        <v>1733</v>
      </c>
      <c r="C1734" t="str">
        <f t="shared" si="27"/>
        <v>WGS 84 / SCAR IMW SS07-09</v>
      </c>
    </row>
    <row r="1735" spans="1:3" x14ac:dyDescent="0.3">
      <c r="A1735" t="s">
        <v>1793</v>
      </c>
      <c r="B1735">
        <f>IF(ISNUMBER(SEARCH(Form!$C$11,Tabel2[[#This Row],[Coordinate Projection System]])),MAX($B$1:B1734)+1,0)</f>
        <v>1734</v>
      </c>
      <c r="C1735" t="str">
        <f t="shared" si="27"/>
        <v>WGS 84 / SCAR IMW SS10-12</v>
      </c>
    </row>
    <row r="1736" spans="1:3" x14ac:dyDescent="0.3">
      <c r="A1736" t="s">
        <v>1794</v>
      </c>
      <c r="B1736">
        <f>IF(ISNUMBER(SEARCH(Form!$C$11,Tabel2[[#This Row],[Coordinate Projection System]])),MAX($B$1:B1735)+1,0)</f>
        <v>1735</v>
      </c>
      <c r="C1736" t="str">
        <f t="shared" si="27"/>
        <v>WGS 84 / SCAR IMW SS13-15</v>
      </c>
    </row>
    <row r="1737" spans="1:3" x14ac:dyDescent="0.3">
      <c r="A1737" t="s">
        <v>1795</v>
      </c>
      <c r="B1737">
        <f>IF(ISNUMBER(SEARCH(Form!$C$11,Tabel2[[#This Row],[Coordinate Projection System]])),MAX($B$1:B1736)+1,0)</f>
        <v>1736</v>
      </c>
      <c r="C1737" t="str">
        <f t="shared" si="27"/>
        <v>WGS 84 / SCAR IMW SS16-18</v>
      </c>
    </row>
    <row r="1738" spans="1:3" x14ac:dyDescent="0.3">
      <c r="A1738" t="s">
        <v>1796</v>
      </c>
      <c r="B1738">
        <f>IF(ISNUMBER(SEARCH(Form!$C$11,Tabel2[[#This Row],[Coordinate Projection System]])),MAX($B$1:B1737)+1,0)</f>
        <v>1737</v>
      </c>
      <c r="C1738" t="str">
        <f t="shared" si="27"/>
        <v>WGS 84 / SCAR IMW SS19-21</v>
      </c>
    </row>
    <row r="1739" spans="1:3" x14ac:dyDescent="0.3">
      <c r="A1739" t="s">
        <v>1797</v>
      </c>
      <c r="B1739">
        <f>IF(ISNUMBER(SEARCH(Form!$C$11,Tabel2[[#This Row],[Coordinate Projection System]])),MAX($B$1:B1738)+1,0)</f>
        <v>1738</v>
      </c>
      <c r="C1739" t="str">
        <f t="shared" si="27"/>
        <v>WGS 84 / SCAR IMW SS25-27</v>
      </c>
    </row>
    <row r="1740" spans="1:3" x14ac:dyDescent="0.3">
      <c r="A1740" t="s">
        <v>1798</v>
      </c>
      <c r="B1740">
        <f>IF(ISNUMBER(SEARCH(Form!$C$11,Tabel2[[#This Row],[Coordinate Projection System]])),MAX($B$1:B1739)+1,0)</f>
        <v>1739</v>
      </c>
      <c r="C1740" t="str">
        <f t="shared" si="27"/>
        <v>WGS 84 / SCAR IMW SS28-30</v>
      </c>
    </row>
    <row r="1741" spans="1:3" x14ac:dyDescent="0.3">
      <c r="A1741" t="s">
        <v>1799</v>
      </c>
      <c r="B1741">
        <f>IF(ISNUMBER(SEARCH(Form!$C$11,Tabel2[[#This Row],[Coordinate Projection System]])),MAX($B$1:B1740)+1,0)</f>
        <v>1740</v>
      </c>
      <c r="C1741" t="str">
        <f t="shared" si="27"/>
        <v>WGS 84 / SCAR IMW SS31-33</v>
      </c>
    </row>
    <row r="1742" spans="1:3" x14ac:dyDescent="0.3">
      <c r="A1742" t="s">
        <v>1800</v>
      </c>
      <c r="B1742">
        <f>IF(ISNUMBER(SEARCH(Form!$C$11,Tabel2[[#This Row],[Coordinate Projection System]])),MAX($B$1:B1741)+1,0)</f>
        <v>1741</v>
      </c>
      <c r="C1742" t="str">
        <f t="shared" si="27"/>
        <v>WGS 84 / SCAR IMW SS34-36</v>
      </c>
    </row>
    <row r="1743" spans="1:3" x14ac:dyDescent="0.3">
      <c r="A1743" t="s">
        <v>1801</v>
      </c>
      <c r="B1743">
        <f>IF(ISNUMBER(SEARCH(Form!$C$11,Tabel2[[#This Row],[Coordinate Projection System]])),MAX($B$1:B1742)+1,0)</f>
        <v>1742</v>
      </c>
      <c r="C1743" t="str">
        <f t="shared" si="27"/>
        <v>WGS 84 / SCAR IMW SS37-39</v>
      </c>
    </row>
    <row r="1744" spans="1:3" x14ac:dyDescent="0.3">
      <c r="A1744" t="s">
        <v>1802</v>
      </c>
      <c r="B1744">
        <f>IF(ISNUMBER(SEARCH(Form!$C$11,Tabel2[[#This Row],[Coordinate Projection System]])),MAX($B$1:B1743)+1,0)</f>
        <v>1743</v>
      </c>
      <c r="C1744" t="str">
        <f t="shared" si="27"/>
        <v>WGS 84 / SCAR IMW SS40-42</v>
      </c>
    </row>
    <row r="1745" spans="1:3" x14ac:dyDescent="0.3">
      <c r="A1745" t="s">
        <v>1803</v>
      </c>
      <c r="B1745">
        <f>IF(ISNUMBER(SEARCH(Form!$C$11,Tabel2[[#This Row],[Coordinate Projection System]])),MAX($B$1:B1744)+1,0)</f>
        <v>1744</v>
      </c>
      <c r="C1745" t="str">
        <f t="shared" si="27"/>
        <v>WGS 84 / SCAR IMW SS43-45</v>
      </c>
    </row>
    <row r="1746" spans="1:3" x14ac:dyDescent="0.3">
      <c r="A1746" t="s">
        <v>1804</v>
      </c>
      <c r="B1746">
        <f>IF(ISNUMBER(SEARCH(Form!$C$11,Tabel2[[#This Row],[Coordinate Projection System]])),MAX($B$1:B1745)+1,0)</f>
        <v>1745</v>
      </c>
      <c r="C1746" t="str">
        <f t="shared" si="27"/>
        <v>WGS 84 / SCAR IMW SS46-48</v>
      </c>
    </row>
    <row r="1747" spans="1:3" x14ac:dyDescent="0.3">
      <c r="A1747" t="s">
        <v>1805</v>
      </c>
      <c r="B1747">
        <f>IF(ISNUMBER(SEARCH(Form!$C$11,Tabel2[[#This Row],[Coordinate Projection System]])),MAX($B$1:B1746)+1,0)</f>
        <v>1746</v>
      </c>
      <c r="C1747" t="str">
        <f t="shared" si="27"/>
        <v>WGS 84 / SCAR IMW SS49-51</v>
      </c>
    </row>
    <row r="1748" spans="1:3" x14ac:dyDescent="0.3">
      <c r="A1748" t="s">
        <v>1806</v>
      </c>
      <c r="B1748">
        <f>IF(ISNUMBER(SEARCH(Form!$C$11,Tabel2[[#This Row],[Coordinate Projection System]])),MAX($B$1:B1747)+1,0)</f>
        <v>1747</v>
      </c>
      <c r="C1748" t="str">
        <f t="shared" si="27"/>
        <v>WGS 84 / SCAR IMW SS52-54</v>
      </c>
    </row>
    <row r="1749" spans="1:3" x14ac:dyDescent="0.3">
      <c r="A1749" t="s">
        <v>1807</v>
      </c>
      <c r="B1749">
        <f>IF(ISNUMBER(SEARCH(Form!$C$11,Tabel2[[#This Row],[Coordinate Projection System]])),MAX($B$1:B1748)+1,0)</f>
        <v>1748</v>
      </c>
      <c r="C1749" t="str">
        <f t="shared" si="27"/>
        <v>WGS 84 / SCAR IMW SS55-57</v>
      </c>
    </row>
    <row r="1750" spans="1:3" x14ac:dyDescent="0.3">
      <c r="A1750" t="s">
        <v>1808</v>
      </c>
      <c r="B1750">
        <f>IF(ISNUMBER(SEARCH(Form!$C$11,Tabel2[[#This Row],[Coordinate Projection System]])),MAX($B$1:B1749)+1,0)</f>
        <v>1749</v>
      </c>
      <c r="C1750" t="str">
        <f t="shared" si="27"/>
        <v>WGS 84 / SCAR IMW SS58-60</v>
      </c>
    </row>
    <row r="1751" spans="1:3" x14ac:dyDescent="0.3">
      <c r="A1751" t="s">
        <v>1809</v>
      </c>
      <c r="B1751">
        <f>IF(ISNUMBER(SEARCH(Form!$C$11,Tabel2[[#This Row],[Coordinate Projection System]])),MAX($B$1:B1750)+1,0)</f>
        <v>1750</v>
      </c>
      <c r="C1751" t="str">
        <f t="shared" si="27"/>
        <v>WGS 84 / SCAR IMW ST01-04</v>
      </c>
    </row>
    <row r="1752" spans="1:3" x14ac:dyDescent="0.3">
      <c r="A1752" t="s">
        <v>1810</v>
      </c>
      <c r="B1752">
        <f>IF(ISNUMBER(SEARCH(Form!$C$11,Tabel2[[#This Row],[Coordinate Projection System]])),MAX($B$1:B1751)+1,0)</f>
        <v>1751</v>
      </c>
      <c r="C1752" t="str">
        <f t="shared" si="27"/>
        <v>WGS 84 / SCAR IMW ST05-08</v>
      </c>
    </row>
    <row r="1753" spans="1:3" x14ac:dyDescent="0.3">
      <c r="A1753" t="s">
        <v>1811</v>
      </c>
      <c r="B1753">
        <f>IF(ISNUMBER(SEARCH(Form!$C$11,Tabel2[[#This Row],[Coordinate Projection System]])),MAX($B$1:B1752)+1,0)</f>
        <v>1752</v>
      </c>
      <c r="C1753" t="str">
        <f t="shared" si="27"/>
        <v>WGS 84 / SCAR IMW ST09-12</v>
      </c>
    </row>
    <row r="1754" spans="1:3" x14ac:dyDescent="0.3">
      <c r="A1754" t="s">
        <v>1812</v>
      </c>
      <c r="B1754">
        <f>IF(ISNUMBER(SEARCH(Form!$C$11,Tabel2[[#This Row],[Coordinate Projection System]])),MAX($B$1:B1753)+1,0)</f>
        <v>1753</v>
      </c>
      <c r="C1754" t="str">
        <f t="shared" si="27"/>
        <v>WGS 84 / SCAR IMW ST13-16</v>
      </c>
    </row>
    <row r="1755" spans="1:3" x14ac:dyDescent="0.3">
      <c r="A1755" t="s">
        <v>1813</v>
      </c>
      <c r="B1755">
        <f>IF(ISNUMBER(SEARCH(Form!$C$11,Tabel2[[#This Row],[Coordinate Projection System]])),MAX($B$1:B1754)+1,0)</f>
        <v>1754</v>
      </c>
      <c r="C1755" t="str">
        <f t="shared" si="27"/>
        <v>WGS 84 / SCAR IMW ST17-20</v>
      </c>
    </row>
    <row r="1756" spans="1:3" x14ac:dyDescent="0.3">
      <c r="A1756" t="s">
        <v>1814</v>
      </c>
      <c r="B1756">
        <f>IF(ISNUMBER(SEARCH(Form!$C$11,Tabel2[[#This Row],[Coordinate Projection System]])),MAX($B$1:B1755)+1,0)</f>
        <v>1755</v>
      </c>
      <c r="C1756" t="str">
        <f t="shared" si="27"/>
        <v>WGS 84 / SCAR IMW ST21-24</v>
      </c>
    </row>
    <row r="1757" spans="1:3" x14ac:dyDescent="0.3">
      <c r="A1757" t="s">
        <v>1815</v>
      </c>
      <c r="B1757">
        <f>IF(ISNUMBER(SEARCH(Form!$C$11,Tabel2[[#This Row],[Coordinate Projection System]])),MAX($B$1:B1756)+1,0)</f>
        <v>1756</v>
      </c>
      <c r="C1757" t="str">
        <f t="shared" si="27"/>
        <v>WGS 84 / SCAR IMW ST25-28</v>
      </c>
    </row>
    <row r="1758" spans="1:3" x14ac:dyDescent="0.3">
      <c r="A1758" t="s">
        <v>1816</v>
      </c>
      <c r="B1758">
        <f>IF(ISNUMBER(SEARCH(Form!$C$11,Tabel2[[#This Row],[Coordinate Projection System]])),MAX($B$1:B1757)+1,0)</f>
        <v>1757</v>
      </c>
      <c r="C1758" t="str">
        <f t="shared" si="27"/>
        <v>WGS 84 / SCAR IMW ST29-32</v>
      </c>
    </row>
    <row r="1759" spans="1:3" x14ac:dyDescent="0.3">
      <c r="A1759" t="s">
        <v>1817</v>
      </c>
      <c r="B1759">
        <f>IF(ISNUMBER(SEARCH(Form!$C$11,Tabel2[[#This Row],[Coordinate Projection System]])),MAX($B$1:B1758)+1,0)</f>
        <v>1758</v>
      </c>
      <c r="C1759" t="str">
        <f t="shared" si="27"/>
        <v>WGS 84 / SCAR IMW ST33-36</v>
      </c>
    </row>
    <row r="1760" spans="1:3" x14ac:dyDescent="0.3">
      <c r="A1760" t="s">
        <v>1818</v>
      </c>
      <c r="B1760">
        <f>IF(ISNUMBER(SEARCH(Form!$C$11,Tabel2[[#This Row],[Coordinate Projection System]])),MAX($B$1:B1759)+1,0)</f>
        <v>1759</v>
      </c>
      <c r="C1760" t="str">
        <f t="shared" si="27"/>
        <v>WGS 84 / SCAR IMW ST37-40</v>
      </c>
    </row>
    <row r="1761" spans="1:3" x14ac:dyDescent="0.3">
      <c r="A1761" t="s">
        <v>1819</v>
      </c>
      <c r="B1761">
        <f>IF(ISNUMBER(SEARCH(Form!$C$11,Tabel2[[#This Row],[Coordinate Projection System]])),MAX($B$1:B1760)+1,0)</f>
        <v>1760</v>
      </c>
      <c r="C1761" t="str">
        <f t="shared" si="27"/>
        <v>WGS 84 / SCAR IMW ST41-44</v>
      </c>
    </row>
    <row r="1762" spans="1:3" x14ac:dyDescent="0.3">
      <c r="A1762" t="s">
        <v>1820</v>
      </c>
      <c r="B1762">
        <f>IF(ISNUMBER(SEARCH(Form!$C$11,Tabel2[[#This Row],[Coordinate Projection System]])),MAX($B$1:B1761)+1,0)</f>
        <v>1761</v>
      </c>
      <c r="C1762" t="str">
        <f t="shared" si="27"/>
        <v>WGS 84 / SCAR IMW ST45-48</v>
      </c>
    </row>
    <row r="1763" spans="1:3" x14ac:dyDescent="0.3">
      <c r="A1763" t="s">
        <v>1821</v>
      </c>
      <c r="B1763">
        <f>IF(ISNUMBER(SEARCH(Form!$C$11,Tabel2[[#This Row],[Coordinate Projection System]])),MAX($B$1:B1762)+1,0)</f>
        <v>1762</v>
      </c>
      <c r="C1763" t="str">
        <f t="shared" si="27"/>
        <v>WGS 84 / SCAR IMW ST49-52</v>
      </c>
    </row>
    <row r="1764" spans="1:3" x14ac:dyDescent="0.3">
      <c r="A1764" t="s">
        <v>1822</v>
      </c>
      <c r="B1764">
        <f>IF(ISNUMBER(SEARCH(Form!$C$11,Tabel2[[#This Row],[Coordinate Projection System]])),MAX($B$1:B1763)+1,0)</f>
        <v>1763</v>
      </c>
      <c r="C1764" t="str">
        <f t="shared" si="27"/>
        <v>WGS 84 / SCAR IMW ST53-56</v>
      </c>
    </row>
    <row r="1765" spans="1:3" x14ac:dyDescent="0.3">
      <c r="A1765" t="s">
        <v>1823</v>
      </c>
      <c r="B1765">
        <f>IF(ISNUMBER(SEARCH(Form!$C$11,Tabel2[[#This Row],[Coordinate Projection System]])),MAX($B$1:B1764)+1,0)</f>
        <v>1764</v>
      </c>
      <c r="C1765" t="str">
        <f t="shared" si="27"/>
        <v>WGS 84 / SCAR IMW ST57-60</v>
      </c>
    </row>
    <row r="1766" spans="1:3" x14ac:dyDescent="0.3">
      <c r="A1766" t="s">
        <v>1824</v>
      </c>
      <c r="B1766">
        <f>IF(ISNUMBER(SEARCH(Form!$C$11,Tabel2[[#This Row],[Coordinate Projection System]])),MAX($B$1:B1765)+1,0)</f>
        <v>1765</v>
      </c>
      <c r="C1766" t="str">
        <f t="shared" si="27"/>
        <v>WGS 84 / SCAR IMW SU01-05</v>
      </c>
    </row>
    <row r="1767" spans="1:3" x14ac:dyDescent="0.3">
      <c r="A1767" t="s">
        <v>1825</v>
      </c>
      <c r="B1767">
        <f>IF(ISNUMBER(SEARCH(Form!$C$11,Tabel2[[#This Row],[Coordinate Projection System]])),MAX($B$1:B1766)+1,0)</f>
        <v>1766</v>
      </c>
      <c r="C1767" t="str">
        <f t="shared" si="27"/>
        <v>WGS 84 / SCAR IMW SU06-10</v>
      </c>
    </row>
    <row r="1768" spans="1:3" x14ac:dyDescent="0.3">
      <c r="A1768" t="s">
        <v>1826</v>
      </c>
      <c r="B1768">
        <f>IF(ISNUMBER(SEARCH(Form!$C$11,Tabel2[[#This Row],[Coordinate Projection System]])),MAX($B$1:B1767)+1,0)</f>
        <v>1767</v>
      </c>
      <c r="C1768" t="str">
        <f t="shared" si="27"/>
        <v>WGS 84 / SCAR IMW SU11-15</v>
      </c>
    </row>
    <row r="1769" spans="1:3" x14ac:dyDescent="0.3">
      <c r="A1769" t="s">
        <v>1827</v>
      </c>
      <c r="B1769">
        <f>IF(ISNUMBER(SEARCH(Form!$C$11,Tabel2[[#This Row],[Coordinate Projection System]])),MAX($B$1:B1768)+1,0)</f>
        <v>1768</v>
      </c>
      <c r="C1769" t="str">
        <f t="shared" si="27"/>
        <v>WGS 84 / SCAR IMW SU16-20</v>
      </c>
    </row>
    <row r="1770" spans="1:3" x14ac:dyDescent="0.3">
      <c r="A1770" t="s">
        <v>1828</v>
      </c>
      <c r="B1770">
        <f>IF(ISNUMBER(SEARCH(Form!$C$11,Tabel2[[#This Row],[Coordinate Projection System]])),MAX($B$1:B1769)+1,0)</f>
        <v>1769</v>
      </c>
      <c r="C1770" t="str">
        <f t="shared" si="27"/>
        <v>WGS 84 / SCAR IMW SU21-25</v>
      </c>
    </row>
    <row r="1771" spans="1:3" x14ac:dyDescent="0.3">
      <c r="A1771" t="s">
        <v>1829</v>
      </c>
      <c r="B1771">
        <f>IF(ISNUMBER(SEARCH(Form!$C$11,Tabel2[[#This Row],[Coordinate Projection System]])),MAX($B$1:B1770)+1,0)</f>
        <v>1770</v>
      </c>
      <c r="C1771" t="str">
        <f t="shared" si="27"/>
        <v>WGS 84 / SCAR IMW SU26-30</v>
      </c>
    </row>
    <row r="1772" spans="1:3" x14ac:dyDescent="0.3">
      <c r="A1772" t="s">
        <v>1830</v>
      </c>
      <c r="B1772">
        <f>IF(ISNUMBER(SEARCH(Form!$C$11,Tabel2[[#This Row],[Coordinate Projection System]])),MAX($B$1:B1771)+1,0)</f>
        <v>1771</v>
      </c>
      <c r="C1772" t="str">
        <f t="shared" si="27"/>
        <v>WGS 84 / SCAR IMW SU31-35</v>
      </c>
    </row>
    <row r="1773" spans="1:3" x14ac:dyDescent="0.3">
      <c r="A1773" t="s">
        <v>1831</v>
      </c>
      <c r="B1773">
        <f>IF(ISNUMBER(SEARCH(Form!$C$11,Tabel2[[#This Row],[Coordinate Projection System]])),MAX($B$1:B1772)+1,0)</f>
        <v>1772</v>
      </c>
      <c r="C1773" t="str">
        <f t="shared" si="27"/>
        <v>WGS 84 / SCAR IMW SU36-40</v>
      </c>
    </row>
    <row r="1774" spans="1:3" x14ac:dyDescent="0.3">
      <c r="A1774" t="s">
        <v>1832</v>
      </c>
      <c r="B1774">
        <f>IF(ISNUMBER(SEARCH(Form!$C$11,Tabel2[[#This Row],[Coordinate Projection System]])),MAX($B$1:B1773)+1,0)</f>
        <v>1773</v>
      </c>
      <c r="C1774" t="str">
        <f t="shared" si="27"/>
        <v>WGS 84 / SCAR IMW SU41-45</v>
      </c>
    </row>
    <row r="1775" spans="1:3" x14ac:dyDescent="0.3">
      <c r="A1775" t="s">
        <v>1833</v>
      </c>
      <c r="B1775">
        <f>IF(ISNUMBER(SEARCH(Form!$C$11,Tabel2[[#This Row],[Coordinate Projection System]])),MAX($B$1:B1774)+1,0)</f>
        <v>1774</v>
      </c>
      <c r="C1775" t="str">
        <f t="shared" si="27"/>
        <v>WGS 84 / SCAR IMW SU46-50</v>
      </c>
    </row>
    <row r="1776" spans="1:3" x14ac:dyDescent="0.3">
      <c r="A1776" t="s">
        <v>1834</v>
      </c>
      <c r="B1776">
        <f>IF(ISNUMBER(SEARCH(Form!$C$11,Tabel2[[#This Row],[Coordinate Projection System]])),MAX($B$1:B1775)+1,0)</f>
        <v>1775</v>
      </c>
      <c r="C1776" t="str">
        <f t="shared" si="27"/>
        <v>WGS 84 / SCAR IMW SU51-55</v>
      </c>
    </row>
    <row r="1777" spans="1:3" x14ac:dyDescent="0.3">
      <c r="A1777" t="s">
        <v>1835</v>
      </c>
      <c r="B1777">
        <f>IF(ISNUMBER(SEARCH(Form!$C$11,Tabel2[[#This Row],[Coordinate Projection System]])),MAX($B$1:B1776)+1,0)</f>
        <v>1776</v>
      </c>
      <c r="C1777" t="str">
        <f t="shared" si="27"/>
        <v>WGS 84 / SCAR IMW SU56-60</v>
      </c>
    </row>
    <row r="1778" spans="1:3" x14ac:dyDescent="0.3">
      <c r="A1778" t="s">
        <v>1836</v>
      </c>
      <c r="B1778">
        <f>IF(ISNUMBER(SEARCH(Form!$C$11,Tabel2[[#This Row],[Coordinate Projection System]])),MAX($B$1:B1777)+1,0)</f>
        <v>1777</v>
      </c>
      <c r="C1778" t="str">
        <f t="shared" si="27"/>
        <v>WGS 84 / SCAR IMW SV01-10</v>
      </c>
    </row>
    <row r="1779" spans="1:3" x14ac:dyDescent="0.3">
      <c r="A1779" t="s">
        <v>1837</v>
      </c>
      <c r="B1779">
        <f>IF(ISNUMBER(SEARCH(Form!$C$11,Tabel2[[#This Row],[Coordinate Projection System]])),MAX($B$1:B1778)+1,0)</f>
        <v>1778</v>
      </c>
      <c r="C1779" t="str">
        <f t="shared" si="27"/>
        <v>WGS 84 / SCAR IMW SV11-20</v>
      </c>
    </row>
    <row r="1780" spans="1:3" x14ac:dyDescent="0.3">
      <c r="A1780" t="s">
        <v>1838</v>
      </c>
      <c r="B1780">
        <f>IF(ISNUMBER(SEARCH(Form!$C$11,Tabel2[[#This Row],[Coordinate Projection System]])),MAX($B$1:B1779)+1,0)</f>
        <v>1779</v>
      </c>
      <c r="C1780" t="str">
        <f t="shared" si="27"/>
        <v>WGS 84 / SCAR IMW SV21-30</v>
      </c>
    </row>
    <row r="1781" spans="1:3" x14ac:dyDescent="0.3">
      <c r="A1781" t="s">
        <v>1839</v>
      </c>
      <c r="B1781">
        <f>IF(ISNUMBER(SEARCH(Form!$C$11,Tabel2[[#This Row],[Coordinate Projection System]])),MAX($B$1:B1780)+1,0)</f>
        <v>1780</v>
      </c>
      <c r="C1781" t="str">
        <f t="shared" si="27"/>
        <v>WGS 84 / SCAR IMW SV31-40</v>
      </c>
    </row>
    <row r="1782" spans="1:3" x14ac:dyDescent="0.3">
      <c r="A1782" t="s">
        <v>1840</v>
      </c>
      <c r="B1782">
        <f>IF(ISNUMBER(SEARCH(Form!$C$11,Tabel2[[#This Row],[Coordinate Projection System]])),MAX($B$1:B1781)+1,0)</f>
        <v>1781</v>
      </c>
      <c r="C1782" t="str">
        <f t="shared" si="27"/>
        <v>WGS 84 / SCAR IMW SV41-50</v>
      </c>
    </row>
    <row r="1783" spans="1:3" x14ac:dyDescent="0.3">
      <c r="A1783" t="s">
        <v>1841</v>
      </c>
      <c r="B1783">
        <f>IF(ISNUMBER(SEARCH(Form!$C$11,Tabel2[[#This Row],[Coordinate Projection System]])),MAX($B$1:B1782)+1,0)</f>
        <v>1782</v>
      </c>
      <c r="C1783" t="str">
        <f t="shared" si="27"/>
        <v>WGS 84 / SCAR IMW SV51-60</v>
      </c>
    </row>
    <row r="1784" spans="1:3" x14ac:dyDescent="0.3">
      <c r="A1784" t="s">
        <v>1842</v>
      </c>
      <c r="B1784">
        <f>IF(ISNUMBER(SEARCH(Form!$C$11,Tabel2[[#This Row],[Coordinate Projection System]])),MAX($B$1:B1783)+1,0)</f>
        <v>1783</v>
      </c>
      <c r="C1784" t="str">
        <f t="shared" si="27"/>
        <v>WGS 84 / SCAR IMW SW01-60</v>
      </c>
    </row>
    <row r="1785" spans="1:3" x14ac:dyDescent="0.3">
      <c r="A1785" t="s">
        <v>1843</v>
      </c>
      <c r="B1785">
        <f>IF(ISNUMBER(SEARCH(Form!$C$11,Tabel2[[#This Row],[Coordinate Projection System]])),MAX($B$1:B1784)+1,0)</f>
        <v>1784</v>
      </c>
      <c r="C1785" t="str">
        <f t="shared" si="27"/>
        <v>WGS 84 / USGS Transantarctic Mountains</v>
      </c>
    </row>
    <row r="1786" spans="1:3" x14ac:dyDescent="0.3">
      <c r="A1786" t="s">
        <v>1844</v>
      </c>
      <c r="B1786">
        <f>IF(ISNUMBER(SEARCH(Form!$C$11,Tabel2[[#This Row],[Coordinate Projection System]])),MAX($B$1:B1785)+1,0)</f>
        <v>1785</v>
      </c>
      <c r="C1786" t="str">
        <f t="shared" si="27"/>
        <v>Guam 1963 / Yap IslandsUnable to translate coordinate system EPSG:3295 into PROJ.4 format.</v>
      </c>
    </row>
    <row r="1787" spans="1:3" x14ac:dyDescent="0.3">
      <c r="A1787" t="s">
        <v>1845</v>
      </c>
      <c r="B1787">
        <f>IF(ISNUMBER(SEARCH(Form!$C$11,Tabel2[[#This Row],[Coordinate Projection System]])),MAX($B$1:B1786)+1,0)</f>
        <v>1786</v>
      </c>
      <c r="C1787" t="str">
        <f t="shared" si="27"/>
        <v>RGPF / UTM zone 5S</v>
      </c>
    </row>
    <row r="1788" spans="1:3" x14ac:dyDescent="0.3">
      <c r="A1788" t="s">
        <v>1846</v>
      </c>
      <c r="B1788">
        <f>IF(ISNUMBER(SEARCH(Form!$C$11,Tabel2[[#This Row],[Coordinate Projection System]])),MAX($B$1:B1787)+1,0)</f>
        <v>1787</v>
      </c>
      <c r="C1788" t="str">
        <f t="shared" si="27"/>
        <v>RGPF / UTM zone 6S</v>
      </c>
    </row>
    <row r="1789" spans="1:3" x14ac:dyDescent="0.3">
      <c r="A1789" t="s">
        <v>1847</v>
      </c>
      <c r="B1789">
        <f>IF(ISNUMBER(SEARCH(Form!$C$11,Tabel2[[#This Row],[Coordinate Projection System]])),MAX($B$1:B1788)+1,0)</f>
        <v>1788</v>
      </c>
      <c r="C1789" t="str">
        <f t="shared" si="27"/>
        <v>RGPF / UTM zone 7S</v>
      </c>
    </row>
    <row r="1790" spans="1:3" x14ac:dyDescent="0.3">
      <c r="A1790" t="s">
        <v>1848</v>
      </c>
      <c r="B1790">
        <f>IF(ISNUMBER(SEARCH(Form!$C$11,Tabel2[[#This Row],[Coordinate Projection System]])),MAX($B$1:B1789)+1,0)</f>
        <v>1789</v>
      </c>
      <c r="C1790" t="str">
        <f t="shared" si="27"/>
        <v>RGPF / UTM zone 8S</v>
      </c>
    </row>
    <row r="1791" spans="1:3" x14ac:dyDescent="0.3">
      <c r="A1791" t="s">
        <v>1849</v>
      </c>
      <c r="B1791">
        <f>IF(ISNUMBER(SEARCH(Form!$C$11,Tabel2[[#This Row],[Coordinate Projection System]])),MAX($B$1:B1790)+1,0)</f>
        <v>1790</v>
      </c>
      <c r="C1791" t="str">
        <f t="shared" si="27"/>
        <v>Estonian Coordinate System of 1992</v>
      </c>
    </row>
    <row r="1792" spans="1:3" x14ac:dyDescent="0.3">
      <c r="A1792" t="s">
        <v>1850</v>
      </c>
      <c r="B1792">
        <f>IF(ISNUMBER(SEARCH(Form!$C$11,Tabel2[[#This Row],[Coordinate Projection System]])),MAX($B$1:B1791)+1,0)</f>
        <v>1791</v>
      </c>
      <c r="C1792" t="str">
        <f t="shared" si="27"/>
        <v>Estonian Coordinate System of 1997</v>
      </c>
    </row>
    <row r="1793" spans="1:3" x14ac:dyDescent="0.3">
      <c r="A1793" t="s">
        <v>1851</v>
      </c>
      <c r="B1793">
        <f>IF(ISNUMBER(SEARCH(Form!$C$11,Tabel2[[#This Row],[Coordinate Projection System]])),MAX($B$1:B1792)+1,0)</f>
        <v>1792</v>
      </c>
      <c r="C1793" t="str">
        <f t="shared" si="27"/>
        <v>IGN63 Hiva Oa / UTM zone 7S</v>
      </c>
    </row>
    <row r="1794" spans="1:3" x14ac:dyDescent="0.3">
      <c r="A1794" t="s">
        <v>1852</v>
      </c>
      <c r="B1794">
        <f>IF(ISNUMBER(SEARCH(Form!$C$11,Tabel2[[#This Row],[Coordinate Projection System]])),MAX($B$1:B1793)+1,0)</f>
        <v>1793</v>
      </c>
      <c r="C1794" t="str">
        <f t="shared" si="27"/>
        <v>Fatu Iva 72 / UTM zone 7S</v>
      </c>
    </row>
    <row r="1795" spans="1:3" x14ac:dyDescent="0.3">
      <c r="A1795" t="s">
        <v>1853</v>
      </c>
      <c r="B1795">
        <f>IF(ISNUMBER(SEARCH(Form!$C$11,Tabel2[[#This Row],[Coordinate Projection System]])),MAX($B$1:B1794)+1,0)</f>
        <v>1794</v>
      </c>
      <c r="C1795" t="str">
        <f t="shared" ref="C1795:C1858" si="28">_xlfn.IFNA(INDEX(A1795:A7306,MATCH(ROW(C1794),B1795:B7306,0)),"")</f>
        <v>Tahiti 79 / UTM zone 6S</v>
      </c>
    </row>
    <row r="1796" spans="1:3" x14ac:dyDescent="0.3">
      <c r="A1796" t="s">
        <v>1854</v>
      </c>
      <c r="B1796">
        <f>IF(ISNUMBER(SEARCH(Form!$C$11,Tabel2[[#This Row],[Coordinate Projection System]])),MAX($B$1:B1795)+1,0)</f>
        <v>1795</v>
      </c>
      <c r="C1796" t="str">
        <f t="shared" si="28"/>
        <v>Moorea 87 / UTM zone 6S</v>
      </c>
    </row>
    <row r="1797" spans="1:3" x14ac:dyDescent="0.3">
      <c r="A1797" t="s">
        <v>1855</v>
      </c>
      <c r="B1797">
        <f>IF(ISNUMBER(SEARCH(Form!$C$11,Tabel2[[#This Row],[Coordinate Projection System]])),MAX($B$1:B1796)+1,0)</f>
        <v>1796</v>
      </c>
      <c r="C1797" t="str">
        <f t="shared" si="28"/>
        <v>Maupiti 83 / UTM zone 5S</v>
      </c>
    </row>
    <row r="1798" spans="1:3" x14ac:dyDescent="0.3">
      <c r="A1798" t="s">
        <v>1856</v>
      </c>
      <c r="B1798">
        <f>IF(ISNUMBER(SEARCH(Form!$C$11,Tabel2[[#This Row],[Coordinate Projection System]])),MAX($B$1:B1797)+1,0)</f>
        <v>1797</v>
      </c>
      <c r="C1798" t="str">
        <f t="shared" si="28"/>
        <v>Nakhl-e Ghanem / UTM zone 39N</v>
      </c>
    </row>
    <row r="1799" spans="1:3" x14ac:dyDescent="0.3">
      <c r="A1799" t="s">
        <v>1857</v>
      </c>
      <c r="B1799">
        <f>IF(ISNUMBER(SEARCH(Form!$C$11,Tabel2[[#This Row],[Coordinate Projection System]])),MAX($B$1:B1798)+1,0)</f>
        <v>1798</v>
      </c>
      <c r="C1799" t="str">
        <f t="shared" si="28"/>
        <v>GDA94 / NSW Lambert</v>
      </c>
    </row>
    <row r="1800" spans="1:3" x14ac:dyDescent="0.3">
      <c r="A1800" t="s">
        <v>1858</v>
      </c>
      <c r="B1800">
        <f>IF(ISNUMBER(SEARCH(Form!$C$11,Tabel2[[#This Row],[Coordinate Projection System]])),MAX($B$1:B1799)+1,0)</f>
        <v>1799</v>
      </c>
      <c r="C1800" t="str">
        <f t="shared" si="28"/>
        <v>NAD27 / California Albers</v>
      </c>
    </row>
    <row r="1801" spans="1:3" x14ac:dyDescent="0.3">
      <c r="A1801" t="s">
        <v>1859</v>
      </c>
      <c r="B1801">
        <f>IF(ISNUMBER(SEARCH(Form!$C$11,Tabel2[[#This Row],[Coordinate Projection System]])),MAX($B$1:B1800)+1,0)</f>
        <v>1800</v>
      </c>
      <c r="C1801" t="str">
        <f t="shared" si="28"/>
        <v>NAD83 / California Albers</v>
      </c>
    </row>
    <row r="1802" spans="1:3" x14ac:dyDescent="0.3">
      <c r="A1802" t="s">
        <v>1860</v>
      </c>
      <c r="B1802">
        <f>IF(ISNUMBER(SEARCH(Form!$C$11,Tabel2[[#This Row],[Coordinate Projection System]])),MAX($B$1:B1801)+1,0)</f>
        <v>1801</v>
      </c>
      <c r="C1802" t="str">
        <f t="shared" si="28"/>
        <v>NAD83(HARN) / California Albers</v>
      </c>
    </row>
    <row r="1803" spans="1:3" x14ac:dyDescent="0.3">
      <c r="A1803" t="s">
        <v>1861</v>
      </c>
      <c r="B1803">
        <f>IF(ISNUMBER(SEARCH(Form!$C$11,Tabel2[[#This Row],[Coordinate Projection System]])),MAX($B$1:B1802)+1,0)</f>
        <v>1802</v>
      </c>
      <c r="C1803" t="str">
        <f t="shared" si="28"/>
        <v>CSG67 / UTM zone 21N</v>
      </c>
    </row>
    <row r="1804" spans="1:3" x14ac:dyDescent="0.3">
      <c r="A1804" t="s">
        <v>1862</v>
      </c>
      <c r="B1804">
        <f>IF(ISNUMBER(SEARCH(Form!$C$11,Tabel2[[#This Row],[Coordinate Projection System]])),MAX($B$1:B1803)+1,0)</f>
        <v>1803</v>
      </c>
      <c r="C1804" t="str">
        <f t="shared" si="28"/>
        <v>RGFG95 / UTM zone 21N</v>
      </c>
    </row>
    <row r="1805" spans="1:3" x14ac:dyDescent="0.3">
      <c r="A1805" t="s">
        <v>1863</v>
      </c>
      <c r="B1805">
        <f>IF(ISNUMBER(SEARCH(Form!$C$11,Tabel2[[#This Row],[Coordinate Projection System]])),MAX($B$1:B1804)+1,0)</f>
        <v>1804</v>
      </c>
      <c r="C1805" t="str">
        <f t="shared" si="28"/>
        <v>Katanga 1955 / Katanga Lambert (deprecated)</v>
      </c>
    </row>
    <row r="1806" spans="1:3" x14ac:dyDescent="0.3">
      <c r="A1806" t="s">
        <v>1864</v>
      </c>
      <c r="B1806">
        <f>IF(ISNUMBER(SEARCH(Form!$C$11,Tabel2[[#This Row],[Coordinate Projection System]])),MAX($B$1:B1805)+1,0)</f>
        <v>1805</v>
      </c>
      <c r="C1806" t="str">
        <f t="shared" si="28"/>
        <v>Katanga 1955 / Katanga TM (deprecated)</v>
      </c>
    </row>
    <row r="1807" spans="1:3" x14ac:dyDescent="0.3">
      <c r="A1807" t="s">
        <v>1865</v>
      </c>
      <c r="B1807">
        <f>IF(ISNUMBER(SEARCH(Form!$C$11,Tabel2[[#This Row],[Coordinate Projection System]])),MAX($B$1:B1806)+1,0)</f>
        <v>1806</v>
      </c>
      <c r="C1807" t="str">
        <f t="shared" si="28"/>
        <v>Kasai 1953 / Congo TM zone 22</v>
      </c>
    </row>
    <row r="1808" spans="1:3" x14ac:dyDescent="0.3">
      <c r="A1808" t="s">
        <v>1866</v>
      </c>
      <c r="B1808">
        <f>IF(ISNUMBER(SEARCH(Form!$C$11,Tabel2[[#This Row],[Coordinate Projection System]])),MAX($B$1:B1807)+1,0)</f>
        <v>1807</v>
      </c>
      <c r="C1808" t="str">
        <f t="shared" si="28"/>
        <v>Kasai 1953 / Congo TM zone 24</v>
      </c>
    </row>
    <row r="1809" spans="1:3" x14ac:dyDescent="0.3">
      <c r="A1809" t="s">
        <v>1867</v>
      </c>
      <c r="B1809">
        <f>IF(ISNUMBER(SEARCH(Form!$C$11,Tabel2[[#This Row],[Coordinate Projection System]])),MAX($B$1:B1808)+1,0)</f>
        <v>1808</v>
      </c>
      <c r="C1809" t="str">
        <f t="shared" si="28"/>
        <v>IGC 1962 / Congo TM zone 12</v>
      </c>
    </row>
    <row r="1810" spans="1:3" x14ac:dyDescent="0.3">
      <c r="A1810" t="s">
        <v>1868</v>
      </c>
      <c r="B1810">
        <f>IF(ISNUMBER(SEARCH(Form!$C$11,Tabel2[[#This Row],[Coordinate Projection System]])),MAX($B$1:B1809)+1,0)</f>
        <v>1809</v>
      </c>
      <c r="C1810" t="str">
        <f t="shared" si="28"/>
        <v>IGC 1962 / Congo TM zone 14</v>
      </c>
    </row>
    <row r="1811" spans="1:3" x14ac:dyDescent="0.3">
      <c r="A1811" t="s">
        <v>1869</v>
      </c>
      <c r="B1811">
        <f>IF(ISNUMBER(SEARCH(Form!$C$11,Tabel2[[#This Row],[Coordinate Projection System]])),MAX($B$1:B1810)+1,0)</f>
        <v>1810</v>
      </c>
      <c r="C1811" t="str">
        <f t="shared" si="28"/>
        <v>IGC 1962 / Congo TM zone 16</v>
      </c>
    </row>
    <row r="1812" spans="1:3" x14ac:dyDescent="0.3">
      <c r="A1812" t="s">
        <v>1870</v>
      </c>
      <c r="B1812">
        <f>IF(ISNUMBER(SEARCH(Form!$C$11,Tabel2[[#This Row],[Coordinate Projection System]])),MAX($B$1:B1811)+1,0)</f>
        <v>1811</v>
      </c>
      <c r="C1812" t="str">
        <f t="shared" si="28"/>
        <v>IGC 1962 / Congo TM zone 18</v>
      </c>
    </row>
    <row r="1813" spans="1:3" x14ac:dyDescent="0.3">
      <c r="A1813" t="s">
        <v>1871</v>
      </c>
      <c r="B1813">
        <f>IF(ISNUMBER(SEARCH(Form!$C$11,Tabel2[[#This Row],[Coordinate Projection System]])),MAX($B$1:B1812)+1,0)</f>
        <v>1812</v>
      </c>
      <c r="C1813" t="str">
        <f t="shared" si="28"/>
        <v>IGC 1962 / Congo TM zone 20</v>
      </c>
    </row>
    <row r="1814" spans="1:3" x14ac:dyDescent="0.3">
      <c r="A1814" t="s">
        <v>1872</v>
      </c>
      <c r="B1814">
        <f>IF(ISNUMBER(SEARCH(Form!$C$11,Tabel2[[#This Row],[Coordinate Projection System]])),MAX($B$1:B1813)+1,0)</f>
        <v>1813</v>
      </c>
      <c r="C1814" t="str">
        <f t="shared" si="28"/>
        <v>IGC 1962 / Congo TM zone 22</v>
      </c>
    </row>
    <row r="1815" spans="1:3" x14ac:dyDescent="0.3">
      <c r="A1815" t="s">
        <v>1873</v>
      </c>
      <c r="B1815">
        <f>IF(ISNUMBER(SEARCH(Form!$C$11,Tabel2[[#This Row],[Coordinate Projection System]])),MAX($B$1:B1814)+1,0)</f>
        <v>1814</v>
      </c>
      <c r="C1815" t="str">
        <f t="shared" si="28"/>
        <v>IGC 1962 / Congo TM zone 24</v>
      </c>
    </row>
    <row r="1816" spans="1:3" x14ac:dyDescent="0.3">
      <c r="A1816" t="s">
        <v>1874</v>
      </c>
      <c r="B1816">
        <f>IF(ISNUMBER(SEARCH(Form!$C$11,Tabel2[[#This Row],[Coordinate Projection System]])),MAX($B$1:B1815)+1,0)</f>
        <v>1815</v>
      </c>
      <c r="C1816" t="str">
        <f t="shared" si="28"/>
        <v>IGC 1962 / Congo TM zone 26</v>
      </c>
    </row>
    <row r="1817" spans="1:3" x14ac:dyDescent="0.3">
      <c r="A1817" t="s">
        <v>1875</v>
      </c>
      <c r="B1817">
        <f>IF(ISNUMBER(SEARCH(Form!$C$11,Tabel2[[#This Row],[Coordinate Projection System]])),MAX($B$1:B1816)+1,0)</f>
        <v>1816</v>
      </c>
      <c r="C1817" t="str">
        <f t="shared" si="28"/>
        <v>IGC 1962 / Congo TM zone 28</v>
      </c>
    </row>
    <row r="1818" spans="1:3" x14ac:dyDescent="0.3">
      <c r="A1818" t="s">
        <v>1876</v>
      </c>
      <c r="B1818">
        <f>IF(ISNUMBER(SEARCH(Form!$C$11,Tabel2[[#This Row],[Coordinate Projection System]])),MAX($B$1:B1817)+1,0)</f>
        <v>1817</v>
      </c>
      <c r="C1818" t="str">
        <f t="shared" si="28"/>
        <v>IGC 1962 / Congo TM zone 30</v>
      </c>
    </row>
    <row r="1819" spans="1:3" x14ac:dyDescent="0.3">
      <c r="A1819" t="s">
        <v>1877</v>
      </c>
      <c r="B1819">
        <f>IF(ISNUMBER(SEARCH(Form!$C$11,Tabel2[[#This Row],[Coordinate Projection System]])),MAX($B$1:B1818)+1,0)</f>
        <v>1818</v>
      </c>
      <c r="C1819" t="str">
        <f t="shared" si="28"/>
        <v>Pulkovo 1942(58) / GUGiK-80</v>
      </c>
    </row>
    <row r="1820" spans="1:3" x14ac:dyDescent="0.3">
      <c r="A1820" t="s">
        <v>1878</v>
      </c>
      <c r="B1820">
        <f>IF(ISNUMBER(SEARCH(Form!$C$11,Tabel2[[#This Row],[Coordinate Projection System]])),MAX($B$1:B1819)+1,0)</f>
        <v>1819</v>
      </c>
      <c r="C1820" t="str">
        <f t="shared" si="28"/>
        <v>Pulkovo 1942(58) / 3-degree Gauss-Kruger zone 5</v>
      </c>
    </row>
    <row r="1821" spans="1:3" x14ac:dyDescent="0.3">
      <c r="A1821" t="s">
        <v>1879</v>
      </c>
      <c r="B1821">
        <f>IF(ISNUMBER(SEARCH(Form!$C$11,Tabel2[[#This Row],[Coordinate Projection System]])),MAX($B$1:B1820)+1,0)</f>
        <v>1820</v>
      </c>
      <c r="C1821" t="str">
        <f t="shared" si="28"/>
        <v>Pulkovo 1942(58) / 3-degree Gauss-Kruger zone 6</v>
      </c>
    </row>
    <row r="1822" spans="1:3" x14ac:dyDescent="0.3">
      <c r="A1822" t="s">
        <v>1880</v>
      </c>
      <c r="B1822">
        <f>IF(ISNUMBER(SEARCH(Form!$C$11,Tabel2[[#This Row],[Coordinate Projection System]])),MAX($B$1:B1821)+1,0)</f>
        <v>1821</v>
      </c>
      <c r="C1822" t="str">
        <f t="shared" si="28"/>
        <v>Pulkovo 1942(58) / 3-degree Gauss-Kruger zone 7</v>
      </c>
    </row>
    <row r="1823" spans="1:3" x14ac:dyDescent="0.3">
      <c r="A1823" t="s">
        <v>1881</v>
      </c>
      <c r="B1823">
        <f>IF(ISNUMBER(SEARCH(Form!$C$11,Tabel2[[#This Row],[Coordinate Projection System]])),MAX($B$1:B1822)+1,0)</f>
        <v>1822</v>
      </c>
      <c r="C1823" t="str">
        <f t="shared" si="28"/>
        <v>Pulkovo 1942(58) / 3-degree Gauss-Kruger zone 8</v>
      </c>
    </row>
    <row r="1824" spans="1:3" x14ac:dyDescent="0.3">
      <c r="A1824" t="s">
        <v>1882</v>
      </c>
      <c r="B1824">
        <f>IF(ISNUMBER(SEARCH(Form!$C$11,Tabel2[[#This Row],[Coordinate Projection System]])),MAX($B$1:B1823)+1,0)</f>
        <v>1823</v>
      </c>
      <c r="C1824" t="str">
        <f t="shared" si="28"/>
        <v>Pulkovo 1942(58) / Gauss-Kruger zone 3</v>
      </c>
    </row>
    <row r="1825" spans="1:3" x14ac:dyDescent="0.3">
      <c r="A1825" t="s">
        <v>1883</v>
      </c>
      <c r="B1825">
        <f>IF(ISNUMBER(SEARCH(Form!$C$11,Tabel2[[#This Row],[Coordinate Projection System]])),MAX($B$1:B1824)+1,0)</f>
        <v>1824</v>
      </c>
      <c r="C1825" t="str">
        <f t="shared" si="28"/>
        <v>Pulkovo 1942(58) / Gauss-Kruger zone 4</v>
      </c>
    </row>
    <row r="1826" spans="1:3" x14ac:dyDescent="0.3">
      <c r="A1826" t="s">
        <v>1884</v>
      </c>
      <c r="B1826">
        <f>IF(ISNUMBER(SEARCH(Form!$C$11,Tabel2[[#This Row],[Coordinate Projection System]])),MAX($B$1:B1825)+1,0)</f>
        <v>1825</v>
      </c>
      <c r="C1826" t="str">
        <f t="shared" si="28"/>
        <v>Pulkovo 1942(58) / Gauss-Kruger zone 5</v>
      </c>
    </row>
    <row r="1827" spans="1:3" x14ac:dyDescent="0.3">
      <c r="A1827" t="s">
        <v>1885</v>
      </c>
      <c r="B1827">
        <f>IF(ISNUMBER(SEARCH(Form!$C$11,Tabel2[[#This Row],[Coordinate Projection System]])),MAX($B$1:B1826)+1,0)</f>
        <v>1826</v>
      </c>
      <c r="C1827" t="str">
        <f t="shared" si="28"/>
        <v>IGN 1962 Kerguelen / UTM zone 42S</v>
      </c>
    </row>
    <row r="1828" spans="1:3" x14ac:dyDescent="0.3">
      <c r="A1828" t="s">
        <v>1886</v>
      </c>
      <c r="B1828">
        <f>IF(ISNUMBER(SEARCH(Form!$C$11,Tabel2[[#This Row],[Coordinate Projection System]])),MAX($B$1:B1827)+1,0)</f>
        <v>1827</v>
      </c>
      <c r="C1828" t="str">
        <f t="shared" si="28"/>
        <v>Le Pouce 1934 / Mauritius Grid</v>
      </c>
    </row>
    <row r="1829" spans="1:3" x14ac:dyDescent="0.3">
      <c r="A1829" t="s">
        <v>1887</v>
      </c>
      <c r="B1829">
        <f>IF(ISNUMBER(SEARCH(Form!$C$11,Tabel2[[#This Row],[Coordinate Projection System]])),MAX($B$1:B1828)+1,0)</f>
        <v>1828</v>
      </c>
      <c r="C1829" t="str">
        <f t="shared" si="28"/>
        <v>NAD83 / Alaska Albers</v>
      </c>
    </row>
    <row r="1830" spans="1:3" x14ac:dyDescent="0.3">
      <c r="A1830" t="s">
        <v>1888</v>
      </c>
      <c r="B1830">
        <f>IF(ISNUMBER(SEARCH(Form!$C$11,Tabel2[[#This Row],[Coordinate Projection System]])),MAX($B$1:B1829)+1,0)</f>
        <v>1829</v>
      </c>
      <c r="C1830" t="str">
        <f t="shared" si="28"/>
        <v>IGCB 1955 / Congo TM zone 12</v>
      </c>
    </row>
    <row r="1831" spans="1:3" x14ac:dyDescent="0.3">
      <c r="A1831" t="s">
        <v>1889</v>
      </c>
      <c r="B1831">
        <f>IF(ISNUMBER(SEARCH(Form!$C$11,Tabel2[[#This Row],[Coordinate Projection System]])),MAX($B$1:B1830)+1,0)</f>
        <v>1830</v>
      </c>
      <c r="C1831" t="str">
        <f t="shared" si="28"/>
        <v>IGCB 1955 / Congo TM zone 14</v>
      </c>
    </row>
    <row r="1832" spans="1:3" x14ac:dyDescent="0.3">
      <c r="A1832" t="s">
        <v>1890</v>
      </c>
      <c r="B1832">
        <f>IF(ISNUMBER(SEARCH(Form!$C$11,Tabel2[[#This Row],[Coordinate Projection System]])),MAX($B$1:B1831)+1,0)</f>
        <v>1831</v>
      </c>
      <c r="C1832" t="str">
        <f t="shared" si="28"/>
        <v>IGCB 1955 / Congo TM zone 16</v>
      </c>
    </row>
    <row r="1833" spans="1:3" x14ac:dyDescent="0.3">
      <c r="A1833" t="s">
        <v>1891</v>
      </c>
      <c r="B1833">
        <f>IF(ISNUMBER(SEARCH(Form!$C$11,Tabel2[[#This Row],[Coordinate Projection System]])),MAX($B$1:B1832)+1,0)</f>
        <v>1832</v>
      </c>
      <c r="C1833" t="str">
        <f t="shared" si="28"/>
        <v>IGCB 1955 / UTM zone 33S</v>
      </c>
    </row>
    <row r="1834" spans="1:3" x14ac:dyDescent="0.3">
      <c r="A1834" t="s">
        <v>1892</v>
      </c>
      <c r="B1834">
        <f>IF(ISNUMBER(SEARCH(Form!$C$11,Tabel2[[#This Row],[Coordinate Projection System]])),MAX($B$1:B1833)+1,0)</f>
        <v>1833</v>
      </c>
      <c r="C1834" t="str">
        <f t="shared" si="28"/>
        <v>Mauritania 1999 / UTM zone 28N</v>
      </c>
    </row>
    <row r="1835" spans="1:3" x14ac:dyDescent="0.3">
      <c r="A1835" t="s">
        <v>1893</v>
      </c>
      <c r="B1835">
        <f>IF(ISNUMBER(SEARCH(Form!$C$11,Tabel2[[#This Row],[Coordinate Projection System]])),MAX($B$1:B1834)+1,0)</f>
        <v>1834</v>
      </c>
      <c r="C1835" t="str">
        <f t="shared" si="28"/>
        <v>Mauritania 1999 / UTM zone 29N</v>
      </c>
    </row>
    <row r="1836" spans="1:3" x14ac:dyDescent="0.3">
      <c r="A1836" t="s">
        <v>1894</v>
      </c>
      <c r="B1836">
        <f>IF(ISNUMBER(SEARCH(Form!$C$11,Tabel2[[#This Row],[Coordinate Projection System]])),MAX($B$1:B1835)+1,0)</f>
        <v>1835</v>
      </c>
      <c r="C1836" t="str">
        <f t="shared" si="28"/>
        <v>Mauritania 1999 / UTM zone 30N</v>
      </c>
    </row>
    <row r="1837" spans="1:3" x14ac:dyDescent="0.3">
      <c r="A1837" t="s">
        <v>1895</v>
      </c>
      <c r="B1837">
        <f>IF(ISNUMBER(SEARCH(Form!$C$11,Tabel2[[#This Row],[Coordinate Projection System]])),MAX($B$1:B1836)+1,0)</f>
        <v>1836</v>
      </c>
      <c r="C1837" t="str">
        <f t="shared" si="28"/>
        <v>LKS94 / Lithuania TM</v>
      </c>
    </row>
    <row r="1838" spans="1:3" x14ac:dyDescent="0.3">
      <c r="A1838" t="s">
        <v>1896</v>
      </c>
      <c r="B1838">
        <f>IF(ISNUMBER(SEARCH(Form!$C$11,Tabel2[[#This Row],[Coordinate Projection System]])),MAX($B$1:B1837)+1,0)</f>
        <v>1837</v>
      </c>
      <c r="C1838" t="str">
        <f t="shared" si="28"/>
        <v>NAD83 / Statistics Canada Lambert</v>
      </c>
    </row>
    <row r="1839" spans="1:3" x14ac:dyDescent="0.3">
      <c r="A1839" t="s">
        <v>1897</v>
      </c>
      <c r="B1839">
        <f>IF(ISNUMBER(SEARCH(Form!$C$11,Tabel2[[#This Row],[Coordinate Projection System]])),MAX($B$1:B1838)+1,0)</f>
        <v>1838</v>
      </c>
      <c r="C1839" t="str">
        <f t="shared" si="28"/>
        <v>NAD83(CSRS) / Statistics Canada Lambert</v>
      </c>
    </row>
    <row r="1840" spans="1:3" x14ac:dyDescent="0.3">
      <c r="A1840" t="s">
        <v>1898</v>
      </c>
      <c r="B1840">
        <f>IF(ISNUMBER(SEARCH(Form!$C$11,Tabel2[[#This Row],[Coordinate Projection System]])),MAX($B$1:B1839)+1,0)</f>
        <v>1839</v>
      </c>
      <c r="C1840" t="str">
        <f t="shared" si="28"/>
        <v>WGS 84 / PDC Mercator (deprecated)</v>
      </c>
    </row>
    <row r="1841" spans="1:3" x14ac:dyDescent="0.3">
      <c r="A1841" t="s">
        <v>1899</v>
      </c>
      <c r="B1841">
        <f>IF(ISNUMBER(SEARCH(Form!$C$11,Tabel2[[#This Row],[Coordinate Projection System]])),MAX($B$1:B1840)+1,0)</f>
        <v>1840</v>
      </c>
      <c r="C1841" t="str">
        <f t="shared" si="28"/>
        <v>Pulkovo 1942 / CS63 zone C0</v>
      </c>
    </row>
    <row r="1842" spans="1:3" x14ac:dyDescent="0.3">
      <c r="A1842" t="s">
        <v>1900</v>
      </c>
      <c r="B1842">
        <f>IF(ISNUMBER(SEARCH(Form!$C$11,Tabel2[[#This Row],[Coordinate Projection System]])),MAX($B$1:B1841)+1,0)</f>
        <v>1841</v>
      </c>
      <c r="C1842" t="str">
        <f t="shared" si="28"/>
        <v>Pulkovo 1942 / CS63 zone C1</v>
      </c>
    </row>
    <row r="1843" spans="1:3" x14ac:dyDescent="0.3">
      <c r="A1843" t="s">
        <v>1901</v>
      </c>
      <c r="B1843">
        <f>IF(ISNUMBER(SEARCH(Form!$C$11,Tabel2[[#This Row],[Coordinate Projection System]])),MAX($B$1:B1842)+1,0)</f>
        <v>1842</v>
      </c>
      <c r="C1843" t="str">
        <f t="shared" si="28"/>
        <v>Pulkovo 1942 / CS63 zone C2</v>
      </c>
    </row>
    <row r="1844" spans="1:3" x14ac:dyDescent="0.3">
      <c r="A1844" t="s">
        <v>1902</v>
      </c>
      <c r="B1844">
        <f>IF(ISNUMBER(SEARCH(Form!$C$11,Tabel2[[#This Row],[Coordinate Projection System]])),MAX($B$1:B1843)+1,0)</f>
        <v>1843</v>
      </c>
      <c r="C1844" t="str">
        <f t="shared" si="28"/>
        <v>Mhast (onshore) / UTM zone 32S</v>
      </c>
    </row>
    <row r="1845" spans="1:3" x14ac:dyDescent="0.3">
      <c r="A1845" t="s">
        <v>1903</v>
      </c>
      <c r="B1845">
        <f>IF(ISNUMBER(SEARCH(Form!$C$11,Tabel2[[#This Row],[Coordinate Projection System]])),MAX($B$1:B1844)+1,0)</f>
        <v>1844</v>
      </c>
      <c r="C1845" t="str">
        <f t="shared" si="28"/>
        <v>Mhast (offshore) / UTM zone 32S</v>
      </c>
    </row>
    <row r="1846" spans="1:3" x14ac:dyDescent="0.3">
      <c r="A1846" t="s">
        <v>1904</v>
      </c>
      <c r="B1846">
        <f>IF(ISNUMBER(SEARCH(Form!$C$11,Tabel2[[#This Row],[Coordinate Projection System]])),MAX($B$1:B1845)+1,0)</f>
        <v>1845</v>
      </c>
      <c r="C1846" t="str">
        <f t="shared" si="28"/>
        <v>Egypt Gulf of Suez S-650 TL / Red Belt</v>
      </c>
    </row>
    <row r="1847" spans="1:3" x14ac:dyDescent="0.3">
      <c r="A1847" t="s">
        <v>1905</v>
      </c>
      <c r="B1847">
        <f>IF(ISNUMBER(SEARCH(Form!$C$11,Tabel2[[#This Row],[Coordinate Projection System]])),MAX($B$1:B1846)+1,0)</f>
        <v>1846</v>
      </c>
      <c r="C1847" t="str">
        <f t="shared" si="28"/>
        <v>Grand Cayman 1959 / UTM zone 17N (deprecated)</v>
      </c>
    </row>
    <row r="1848" spans="1:3" x14ac:dyDescent="0.3">
      <c r="A1848" t="s">
        <v>1906</v>
      </c>
      <c r="B1848">
        <f>IF(ISNUMBER(SEARCH(Form!$C$11,Tabel2[[#This Row],[Coordinate Projection System]])),MAX($B$1:B1847)+1,0)</f>
        <v>1847</v>
      </c>
      <c r="C1848" t="str">
        <f t="shared" si="28"/>
        <v>Little Cayman 1961 / UTM zone 17N (deprecated)</v>
      </c>
    </row>
    <row r="1849" spans="1:3" x14ac:dyDescent="0.3">
      <c r="A1849" t="s">
        <v>1907</v>
      </c>
      <c r="B1849">
        <f>IF(ISNUMBER(SEARCH(Form!$C$11,Tabel2[[#This Row],[Coordinate Projection System]])),MAX($B$1:B1848)+1,0)</f>
        <v>1848</v>
      </c>
      <c r="C1849" t="str">
        <f t="shared" si="28"/>
        <v>NAD83(HARN) / North Carolina</v>
      </c>
    </row>
    <row r="1850" spans="1:3" x14ac:dyDescent="0.3">
      <c r="A1850" t="s">
        <v>1908</v>
      </c>
      <c r="B1850">
        <f>IF(ISNUMBER(SEARCH(Form!$C$11,Tabel2[[#This Row],[Coordinate Projection System]])),MAX($B$1:B1849)+1,0)</f>
        <v>1849</v>
      </c>
      <c r="C1850" t="str">
        <f t="shared" si="28"/>
        <v>NAD83(HARN) / North Carolina (ftUS) (deprecated)</v>
      </c>
    </row>
    <row r="1851" spans="1:3" x14ac:dyDescent="0.3">
      <c r="A1851" t="s">
        <v>1909</v>
      </c>
      <c r="B1851">
        <f>IF(ISNUMBER(SEARCH(Form!$C$11,Tabel2[[#This Row],[Coordinate Projection System]])),MAX($B$1:B1850)+1,0)</f>
        <v>1850</v>
      </c>
      <c r="C1851" t="str">
        <f t="shared" si="28"/>
        <v>NAD83(HARN) / South Carolina</v>
      </c>
    </row>
    <row r="1852" spans="1:3" x14ac:dyDescent="0.3">
      <c r="A1852" t="s">
        <v>1910</v>
      </c>
      <c r="B1852">
        <f>IF(ISNUMBER(SEARCH(Form!$C$11,Tabel2[[#This Row],[Coordinate Projection System]])),MAX($B$1:B1851)+1,0)</f>
        <v>1851</v>
      </c>
      <c r="C1852" t="str">
        <f t="shared" si="28"/>
        <v>NAD83(HARN) / South Carolina (ft)</v>
      </c>
    </row>
    <row r="1853" spans="1:3" x14ac:dyDescent="0.3">
      <c r="A1853" t="s">
        <v>1911</v>
      </c>
      <c r="B1853">
        <f>IF(ISNUMBER(SEARCH(Form!$C$11,Tabel2[[#This Row],[Coordinate Projection System]])),MAX($B$1:B1852)+1,0)</f>
        <v>1852</v>
      </c>
      <c r="C1853" t="str">
        <f t="shared" si="28"/>
        <v>NAD83(HARN) / Pennsylvania North</v>
      </c>
    </row>
    <row r="1854" spans="1:3" x14ac:dyDescent="0.3">
      <c r="A1854" t="s">
        <v>1912</v>
      </c>
      <c r="B1854">
        <f>IF(ISNUMBER(SEARCH(Form!$C$11,Tabel2[[#This Row],[Coordinate Projection System]])),MAX($B$1:B1853)+1,0)</f>
        <v>1853</v>
      </c>
      <c r="C1854" t="str">
        <f t="shared" si="28"/>
        <v>NAD83(HARN) / Pennsylvania North (ftUS)</v>
      </c>
    </row>
    <row r="1855" spans="1:3" x14ac:dyDescent="0.3">
      <c r="A1855" t="s">
        <v>1913</v>
      </c>
      <c r="B1855">
        <f>IF(ISNUMBER(SEARCH(Form!$C$11,Tabel2[[#This Row],[Coordinate Projection System]])),MAX($B$1:B1854)+1,0)</f>
        <v>1854</v>
      </c>
      <c r="C1855" t="str">
        <f t="shared" si="28"/>
        <v>NAD83(HARN) / Pennsylvania South</v>
      </c>
    </row>
    <row r="1856" spans="1:3" x14ac:dyDescent="0.3">
      <c r="A1856" t="s">
        <v>1914</v>
      </c>
      <c r="B1856">
        <f>IF(ISNUMBER(SEARCH(Form!$C$11,Tabel2[[#This Row],[Coordinate Projection System]])),MAX($B$1:B1855)+1,0)</f>
        <v>1855</v>
      </c>
      <c r="C1856" t="str">
        <f t="shared" si="28"/>
        <v>NAD83(HARN) / Pennsylvania South (ftUS)</v>
      </c>
    </row>
    <row r="1857" spans="1:3" x14ac:dyDescent="0.3">
      <c r="A1857" t="s">
        <v>1915</v>
      </c>
      <c r="B1857">
        <f>IF(ISNUMBER(SEARCH(Form!$C$11,Tabel2[[#This Row],[Coordinate Projection System]])),MAX($B$1:B1856)+1,0)</f>
        <v>1856</v>
      </c>
      <c r="C1857" t="str">
        <f t="shared" si="28"/>
        <v>Hong Kong 1963 Grid System (deprecated)</v>
      </c>
    </row>
    <row r="1858" spans="1:3" x14ac:dyDescent="0.3">
      <c r="A1858" t="s">
        <v>1916</v>
      </c>
      <c r="B1858">
        <f>IF(ISNUMBER(SEARCH(Form!$C$11,Tabel2[[#This Row],[Coordinate Projection System]])),MAX($B$1:B1857)+1,0)</f>
        <v>1857</v>
      </c>
      <c r="C1858" t="str">
        <f t="shared" si="28"/>
        <v>IGN Astro 1960 / UTM zone 28N</v>
      </c>
    </row>
    <row r="1859" spans="1:3" x14ac:dyDescent="0.3">
      <c r="A1859" t="s">
        <v>1917</v>
      </c>
      <c r="B1859">
        <f>IF(ISNUMBER(SEARCH(Form!$C$11,Tabel2[[#This Row],[Coordinate Projection System]])),MAX($B$1:B1858)+1,0)</f>
        <v>1858</v>
      </c>
      <c r="C1859" t="str">
        <f t="shared" ref="C1859:C1922" si="29">_xlfn.IFNA(INDEX(A1859:A7370,MATCH(ROW(C1858),B1859:B7370,0)),"")</f>
        <v>IGN Astro 1960 / UTM zone 29N</v>
      </c>
    </row>
    <row r="1860" spans="1:3" x14ac:dyDescent="0.3">
      <c r="A1860" t="s">
        <v>1918</v>
      </c>
      <c r="B1860">
        <f>IF(ISNUMBER(SEARCH(Form!$C$11,Tabel2[[#This Row],[Coordinate Projection System]])),MAX($B$1:B1859)+1,0)</f>
        <v>1859</v>
      </c>
      <c r="C1860" t="str">
        <f t="shared" si="29"/>
        <v>IGN Astro 1960 / UTM zone 30N</v>
      </c>
    </row>
    <row r="1861" spans="1:3" x14ac:dyDescent="0.3">
      <c r="A1861" t="s">
        <v>1919</v>
      </c>
      <c r="B1861">
        <f>IF(ISNUMBER(SEARCH(Form!$C$11,Tabel2[[#This Row],[Coordinate Projection System]])),MAX($B$1:B1860)+1,0)</f>
        <v>1860</v>
      </c>
      <c r="C1861" t="str">
        <f t="shared" si="29"/>
        <v>NAD27 / UTM zone 59N</v>
      </c>
    </row>
    <row r="1862" spans="1:3" x14ac:dyDescent="0.3">
      <c r="A1862" t="s">
        <v>1920</v>
      </c>
      <c r="B1862">
        <f>IF(ISNUMBER(SEARCH(Form!$C$11,Tabel2[[#This Row],[Coordinate Projection System]])),MAX($B$1:B1861)+1,0)</f>
        <v>1861</v>
      </c>
      <c r="C1862" t="str">
        <f t="shared" si="29"/>
        <v>NAD27 / UTM zone 60N</v>
      </c>
    </row>
    <row r="1863" spans="1:3" x14ac:dyDescent="0.3">
      <c r="A1863" t="s">
        <v>1921</v>
      </c>
      <c r="B1863">
        <f>IF(ISNUMBER(SEARCH(Form!$C$11,Tabel2[[#This Row],[Coordinate Projection System]])),MAX($B$1:B1862)+1,0)</f>
        <v>1862</v>
      </c>
      <c r="C1863" t="str">
        <f t="shared" si="29"/>
        <v>NAD83 / UTM zone 59N</v>
      </c>
    </row>
    <row r="1864" spans="1:3" x14ac:dyDescent="0.3">
      <c r="A1864" t="s">
        <v>1922</v>
      </c>
      <c r="B1864">
        <f>IF(ISNUMBER(SEARCH(Form!$C$11,Tabel2[[#This Row],[Coordinate Projection System]])),MAX($B$1:B1863)+1,0)</f>
        <v>1863</v>
      </c>
      <c r="C1864" t="str">
        <f t="shared" si="29"/>
        <v>NAD83 / UTM zone 60N</v>
      </c>
    </row>
    <row r="1865" spans="1:3" x14ac:dyDescent="0.3">
      <c r="A1865" t="s">
        <v>1923</v>
      </c>
      <c r="B1865">
        <f>IF(ISNUMBER(SEARCH(Form!$C$11,Tabel2[[#This Row],[Coordinate Projection System]])),MAX($B$1:B1864)+1,0)</f>
        <v>1864</v>
      </c>
      <c r="C1865" t="str">
        <f t="shared" si="29"/>
        <v>FD54 / UTM zone 29N</v>
      </c>
    </row>
    <row r="1866" spans="1:3" x14ac:dyDescent="0.3">
      <c r="A1866" t="s">
        <v>1924</v>
      </c>
      <c r="B1866">
        <f>IF(ISNUMBER(SEARCH(Form!$C$11,Tabel2[[#This Row],[Coordinate Projection System]])),MAX($B$1:B1865)+1,0)</f>
        <v>1865</v>
      </c>
      <c r="C1866" t="str">
        <f t="shared" si="29"/>
        <v>GDM2000 / Peninsula RSO</v>
      </c>
    </row>
    <row r="1867" spans="1:3" x14ac:dyDescent="0.3">
      <c r="A1867" t="s">
        <v>1925</v>
      </c>
      <c r="B1867">
        <f>IF(ISNUMBER(SEARCH(Form!$C$11,Tabel2[[#This Row],[Coordinate Projection System]])),MAX($B$1:B1866)+1,0)</f>
        <v>1866</v>
      </c>
      <c r="C1867" t="str">
        <f t="shared" si="29"/>
        <v>GDM2000 / East Malaysia BRSO</v>
      </c>
    </row>
    <row r="1868" spans="1:3" x14ac:dyDescent="0.3">
      <c r="A1868" t="s">
        <v>1926</v>
      </c>
      <c r="B1868">
        <f>IF(ISNUMBER(SEARCH(Form!$C$11,Tabel2[[#This Row],[Coordinate Projection System]])),MAX($B$1:B1867)+1,0)</f>
        <v>1867</v>
      </c>
      <c r="C1868" t="str">
        <f t="shared" si="29"/>
        <v>GDM2000 / Johor Grid</v>
      </c>
    </row>
    <row r="1869" spans="1:3" x14ac:dyDescent="0.3">
      <c r="A1869" t="s">
        <v>1927</v>
      </c>
      <c r="B1869">
        <f>IF(ISNUMBER(SEARCH(Form!$C$11,Tabel2[[#This Row],[Coordinate Projection System]])),MAX($B$1:B1868)+1,0)</f>
        <v>1868</v>
      </c>
      <c r="C1869" t="str">
        <f t="shared" si="29"/>
        <v>GDM2000 / Sembilan and Melaka Grid</v>
      </c>
    </row>
    <row r="1870" spans="1:3" x14ac:dyDescent="0.3">
      <c r="A1870" t="s">
        <v>1928</v>
      </c>
      <c r="B1870">
        <f>IF(ISNUMBER(SEARCH(Form!$C$11,Tabel2[[#This Row],[Coordinate Projection System]])),MAX($B$1:B1869)+1,0)</f>
        <v>1869</v>
      </c>
      <c r="C1870" t="str">
        <f t="shared" si="29"/>
        <v>GDM2000 / Pahang Grid</v>
      </c>
    </row>
    <row r="1871" spans="1:3" x14ac:dyDescent="0.3">
      <c r="A1871" t="s">
        <v>1929</v>
      </c>
      <c r="B1871">
        <f>IF(ISNUMBER(SEARCH(Form!$C$11,Tabel2[[#This Row],[Coordinate Projection System]])),MAX($B$1:B1870)+1,0)</f>
        <v>1870</v>
      </c>
      <c r="C1871" t="str">
        <f t="shared" si="29"/>
        <v>GDM2000 / Selangor Grid</v>
      </c>
    </row>
    <row r="1872" spans="1:3" x14ac:dyDescent="0.3">
      <c r="A1872" t="s">
        <v>1930</v>
      </c>
      <c r="B1872">
        <f>IF(ISNUMBER(SEARCH(Form!$C$11,Tabel2[[#This Row],[Coordinate Projection System]])),MAX($B$1:B1871)+1,0)</f>
        <v>1871</v>
      </c>
      <c r="C1872" t="str">
        <f t="shared" si="29"/>
        <v>GDM2000 / Terengganu Grid</v>
      </c>
    </row>
    <row r="1873" spans="1:3" x14ac:dyDescent="0.3">
      <c r="A1873" t="s">
        <v>1931</v>
      </c>
      <c r="B1873">
        <f>IF(ISNUMBER(SEARCH(Form!$C$11,Tabel2[[#This Row],[Coordinate Projection System]])),MAX($B$1:B1872)+1,0)</f>
        <v>1872</v>
      </c>
      <c r="C1873" t="str">
        <f t="shared" si="29"/>
        <v>GDM2000 / Pinang Grid</v>
      </c>
    </row>
    <row r="1874" spans="1:3" x14ac:dyDescent="0.3">
      <c r="A1874" t="s">
        <v>1932</v>
      </c>
      <c r="B1874">
        <f>IF(ISNUMBER(SEARCH(Form!$C$11,Tabel2[[#This Row],[Coordinate Projection System]])),MAX($B$1:B1873)+1,0)</f>
        <v>1873</v>
      </c>
      <c r="C1874" t="str">
        <f t="shared" si="29"/>
        <v>GDM2000 / Kedah and Perlis Grid</v>
      </c>
    </row>
    <row r="1875" spans="1:3" x14ac:dyDescent="0.3">
      <c r="A1875" t="s">
        <v>1933</v>
      </c>
      <c r="B1875">
        <f>IF(ISNUMBER(SEARCH(Form!$C$11,Tabel2[[#This Row],[Coordinate Projection System]])),MAX($B$1:B1874)+1,0)</f>
        <v>1874</v>
      </c>
      <c r="C1875" t="str">
        <f t="shared" si="29"/>
        <v>GDM2000 / Perak Grid</v>
      </c>
    </row>
    <row r="1876" spans="1:3" x14ac:dyDescent="0.3">
      <c r="A1876" t="s">
        <v>1934</v>
      </c>
      <c r="B1876">
        <f>IF(ISNUMBER(SEARCH(Form!$C$11,Tabel2[[#This Row],[Coordinate Projection System]])),MAX($B$1:B1875)+1,0)</f>
        <v>1875</v>
      </c>
      <c r="C1876" t="str">
        <f t="shared" si="29"/>
        <v>GDM2000 / Kelantan Grid</v>
      </c>
    </row>
    <row r="1877" spans="1:3" x14ac:dyDescent="0.3">
      <c r="A1877" t="s">
        <v>1935</v>
      </c>
      <c r="B1877">
        <f>IF(ISNUMBER(SEARCH(Form!$C$11,Tabel2[[#This Row],[Coordinate Projection System]])),MAX($B$1:B1876)+1,0)</f>
        <v>1876</v>
      </c>
      <c r="C1877" t="str">
        <f t="shared" si="29"/>
        <v>KKJ / Finland zone 0</v>
      </c>
    </row>
    <row r="1878" spans="1:3" x14ac:dyDescent="0.3">
      <c r="A1878" t="s">
        <v>1936</v>
      </c>
      <c r="B1878">
        <f>IF(ISNUMBER(SEARCH(Form!$C$11,Tabel2[[#This Row],[Coordinate Projection System]])),MAX($B$1:B1877)+1,0)</f>
        <v>1877</v>
      </c>
      <c r="C1878" t="str">
        <f t="shared" si="29"/>
        <v>KKJ / Finland zone 5</v>
      </c>
    </row>
    <row r="1879" spans="1:3" x14ac:dyDescent="0.3">
      <c r="A1879" t="s">
        <v>1937</v>
      </c>
      <c r="B1879">
        <f>IF(ISNUMBER(SEARCH(Form!$C$11,Tabel2[[#This Row],[Coordinate Projection System]])),MAX($B$1:B1878)+1,0)</f>
        <v>1878</v>
      </c>
      <c r="C1879" t="str">
        <f t="shared" si="29"/>
        <v>Pulkovo 1942 / Caspian Sea Mercator</v>
      </c>
    </row>
    <row r="1880" spans="1:3" x14ac:dyDescent="0.3">
      <c r="A1880" t="s">
        <v>1938</v>
      </c>
      <c r="B1880">
        <f>IF(ISNUMBER(SEARCH(Form!$C$11,Tabel2[[#This Row],[Coordinate Projection System]])),MAX($B$1:B1879)+1,0)</f>
        <v>1879</v>
      </c>
      <c r="C1880" t="str">
        <f t="shared" si="29"/>
        <v>Pulkovo 1942 / 3-degree Gauss-Kruger zone 60</v>
      </c>
    </row>
    <row r="1881" spans="1:3" x14ac:dyDescent="0.3">
      <c r="A1881" t="s">
        <v>1939</v>
      </c>
      <c r="B1881">
        <f>IF(ISNUMBER(SEARCH(Form!$C$11,Tabel2[[#This Row],[Coordinate Projection System]])),MAX($B$1:B1880)+1,0)</f>
        <v>1880</v>
      </c>
      <c r="C1881" t="str">
        <f t="shared" si="29"/>
        <v>Pulkovo 1995 / 3-degree Gauss-Kruger zone 60</v>
      </c>
    </row>
    <row r="1882" spans="1:3" x14ac:dyDescent="0.3">
      <c r="A1882" t="s">
        <v>1940</v>
      </c>
      <c r="B1882">
        <f>IF(ISNUMBER(SEARCH(Form!$C$11,Tabel2[[#This Row],[Coordinate Projection System]])),MAX($B$1:B1881)+1,0)</f>
        <v>1881</v>
      </c>
      <c r="C1882" t="str">
        <f t="shared" si="29"/>
        <v>Karbala 1979 / UTM zone 37N</v>
      </c>
    </row>
    <row r="1883" spans="1:3" x14ac:dyDescent="0.3">
      <c r="A1883" t="s">
        <v>1941</v>
      </c>
      <c r="B1883">
        <f>IF(ISNUMBER(SEARCH(Form!$C$11,Tabel2[[#This Row],[Coordinate Projection System]])),MAX($B$1:B1882)+1,0)</f>
        <v>1882</v>
      </c>
      <c r="C1883" t="str">
        <f t="shared" si="29"/>
        <v>Karbala 1979 / UTM zone 38N</v>
      </c>
    </row>
    <row r="1884" spans="1:3" x14ac:dyDescent="0.3">
      <c r="A1884" t="s">
        <v>1942</v>
      </c>
      <c r="B1884">
        <f>IF(ISNUMBER(SEARCH(Form!$C$11,Tabel2[[#This Row],[Coordinate Projection System]])),MAX($B$1:B1883)+1,0)</f>
        <v>1883</v>
      </c>
      <c r="C1884" t="str">
        <f t="shared" si="29"/>
        <v>Karbala 1979 / UTM zone 39N</v>
      </c>
    </row>
    <row r="1885" spans="1:3" x14ac:dyDescent="0.3">
      <c r="A1885" t="s">
        <v>1943</v>
      </c>
      <c r="B1885">
        <f>IF(ISNUMBER(SEARCH(Form!$C$11,Tabel2[[#This Row],[Coordinate Projection System]])),MAX($B$1:B1884)+1,0)</f>
        <v>1884</v>
      </c>
      <c r="C1885" t="str">
        <f t="shared" si="29"/>
        <v>Nahrwan 1934 / Iraq zone</v>
      </c>
    </row>
    <row r="1886" spans="1:3" x14ac:dyDescent="0.3">
      <c r="A1886" t="s">
        <v>1944</v>
      </c>
      <c r="B1886">
        <f>IF(ISNUMBER(SEARCH(Form!$C$11,Tabel2[[#This Row],[Coordinate Projection System]])),MAX($B$1:B1885)+1,0)</f>
        <v>1885</v>
      </c>
      <c r="C1886" t="str">
        <f t="shared" si="29"/>
        <v>WGS 84 / World Mercator</v>
      </c>
    </row>
    <row r="1887" spans="1:3" x14ac:dyDescent="0.3">
      <c r="A1887" t="s">
        <v>1945</v>
      </c>
      <c r="B1887">
        <f>IF(ISNUMBER(SEARCH(Form!$C$11,Tabel2[[#This Row],[Coordinate Projection System]])),MAX($B$1:B1886)+1,0)</f>
        <v>1886</v>
      </c>
      <c r="C1887" t="str">
        <f t="shared" si="29"/>
        <v>PD/83 / 3-degree Gauss-Kruger zone 3</v>
      </c>
    </row>
    <row r="1888" spans="1:3" x14ac:dyDescent="0.3">
      <c r="A1888" t="s">
        <v>1946</v>
      </c>
      <c r="B1888">
        <f>IF(ISNUMBER(SEARCH(Form!$C$11,Tabel2[[#This Row],[Coordinate Projection System]])),MAX($B$1:B1887)+1,0)</f>
        <v>1887</v>
      </c>
      <c r="C1888" t="str">
        <f t="shared" si="29"/>
        <v>PD/83 / 3-degree Gauss-Kruger zone 4</v>
      </c>
    </row>
    <row r="1889" spans="1:3" x14ac:dyDescent="0.3">
      <c r="A1889" t="s">
        <v>1947</v>
      </c>
      <c r="B1889">
        <f>IF(ISNUMBER(SEARCH(Form!$C$11,Tabel2[[#This Row],[Coordinate Projection System]])),MAX($B$1:B1888)+1,0)</f>
        <v>1888</v>
      </c>
      <c r="C1889" t="str">
        <f t="shared" si="29"/>
        <v>RD/83 / 3-degree Gauss-Kruger zone 4</v>
      </c>
    </row>
    <row r="1890" spans="1:3" x14ac:dyDescent="0.3">
      <c r="A1890" t="s">
        <v>1948</v>
      </c>
      <c r="B1890">
        <f>IF(ISNUMBER(SEARCH(Form!$C$11,Tabel2[[#This Row],[Coordinate Projection System]])),MAX($B$1:B1889)+1,0)</f>
        <v>1889</v>
      </c>
      <c r="C1890" t="str">
        <f t="shared" si="29"/>
        <v>RD/83 / 3-degree Gauss-Kruger zone 5</v>
      </c>
    </row>
    <row r="1891" spans="1:3" x14ac:dyDescent="0.3">
      <c r="A1891" t="s">
        <v>1949</v>
      </c>
      <c r="B1891">
        <f>IF(ISNUMBER(SEARCH(Form!$C$11,Tabel2[[#This Row],[Coordinate Projection System]])),MAX($B$1:B1890)+1,0)</f>
        <v>1890</v>
      </c>
      <c r="C1891" t="str">
        <f t="shared" si="29"/>
        <v>NAD83 / Alberta 10-TM (Forest)</v>
      </c>
    </row>
    <row r="1892" spans="1:3" x14ac:dyDescent="0.3">
      <c r="A1892" t="s">
        <v>1950</v>
      </c>
      <c r="B1892">
        <f>IF(ISNUMBER(SEARCH(Form!$C$11,Tabel2[[#This Row],[Coordinate Projection System]])),MAX($B$1:B1891)+1,0)</f>
        <v>1891</v>
      </c>
      <c r="C1892" t="str">
        <f t="shared" si="29"/>
        <v>NAD83 / Alberta 10-TM (Resource)</v>
      </c>
    </row>
    <row r="1893" spans="1:3" x14ac:dyDescent="0.3">
      <c r="A1893" t="s">
        <v>1951</v>
      </c>
      <c r="B1893">
        <f>IF(ISNUMBER(SEARCH(Form!$C$11,Tabel2[[#This Row],[Coordinate Projection System]])),MAX($B$1:B1892)+1,0)</f>
        <v>1892</v>
      </c>
      <c r="C1893" t="str">
        <f t="shared" si="29"/>
        <v>NAD83(CSRS) / Alberta 10-TM (Forest)</v>
      </c>
    </row>
    <row r="1894" spans="1:3" x14ac:dyDescent="0.3">
      <c r="A1894" t="s">
        <v>1952</v>
      </c>
      <c r="B1894">
        <f>IF(ISNUMBER(SEARCH(Form!$C$11,Tabel2[[#This Row],[Coordinate Projection System]])),MAX($B$1:B1893)+1,0)</f>
        <v>1893</v>
      </c>
      <c r="C1894" t="str">
        <f t="shared" si="29"/>
        <v>NAD83(CSRS) / Alberta 10-TM (Resource)</v>
      </c>
    </row>
    <row r="1895" spans="1:3" x14ac:dyDescent="0.3">
      <c r="A1895" t="s">
        <v>1953</v>
      </c>
      <c r="B1895">
        <f>IF(ISNUMBER(SEARCH(Form!$C$11,Tabel2[[#This Row],[Coordinate Projection System]])),MAX($B$1:B1894)+1,0)</f>
        <v>1894</v>
      </c>
      <c r="C1895" t="str">
        <f t="shared" si="29"/>
        <v>NAD83(HARN) / North Carolina (ftUS)</v>
      </c>
    </row>
    <row r="1896" spans="1:3" x14ac:dyDescent="0.3">
      <c r="A1896" t="s">
        <v>1954</v>
      </c>
      <c r="B1896">
        <f>IF(ISNUMBER(SEARCH(Form!$C$11,Tabel2[[#This Row],[Coordinate Projection System]])),MAX($B$1:B1895)+1,0)</f>
        <v>1895</v>
      </c>
      <c r="C1896" t="str">
        <f t="shared" si="29"/>
        <v>VN-2000 / UTM zone 48N</v>
      </c>
    </row>
    <row r="1897" spans="1:3" x14ac:dyDescent="0.3">
      <c r="A1897" t="s">
        <v>1955</v>
      </c>
      <c r="B1897">
        <f>IF(ISNUMBER(SEARCH(Form!$C$11,Tabel2[[#This Row],[Coordinate Projection System]])),MAX($B$1:B1896)+1,0)</f>
        <v>1896</v>
      </c>
      <c r="C1897" t="str">
        <f t="shared" si="29"/>
        <v>VN-2000 / UTM zone 49N</v>
      </c>
    </row>
    <row r="1898" spans="1:3" x14ac:dyDescent="0.3">
      <c r="A1898" t="s">
        <v>1956</v>
      </c>
      <c r="B1898">
        <f>IF(ISNUMBER(SEARCH(Form!$C$11,Tabel2[[#This Row],[Coordinate Projection System]])),MAX($B$1:B1897)+1,0)</f>
        <v>1897</v>
      </c>
      <c r="C1898" t="str">
        <f t="shared" si="29"/>
        <v>Hong Kong 1963 Grid System</v>
      </c>
    </row>
    <row r="1899" spans="1:3" x14ac:dyDescent="0.3">
      <c r="A1899" t="s">
        <v>1957</v>
      </c>
      <c r="B1899">
        <f>IF(ISNUMBER(SEARCH(Form!$C$11,Tabel2[[#This Row],[Coordinate Projection System]])),MAX($B$1:B1898)+1,0)</f>
        <v>1898</v>
      </c>
      <c r="C1899" t="str">
        <f t="shared" si="29"/>
        <v>NSIDC EASE-Grid North</v>
      </c>
    </row>
    <row r="1900" spans="1:3" x14ac:dyDescent="0.3">
      <c r="A1900" t="s">
        <v>1958</v>
      </c>
      <c r="B1900">
        <f>IF(ISNUMBER(SEARCH(Form!$C$11,Tabel2[[#This Row],[Coordinate Projection System]])),MAX($B$1:B1899)+1,0)</f>
        <v>1899</v>
      </c>
      <c r="C1900" t="str">
        <f t="shared" si="29"/>
        <v>NSIDC EASE-Grid South</v>
      </c>
    </row>
    <row r="1901" spans="1:3" x14ac:dyDescent="0.3">
      <c r="A1901" t="s">
        <v>1959</v>
      </c>
      <c r="B1901">
        <f>IF(ISNUMBER(SEARCH(Form!$C$11,Tabel2[[#This Row],[Coordinate Projection System]])),MAX($B$1:B1900)+1,0)</f>
        <v>1900</v>
      </c>
      <c r="C1901" t="str">
        <f t="shared" si="29"/>
        <v>NSIDC EASE-Grid Global</v>
      </c>
    </row>
    <row r="1902" spans="1:3" x14ac:dyDescent="0.3">
      <c r="A1902" t="s">
        <v>1960</v>
      </c>
      <c r="B1902">
        <f>IF(ISNUMBER(SEARCH(Form!$C$11,Tabel2[[#This Row],[Coordinate Projection System]])),MAX($B$1:B1901)+1,0)</f>
        <v>1901</v>
      </c>
      <c r="C1902" t="str">
        <f t="shared" si="29"/>
        <v>NSIDC Sea Ice Polar Stereographic North</v>
      </c>
    </row>
    <row r="1903" spans="1:3" x14ac:dyDescent="0.3">
      <c r="A1903" t="s">
        <v>1961</v>
      </c>
      <c r="B1903">
        <f>IF(ISNUMBER(SEARCH(Form!$C$11,Tabel2[[#This Row],[Coordinate Projection System]])),MAX($B$1:B1902)+1,0)</f>
        <v>1902</v>
      </c>
      <c r="C1903" t="str">
        <f t="shared" si="29"/>
        <v>NSIDC Sea Ice Polar Stereographic South</v>
      </c>
    </row>
    <row r="1904" spans="1:3" x14ac:dyDescent="0.3">
      <c r="A1904" t="s">
        <v>1962</v>
      </c>
      <c r="B1904">
        <f>IF(ISNUMBER(SEARCH(Form!$C$11,Tabel2[[#This Row],[Coordinate Projection System]])),MAX($B$1:B1903)+1,0)</f>
        <v>1903</v>
      </c>
      <c r="C1904" t="str">
        <f t="shared" si="29"/>
        <v>WGS 84 / NSIDC Sea Ice Polar Stereographic North</v>
      </c>
    </row>
    <row r="1905" spans="1:3" x14ac:dyDescent="0.3">
      <c r="A1905" t="s">
        <v>1963</v>
      </c>
      <c r="B1905">
        <f>IF(ISNUMBER(SEARCH(Form!$C$11,Tabel2[[#This Row],[Coordinate Projection System]])),MAX($B$1:B1904)+1,0)</f>
        <v>1904</v>
      </c>
      <c r="C1905" t="str">
        <f t="shared" si="29"/>
        <v>SVY21 / Singapore TM</v>
      </c>
    </row>
    <row r="1906" spans="1:3" x14ac:dyDescent="0.3">
      <c r="A1906" t="s">
        <v>1964</v>
      </c>
      <c r="B1906">
        <f>IF(ISNUMBER(SEARCH(Form!$C$11,Tabel2[[#This Row],[Coordinate Projection System]])),MAX($B$1:B1905)+1,0)</f>
        <v>1905</v>
      </c>
      <c r="C1906" t="str">
        <f t="shared" si="29"/>
        <v>WGS 72BE / South China Sea Lambert</v>
      </c>
    </row>
    <row r="1907" spans="1:3" x14ac:dyDescent="0.3">
      <c r="A1907" t="s">
        <v>1965</v>
      </c>
      <c r="B1907">
        <f>IF(ISNUMBER(SEARCH(Form!$C$11,Tabel2[[#This Row],[Coordinate Projection System]])),MAX($B$1:B1906)+1,0)</f>
        <v>1906</v>
      </c>
      <c r="C1907" t="str">
        <f t="shared" si="29"/>
        <v>ETRS89 / Austria Lambert</v>
      </c>
    </row>
    <row r="1908" spans="1:3" x14ac:dyDescent="0.3">
      <c r="A1908" t="s">
        <v>1966</v>
      </c>
      <c r="B1908">
        <f>IF(ISNUMBER(SEARCH(Form!$C$11,Tabel2[[#This Row],[Coordinate Projection System]])),MAX($B$1:B1907)+1,0)</f>
        <v>1907</v>
      </c>
      <c r="C1908" t="str">
        <f t="shared" si="29"/>
        <v>NAD83 / Iowa North (ftUS)</v>
      </c>
    </row>
    <row r="1909" spans="1:3" x14ac:dyDescent="0.3">
      <c r="A1909" t="s">
        <v>1967</v>
      </c>
      <c r="B1909">
        <f>IF(ISNUMBER(SEARCH(Form!$C$11,Tabel2[[#This Row],[Coordinate Projection System]])),MAX($B$1:B1908)+1,0)</f>
        <v>1908</v>
      </c>
      <c r="C1909" t="str">
        <f t="shared" si="29"/>
        <v>NAD83 / Iowa South (ftUS)</v>
      </c>
    </row>
    <row r="1910" spans="1:3" x14ac:dyDescent="0.3">
      <c r="A1910" t="s">
        <v>1968</v>
      </c>
      <c r="B1910">
        <f>IF(ISNUMBER(SEARCH(Form!$C$11,Tabel2[[#This Row],[Coordinate Projection System]])),MAX($B$1:B1909)+1,0)</f>
        <v>1909</v>
      </c>
      <c r="C1910" t="str">
        <f t="shared" si="29"/>
        <v>NAD83 / Kansas North (ftUS)</v>
      </c>
    </row>
    <row r="1911" spans="1:3" x14ac:dyDescent="0.3">
      <c r="A1911" t="s">
        <v>1969</v>
      </c>
      <c r="B1911">
        <f>IF(ISNUMBER(SEARCH(Form!$C$11,Tabel2[[#This Row],[Coordinate Projection System]])),MAX($B$1:B1910)+1,0)</f>
        <v>1910</v>
      </c>
      <c r="C1911" t="str">
        <f t="shared" si="29"/>
        <v>NAD83 / Kansas South (ftUS)</v>
      </c>
    </row>
    <row r="1912" spans="1:3" x14ac:dyDescent="0.3">
      <c r="A1912" t="s">
        <v>1970</v>
      </c>
      <c r="B1912">
        <f>IF(ISNUMBER(SEARCH(Form!$C$11,Tabel2[[#This Row],[Coordinate Projection System]])),MAX($B$1:B1911)+1,0)</f>
        <v>1911</v>
      </c>
      <c r="C1912" t="str">
        <f t="shared" si="29"/>
        <v>NAD83 / Nevada East (ftUS)</v>
      </c>
    </row>
    <row r="1913" spans="1:3" x14ac:dyDescent="0.3">
      <c r="A1913" t="s">
        <v>1971</v>
      </c>
      <c r="B1913">
        <f>IF(ISNUMBER(SEARCH(Form!$C$11,Tabel2[[#This Row],[Coordinate Projection System]])),MAX($B$1:B1912)+1,0)</f>
        <v>1912</v>
      </c>
      <c r="C1913" t="str">
        <f t="shared" si="29"/>
        <v>NAD83 / Nevada Central (ftUS)</v>
      </c>
    </row>
    <row r="1914" spans="1:3" x14ac:dyDescent="0.3">
      <c r="A1914" t="s">
        <v>1972</v>
      </c>
      <c r="B1914">
        <f>IF(ISNUMBER(SEARCH(Form!$C$11,Tabel2[[#This Row],[Coordinate Projection System]])),MAX($B$1:B1913)+1,0)</f>
        <v>1913</v>
      </c>
      <c r="C1914" t="str">
        <f t="shared" si="29"/>
        <v>NAD83 / Nevada West (ftUS)</v>
      </c>
    </row>
    <row r="1915" spans="1:3" x14ac:dyDescent="0.3">
      <c r="A1915" t="s">
        <v>1973</v>
      </c>
      <c r="B1915">
        <f>IF(ISNUMBER(SEARCH(Form!$C$11,Tabel2[[#This Row],[Coordinate Projection System]])),MAX($B$1:B1914)+1,0)</f>
        <v>1914</v>
      </c>
      <c r="C1915" t="str">
        <f t="shared" si="29"/>
        <v>NAD83 / New Jersey (ftUS)</v>
      </c>
    </row>
    <row r="1916" spans="1:3" x14ac:dyDescent="0.3">
      <c r="A1916" t="s">
        <v>1974</v>
      </c>
      <c r="B1916">
        <f>IF(ISNUMBER(SEARCH(Form!$C$11,Tabel2[[#This Row],[Coordinate Projection System]])),MAX($B$1:B1915)+1,0)</f>
        <v>1915</v>
      </c>
      <c r="C1916" t="str">
        <f t="shared" si="29"/>
        <v>NAD83(HARN) / Iowa North (ftUS)</v>
      </c>
    </row>
    <row r="1917" spans="1:3" x14ac:dyDescent="0.3">
      <c r="A1917" t="s">
        <v>1975</v>
      </c>
      <c r="B1917">
        <f>IF(ISNUMBER(SEARCH(Form!$C$11,Tabel2[[#This Row],[Coordinate Projection System]])),MAX($B$1:B1916)+1,0)</f>
        <v>1916</v>
      </c>
      <c r="C1917" t="str">
        <f t="shared" si="29"/>
        <v>NAD83(HARN) / Iowa South (ftUS)</v>
      </c>
    </row>
    <row r="1918" spans="1:3" x14ac:dyDescent="0.3">
      <c r="A1918" t="s">
        <v>1976</v>
      </c>
      <c r="B1918">
        <f>IF(ISNUMBER(SEARCH(Form!$C$11,Tabel2[[#This Row],[Coordinate Projection System]])),MAX($B$1:B1917)+1,0)</f>
        <v>1917</v>
      </c>
      <c r="C1918" t="str">
        <f t="shared" si="29"/>
        <v>NAD83(HARN) / Kansas North (ftUS)</v>
      </c>
    </row>
    <row r="1919" spans="1:3" x14ac:dyDescent="0.3">
      <c r="A1919" t="s">
        <v>1977</v>
      </c>
      <c r="B1919">
        <f>IF(ISNUMBER(SEARCH(Form!$C$11,Tabel2[[#This Row],[Coordinate Projection System]])),MAX($B$1:B1918)+1,0)</f>
        <v>1918</v>
      </c>
      <c r="C1919" t="str">
        <f t="shared" si="29"/>
        <v>NAD83(HARN) / Kansas South (ftUS)</v>
      </c>
    </row>
    <row r="1920" spans="1:3" x14ac:dyDescent="0.3">
      <c r="A1920" t="s">
        <v>1978</v>
      </c>
      <c r="B1920">
        <f>IF(ISNUMBER(SEARCH(Form!$C$11,Tabel2[[#This Row],[Coordinate Projection System]])),MAX($B$1:B1919)+1,0)</f>
        <v>1919</v>
      </c>
      <c r="C1920" t="str">
        <f t="shared" si="29"/>
        <v>NAD83(HARN) / Nevada East (ftUS)</v>
      </c>
    </row>
    <row r="1921" spans="1:3" x14ac:dyDescent="0.3">
      <c r="A1921" t="s">
        <v>1979</v>
      </c>
      <c r="B1921">
        <f>IF(ISNUMBER(SEARCH(Form!$C$11,Tabel2[[#This Row],[Coordinate Projection System]])),MAX($B$1:B1920)+1,0)</f>
        <v>1920</v>
      </c>
      <c r="C1921" t="str">
        <f t="shared" si="29"/>
        <v>NAD83(HARN) / Nevada Central (ftUS)</v>
      </c>
    </row>
    <row r="1922" spans="1:3" x14ac:dyDescent="0.3">
      <c r="A1922" t="s">
        <v>1980</v>
      </c>
      <c r="B1922">
        <f>IF(ISNUMBER(SEARCH(Form!$C$11,Tabel2[[#This Row],[Coordinate Projection System]])),MAX($B$1:B1921)+1,0)</f>
        <v>1921</v>
      </c>
      <c r="C1922" t="str">
        <f t="shared" si="29"/>
        <v>NAD83(HARN) / Nevada West (ftUS)</v>
      </c>
    </row>
    <row r="1923" spans="1:3" x14ac:dyDescent="0.3">
      <c r="A1923" t="s">
        <v>1981</v>
      </c>
      <c r="B1923">
        <f>IF(ISNUMBER(SEARCH(Form!$C$11,Tabel2[[#This Row],[Coordinate Projection System]])),MAX($B$1:B1922)+1,0)</f>
        <v>1922</v>
      </c>
      <c r="C1923" t="str">
        <f t="shared" ref="C1923:C1986" si="30">_xlfn.IFNA(INDEX(A1923:A7434,MATCH(ROW(C1922),B1923:B7434,0)),"")</f>
        <v>NAD83(HARN) / New Jersey (ftUS)</v>
      </c>
    </row>
    <row r="1924" spans="1:3" x14ac:dyDescent="0.3">
      <c r="A1924" t="s">
        <v>1982</v>
      </c>
      <c r="B1924">
        <f>IF(ISNUMBER(SEARCH(Form!$C$11,Tabel2[[#This Row],[Coordinate Projection System]])),MAX($B$1:B1923)+1,0)</f>
        <v>1923</v>
      </c>
      <c r="C1924" t="str">
        <f t="shared" si="30"/>
        <v>NAD83 / Arkansas North (ftUS)</v>
      </c>
    </row>
    <row r="1925" spans="1:3" x14ac:dyDescent="0.3">
      <c r="A1925" t="s">
        <v>1983</v>
      </c>
      <c r="B1925">
        <f>IF(ISNUMBER(SEARCH(Form!$C$11,Tabel2[[#This Row],[Coordinate Projection System]])),MAX($B$1:B1924)+1,0)</f>
        <v>1924</v>
      </c>
      <c r="C1925" t="str">
        <f t="shared" si="30"/>
        <v>NAD83 / Arkansas South (ftUS)</v>
      </c>
    </row>
    <row r="1926" spans="1:3" x14ac:dyDescent="0.3">
      <c r="A1926" t="s">
        <v>1984</v>
      </c>
      <c r="B1926">
        <f>IF(ISNUMBER(SEARCH(Form!$C$11,Tabel2[[#This Row],[Coordinate Projection System]])),MAX($B$1:B1925)+1,0)</f>
        <v>1925</v>
      </c>
      <c r="C1926" t="str">
        <f t="shared" si="30"/>
        <v>NAD83 / Illinois East (ftUS)</v>
      </c>
    </row>
    <row r="1927" spans="1:3" x14ac:dyDescent="0.3">
      <c r="A1927" t="s">
        <v>1985</v>
      </c>
      <c r="B1927">
        <f>IF(ISNUMBER(SEARCH(Form!$C$11,Tabel2[[#This Row],[Coordinate Projection System]])),MAX($B$1:B1926)+1,0)</f>
        <v>1926</v>
      </c>
      <c r="C1927" t="str">
        <f t="shared" si="30"/>
        <v>NAD83 / Illinois West (ftUS)</v>
      </c>
    </row>
    <row r="1928" spans="1:3" x14ac:dyDescent="0.3">
      <c r="A1928" t="s">
        <v>1986</v>
      </c>
      <c r="B1928">
        <f>IF(ISNUMBER(SEARCH(Form!$C$11,Tabel2[[#This Row],[Coordinate Projection System]])),MAX($B$1:B1927)+1,0)</f>
        <v>1927</v>
      </c>
      <c r="C1928" t="str">
        <f t="shared" si="30"/>
        <v>NAD83 / New Hampshire (ftUS)</v>
      </c>
    </row>
    <row r="1929" spans="1:3" x14ac:dyDescent="0.3">
      <c r="A1929" t="s">
        <v>1987</v>
      </c>
      <c r="B1929">
        <f>IF(ISNUMBER(SEARCH(Form!$C$11,Tabel2[[#This Row],[Coordinate Projection System]])),MAX($B$1:B1928)+1,0)</f>
        <v>1928</v>
      </c>
      <c r="C1929" t="str">
        <f t="shared" si="30"/>
        <v>NAD83 / Rhode Island (ftUS)</v>
      </c>
    </row>
    <row r="1930" spans="1:3" x14ac:dyDescent="0.3">
      <c r="A1930" t="s">
        <v>1988</v>
      </c>
      <c r="B1930">
        <f>IF(ISNUMBER(SEARCH(Form!$C$11,Tabel2[[#This Row],[Coordinate Projection System]])),MAX($B$1:B1929)+1,0)</f>
        <v>1929</v>
      </c>
      <c r="C1930" t="str">
        <f t="shared" si="30"/>
        <v>PSD93 / UTM zone 39N</v>
      </c>
    </row>
    <row r="1931" spans="1:3" x14ac:dyDescent="0.3">
      <c r="A1931" t="s">
        <v>1989</v>
      </c>
      <c r="B1931">
        <f>IF(ISNUMBER(SEARCH(Form!$C$11,Tabel2[[#This Row],[Coordinate Projection System]])),MAX($B$1:B1930)+1,0)</f>
        <v>1930</v>
      </c>
      <c r="C1931" t="str">
        <f t="shared" si="30"/>
        <v>PSD93 / UTM zone 40N</v>
      </c>
    </row>
    <row r="1932" spans="1:3" x14ac:dyDescent="0.3">
      <c r="A1932" t="s">
        <v>1990</v>
      </c>
      <c r="B1932">
        <f>IF(ISNUMBER(SEARCH(Form!$C$11,Tabel2[[#This Row],[Coordinate Projection System]])),MAX($B$1:B1931)+1,0)</f>
        <v>1931</v>
      </c>
      <c r="C1932" t="str">
        <f t="shared" si="30"/>
        <v>NAD83(HARN) / Arkansas North (ftUS)</v>
      </c>
    </row>
    <row r="1933" spans="1:3" x14ac:dyDescent="0.3">
      <c r="A1933" t="s">
        <v>1991</v>
      </c>
      <c r="B1933">
        <f>IF(ISNUMBER(SEARCH(Form!$C$11,Tabel2[[#This Row],[Coordinate Projection System]])),MAX($B$1:B1932)+1,0)</f>
        <v>1932</v>
      </c>
      <c r="C1933" t="str">
        <f t="shared" si="30"/>
        <v>NAD83(HARN) / Arkansas South (ftUS)</v>
      </c>
    </row>
    <row r="1934" spans="1:3" x14ac:dyDescent="0.3">
      <c r="A1934" t="s">
        <v>1992</v>
      </c>
      <c r="B1934">
        <f>IF(ISNUMBER(SEARCH(Form!$C$11,Tabel2[[#This Row],[Coordinate Projection System]])),MAX($B$1:B1933)+1,0)</f>
        <v>1933</v>
      </c>
      <c r="C1934" t="str">
        <f t="shared" si="30"/>
        <v>NAD83(HARN) / Illinois East (ftUS)</v>
      </c>
    </row>
    <row r="1935" spans="1:3" x14ac:dyDescent="0.3">
      <c r="A1935" t="s">
        <v>1993</v>
      </c>
      <c r="B1935">
        <f>IF(ISNUMBER(SEARCH(Form!$C$11,Tabel2[[#This Row],[Coordinate Projection System]])),MAX($B$1:B1934)+1,0)</f>
        <v>1934</v>
      </c>
      <c r="C1935" t="str">
        <f t="shared" si="30"/>
        <v>NAD83(HARN) / Illinois West (ftUS)</v>
      </c>
    </row>
    <row r="1936" spans="1:3" x14ac:dyDescent="0.3">
      <c r="A1936" t="s">
        <v>1994</v>
      </c>
      <c r="B1936">
        <f>IF(ISNUMBER(SEARCH(Form!$C$11,Tabel2[[#This Row],[Coordinate Projection System]])),MAX($B$1:B1935)+1,0)</f>
        <v>1935</v>
      </c>
      <c r="C1936" t="str">
        <f t="shared" si="30"/>
        <v>NAD83(HARN) / New Hampshire (ftUS)</v>
      </c>
    </row>
    <row r="1937" spans="1:3" x14ac:dyDescent="0.3">
      <c r="A1937" t="s">
        <v>1995</v>
      </c>
      <c r="B1937">
        <f>IF(ISNUMBER(SEARCH(Form!$C$11,Tabel2[[#This Row],[Coordinate Projection System]])),MAX($B$1:B1936)+1,0)</f>
        <v>1936</v>
      </c>
      <c r="C1937" t="str">
        <f t="shared" si="30"/>
        <v>NAD83(HARN) / Rhode Island (ftUS)</v>
      </c>
    </row>
    <row r="1938" spans="1:3" x14ac:dyDescent="0.3">
      <c r="A1938" t="s">
        <v>1996</v>
      </c>
      <c r="B1938">
        <f>IF(ISNUMBER(SEARCH(Form!$C$11,Tabel2[[#This Row],[Coordinate Projection System]])),MAX($B$1:B1937)+1,0)</f>
        <v>1937</v>
      </c>
      <c r="C1938" t="str">
        <f t="shared" si="30"/>
        <v>ETRS89 / Belgian Lambert 2005</v>
      </c>
    </row>
    <row r="1939" spans="1:3" x14ac:dyDescent="0.3">
      <c r="A1939" t="s">
        <v>1997</v>
      </c>
      <c r="B1939">
        <f>IF(ISNUMBER(SEARCH(Form!$C$11,Tabel2[[#This Row],[Coordinate Projection System]])),MAX($B$1:B1938)+1,0)</f>
        <v>1938</v>
      </c>
      <c r="C1939" t="str">
        <f t="shared" si="30"/>
        <v>JAD2001 / Jamaica Metric Grid</v>
      </c>
    </row>
    <row r="1940" spans="1:3" x14ac:dyDescent="0.3">
      <c r="A1940" t="s">
        <v>1998</v>
      </c>
      <c r="B1940">
        <f>IF(ISNUMBER(SEARCH(Form!$C$11,Tabel2[[#This Row],[Coordinate Projection System]])),MAX($B$1:B1939)+1,0)</f>
        <v>1939</v>
      </c>
      <c r="C1940" t="str">
        <f t="shared" si="30"/>
        <v>JAD2001 / UTM zone 17N</v>
      </c>
    </row>
    <row r="1941" spans="1:3" x14ac:dyDescent="0.3">
      <c r="A1941" t="s">
        <v>1999</v>
      </c>
      <c r="B1941">
        <f>IF(ISNUMBER(SEARCH(Form!$C$11,Tabel2[[#This Row],[Coordinate Projection System]])),MAX($B$1:B1940)+1,0)</f>
        <v>1940</v>
      </c>
      <c r="C1941" t="str">
        <f t="shared" si="30"/>
        <v>JAD2001 / UTM zone 18N</v>
      </c>
    </row>
    <row r="1942" spans="1:3" x14ac:dyDescent="0.3">
      <c r="A1942" t="s">
        <v>2000</v>
      </c>
      <c r="B1942">
        <f>IF(ISNUMBER(SEARCH(Form!$C$11,Tabel2[[#This Row],[Coordinate Projection System]])),MAX($B$1:B1941)+1,0)</f>
        <v>1941</v>
      </c>
      <c r="C1942" t="str">
        <f t="shared" si="30"/>
        <v>NAD83 / Louisiana North (ftUS)</v>
      </c>
    </row>
    <row r="1943" spans="1:3" x14ac:dyDescent="0.3">
      <c r="A1943" t="s">
        <v>2001</v>
      </c>
      <c r="B1943">
        <f>IF(ISNUMBER(SEARCH(Form!$C$11,Tabel2[[#This Row],[Coordinate Projection System]])),MAX($B$1:B1942)+1,0)</f>
        <v>1942</v>
      </c>
      <c r="C1943" t="str">
        <f t="shared" si="30"/>
        <v>NAD83 / Louisiana South (ftUS)</v>
      </c>
    </row>
    <row r="1944" spans="1:3" x14ac:dyDescent="0.3">
      <c r="A1944" t="s">
        <v>2002</v>
      </c>
      <c r="B1944">
        <f>IF(ISNUMBER(SEARCH(Form!$C$11,Tabel2[[#This Row],[Coordinate Projection System]])),MAX($B$1:B1943)+1,0)</f>
        <v>1943</v>
      </c>
      <c r="C1944" t="str">
        <f t="shared" si="30"/>
        <v>NAD83 / Louisiana Offshore (ftUS)</v>
      </c>
    </row>
    <row r="1945" spans="1:3" x14ac:dyDescent="0.3">
      <c r="A1945" t="s">
        <v>2003</v>
      </c>
      <c r="B1945">
        <f>IF(ISNUMBER(SEARCH(Form!$C$11,Tabel2[[#This Row],[Coordinate Projection System]])),MAX($B$1:B1944)+1,0)</f>
        <v>1944</v>
      </c>
      <c r="C1945" t="str">
        <f t="shared" si="30"/>
        <v>NAD83 / South Dakota North (ftUS) (deprecated)</v>
      </c>
    </row>
    <row r="1946" spans="1:3" x14ac:dyDescent="0.3">
      <c r="A1946" t="s">
        <v>2004</v>
      </c>
      <c r="B1946">
        <f>IF(ISNUMBER(SEARCH(Form!$C$11,Tabel2[[#This Row],[Coordinate Projection System]])),MAX($B$1:B1945)+1,0)</f>
        <v>1945</v>
      </c>
      <c r="C1946" t="str">
        <f t="shared" si="30"/>
        <v>NAD83 / South Dakota South (ftUS)</v>
      </c>
    </row>
    <row r="1947" spans="1:3" x14ac:dyDescent="0.3">
      <c r="A1947" t="s">
        <v>2005</v>
      </c>
      <c r="B1947">
        <f>IF(ISNUMBER(SEARCH(Form!$C$11,Tabel2[[#This Row],[Coordinate Projection System]])),MAX($B$1:B1946)+1,0)</f>
        <v>1946</v>
      </c>
      <c r="C1947" t="str">
        <f t="shared" si="30"/>
        <v>NAD83(HARN) / Louisiana North (ftUS)</v>
      </c>
    </row>
    <row r="1948" spans="1:3" x14ac:dyDescent="0.3">
      <c r="A1948" t="s">
        <v>2006</v>
      </c>
      <c r="B1948">
        <f>IF(ISNUMBER(SEARCH(Form!$C$11,Tabel2[[#This Row],[Coordinate Projection System]])),MAX($B$1:B1947)+1,0)</f>
        <v>1947</v>
      </c>
      <c r="C1948" t="str">
        <f t="shared" si="30"/>
        <v>NAD83(HARN) / Louisiana South (ftUS)</v>
      </c>
    </row>
    <row r="1949" spans="1:3" x14ac:dyDescent="0.3">
      <c r="A1949" t="s">
        <v>2007</v>
      </c>
      <c r="B1949">
        <f>IF(ISNUMBER(SEARCH(Form!$C$11,Tabel2[[#This Row],[Coordinate Projection System]])),MAX($B$1:B1948)+1,0)</f>
        <v>1948</v>
      </c>
      <c r="C1949" t="str">
        <f t="shared" si="30"/>
        <v>NAD83(HARN) / South Dakota North (ftUS)</v>
      </c>
    </row>
    <row r="1950" spans="1:3" x14ac:dyDescent="0.3">
      <c r="A1950" t="s">
        <v>2008</v>
      </c>
      <c r="B1950">
        <f>IF(ISNUMBER(SEARCH(Form!$C$11,Tabel2[[#This Row],[Coordinate Projection System]])),MAX($B$1:B1949)+1,0)</f>
        <v>1949</v>
      </c>
      <c r="C1950" t="str">
        <f t="shared" si="30"/>
        <v>NAD83(HARN) / South Dakota South (ftUS)</v>
      </c>
    </row>
    <row r="1951" spans="1:3" x14ac:dyDescent="0.3">
      <c r="A1951" t="s">
        <v>2009</v>
      </c>
      <c r="B1951">
        <f>IF(ISNUMBER(SEARCH(Form!$C$11,Tabel2[[#This Row],[Coordinate Projection System]])),MAX($B$1:B1950)+1,0)</f>
        <v>1950</v>
      </c>
      <c r="C1951" t="str">
        <f t="shared" si="30"/>
        <v>Fiji 1986 / Fiji Map Grid</v>
      </c>
    </row>
    <row r="1952" spans="1:3" x14ac:dyDescent="0.3">
      <c r="A1952" t="s">
        <v>2010</v>
      </c>
      <c r="B1952">
        <f>IF(ISNUMBER(SEARCH(Form!$C$11,Tabel2[[#This Row],[Coordinate Projection System]])),MAX($B$1:B1951)+1,0)</f>
        <v>1951</v>
      </c>
      <c r="C1952" t="str">
        <f t="shared" si="30"/>
        <v>Dabola 1981 / UTM zone 28N</v>
      </c>
    </row>
    <row r="1953" spans="1:3" x14ac:dyDescent="0.3">
      <c r="A1953" t="s">
        <v>2011</v>
      </c>
      <c r="B1953">
        <f>IF(ISNUMBER(SEARCH(Form!$C$11,Tabel2[[#This Row],[Coordinate Projection System]])),MAX($B$1:B1952)+1,0)</f>
        <v>1952</v>
      </c>
      <c r="C1953" t="str">
        <f t="shared" si="30"/>
        <v>Dabola 1981 / UTM zone 29N</v>
      </c>
    </row>
    <row r="1954" spans="1:3" x14ac:dyDescent="0.3">
      <c r="A1954" t="s">
        <v>2012</v>
      </c>
      <c r="B1954">
        <f>IF(ISNUMBER(SEARCH(Form!$C$11,Tabel2[[#This Row],[Coordinate Projection System]])),MAX($B$1:B1953)+1,0)</f>
        <v>1953</v>
      </c>
      <c r="C1954" t="str">
        <f t="shared" si="30"/>
        <v>NAD83 / Maine CS2000 Central</v>
      </c>
    </row>
    <row r="1955" spans="1:3" x14ac:dyDescent="0.3">
      <c r="A1955" t="s">
        <v>2013</v>
      </c>
      <c r="B1955">
        <f>IF(ISNUMBER(SEARCH(Form!$C$11,Tabel2[[#This Row],[Coordinate Projection System]])),MAX($B$1:B1954)+1,0)</f>
        <v>1954</v>
      </c>
      <c r="C1955" t="str">
        <f t="shared" si="30"/>
        <v>NAD83(HARN) / Maine CS2000 Central</v>
      </c>
    </row>
    <row r="1956" spans="1:3" x14ac:dyDescent="0.3">
      <c r="A1956" t="s">
        <v>2014</v>
      </c>
      <c r="B1956">
        <f>IF(ISNUMBER(SEARCH(Form!$C$11,Tabel2[[#This Row],[Coordinate Projection System]])),MAX($B$1:B1955)+1,0)</f>
        <v>1955</v>
      </c>
      <c r="C1956" t="str">
        <f t="shared" si="30"/>
        <v>NAD83(NSRS2007) / Alabama East</v>
      </c>
    </row>
    <row r="1957" spans="1:3" x14ac:dyDescent="0.3">
      <c r="A1957" t="s">
        <v>2015</v>
      </c>
      <c r="B1957">
        <f>IF(ISNUMBER(SEARCH(Form!$C$11,Tabel2[[#This Row],[Coordinate Projection System]])),MAX($B$1:B1956)+1,0)</f>
        <v>1956</v>
      </c>
      <c r="C1957" t="str">
        <f t="shared" si="30"/>
        <v>NAD83(NSRS2007) / Alabama West</v>
      </c>
    </row>
    <row r="1958" spans="1:3" x14ac:dyDescent="0.3">
      <c r="A1958" t="s">
        <v>2016</v>
      </c>
      <c r="B1958">
        <f>IF(ISNUMBER(SEARCH(Form!$C$11,Tabel2[[#This Row],[Coordinate Projection System]])),MAX($B$1:B1957)+1,0)</f>
        <v>1957</v>
      </c>
      <c r="C1958" t="str">
        <f t="shared" si="30"/>
        <v>NAD83(NSRS2007) / Alaska Albers</v>
      </c>
    </row>
    <row r="1959" spans="1:3" x14ac:dyDescent="0.3">
      <c r="A1959" t="s">
        <v>2017</v>
      </c>
      <c r="B1959">
        <f>IF(ISNUMBER(SEARCH(Form!$C$11,Tabel2[[#This Row],[Coordinate Projection System]])),MAX($B$1:B1958)+1,0)</f>
        <v>1958</v>
      </c>
      <c r="C1959" t="str">
        <f t="shared" si="30"/>
        <v>NAD83(NSRS2007) / Alaska zone 1</v>
      </c>
    </row>
    <row r="1960" spans="1:3" x14ac:dyDescent="0.3">
      <c r="A1960" t="s">
        <v>2018</v>
      </c>
      <c r="B1960">
        <f>IF(ISNUMBER(SEARCH(Form!$C$11,Tabel2[[#This Row],[Coordinate Projection System]])),MAX($B$1:B1959)+1,0)</f>
        <v>1959</v>
      </c>
      <c r="C1960" t="str">
        <f t="shared" si="30"/>
        <v>NAD83(NSRS2007) / Alaska zone 2</v>
      </c>
    </row>
    <row r="1961" spans="1:3" x14ac:dyDescent="0.3">
      <c r="A1961" t="s">
        <v>2019</v>
      </c>
      <c r="B1961">
        <f>IF(ISNUMBER(SEARCH(Form!$C$11,Tabel2[[#This Row],[Coordinate Projection System]])),MAX($B$1:B1960)+1,0)</f>
        <v>1960</v>
      </c>
      <c r="C1961" t="str">
        <f t="shared" si="30"/>
        <v>NAD83(NSRS2007) / Alaska zone 3</v>
      </c>
    </row>
    <row r="1962" spans="1:3" x14ac:dyDescent="0.3">
      <c r="A1962" t="s">
        <v>2020</v>
      </c>
      <c r="B1962">
        <f>IF(ISNUMBER(SEARCH(Form!$C$11,Tabel2[[#This Row],[Coordinate Projection System]])),MAX($B$1:B1961)+1,0)</f>
        <v>1961</v>
      </c>
      <c r="C1962" t="str">
        <f t="shared" si="30"/>
        <v>NAD83(NSRS2007) / Alaska zone 4</v>
      </c>
    </row>
    <row r="1963" spans="1:3" x14ac:dyDescent="0.3">
      <c r="A1963" t="s">
        <v>2021</v>
      </c>
      <c r="B1963">
        <f>IF(ISNUMBER(SEARCH(Form!$C$11,Tabel2[[#This Row],[Coordinate Projection System]])),MAX($B$1:B1962)+1,0)</f>
        <v>1962</v>
      </c>
      <c r="C1963" t="str">
        <f t="shared" si="30"/>
        <v>NAD83(NSRS2007) / Alaska zone 5</v>
      </c>
    </row>
    <row r="1964" spans="1:3" x14ac:dyDescent="0.3">
      <c r="A1964" t="s">
        <v>2022</v>
      </c>
      <c r="B1964">
        <f>IF(ISNUMBER(SEARCH(Form!$C$11,Tabel2[[#This Row],[Coordinate Projection System]])),MAX($B$1:B1963)+1,0)</f>
        <v>1963</v>
      </c>
      <c r="C1964" t="str">
        <f t="shared" si="30"/>
        <v>NAD83(NSRS2007) / Alaska zone 6</v>
      </c>
    </row>
    <row r="1965" spans="1:3" x14ac:dyDescent="0.3">
      <c r="A1965" t="s">
        <v>2023</v>
      </c>
      <c r="B1965">
        <f>IF(ISNUMBER(SEARCH(Form!$C$11,Tabel2[[#This Row],[Coordinate Projection System]])),MAX($B$1:B1964)+1,0)</f>
        <v>1964</v>
      </c>
      <c r="C1965" t="str">
        <f t="shared" si="30"/>
        <v>NAD83(NSRS2007) / Alaska zone 7</v>
      </c>
    </row>
    <row r="1966" spans="1:3" x14ac:dyDescent="0.3">
      <c r="A1966" t="s">
        <v>2024</v>
      </c>
      <c r="B1966">
        <f>IF(ISNUMBER(SEARCH(Form!$C$11,Tabel2[[#This Row],[Coordinate Projection System]])),MAX($B$1:B1965)+1,0)</f>
        <v>1965</v>
      </c>
      <c r="C1966" t="str">
        <f t="shared" si="30"/>
        <v>NAD83(NSRS2007) / Alaska zone 8</v>
      </c>
    </row>
    <row r="1967" spans="1:3" x14ac:dyDescent="0.3">
      <c r="A1967" t="s">
        <v>2025</v>
      </c>
      <c r="B1967">
        <f>IF(ISNUMBER(SEARCH(Form!$C$11,Tabel2[[#This Row],[Coordinate Projection System]])),MAX($B$1:B1966)+1,0)</f>
        <v>1966</v>
      </c>
      <c r="C1967" t="str">
        <f t="shared" si="30"/>
        <v>NAD83(NSRS2007) / Alaska zone 9</v>
      </c>
    </row>
    <row r="1968" spans="1:3" x14ac:dyDescent="0.3">
      <c r="A1968" t="s">
        <v>2026</v>
      </c>
      <c r="B1968">
        <f>IF(ISNUMBER(SEARCH(Form!$C$11,Tabel2[[#This Row],[Coordinate Projection System]])),MAX($B$1:B1967)+1,0)</f>
        <v>1967</v>
      </c>
      <c r="C1968" t="str">
        <f t="shared" si="30"/>
        <v>NAD83(NSRS2007) / Alaska zone 10</v>
      </c>
    </row>
    <row r="1969" spans="1:3" x14ac:dyDescent="0.3">
      <c r="A1969" t="s">
        <v>2027</v>
      </c>
      <c r="B1969">
        <f>IF(ISNUMBER(SEARCH(Form!$C$11,Tabel2[[#This Row],[Coordinate Projection System]])),MAX($B$1:B1968)+1,0)</f>
        <v>1968</v>
      </c>
      <c r="C1969" t="str">
        <f t="shared" si="30"/>
        <v>NAD83(NSRS2007) / Arizona Central</v>
      </c>
    </row>
    <row r="1970" spans="1:3" x14ac:dyDescent="0.3">
      <c r="A1970" t="s">
        <v>2028</v>
      </c>
      <c r="B1970">
        <f>IF(ISNUMBER(SEARCH(Form!$C$11,Tabel2[[#This Row],[Coordinate Projection System]])),MAX($B$1:B1969)+1,0)</f>
        <v>1969</v>
      </c>
      <c r="C1970" t="str">
        <f t="shared" si="30"/>
        <v>NAD83(NSRS2007) / Arizona Central (ft)</v>
      </c>
    </row>
    <row r="1971" spans="1:3" x14ac:dyDescent="0.3">
      <c r="A1971" t="s">
        <v>2029</v>
      </c>
      <c r="B1971">
        <f>IF(ISNUMBER(SEARCH(Form!$C$11,Tabel2[[#This Row],[Coordinate Projection System]])),MAX($B$1:B1970)+1,0)</f>
        <v>1970</v>
      </c>
      <c r="C1971" t="str">
        <f t="shared" si="30"/>
        <v>NAD83(NSRS2007) / Arizona East</v>
      </c>
    </row>
    <row r="1972" spans="1:3" x14ac:dyDescent="0.3">
      <c r="A1972" t="s">
        <v>2030</v>
      </c>
      <c r="B1972">
        <f>IF(ISNUMBER(SEARCH(Form!$C$11,Tabel2[[#This Row],[Coordinate Projection System]])),MAX($B$1:B1971)+1,0)</f>
        <v>1971</v>
      </c>
      <c r="C1972" t="str">
        <f t="shared" si="30"/>
        <v>NAD83(NSRS2007) / Arizona East (ft)</v>
      </c>
    </row>
    <row r="1973" spans="1:3" x14ac:dyDescent="0.3">
      <c r="A1973" t="s">
        <v>2031</v>
      </c>
      <c r="B1973">
        <f>IF(ISNUMBER(SEARCH(Form!$C$11,Tabel2[[#This Row],[Coordinate Projection System]])),MAX($B$1:B1972)+1,0)</f>
        <v>1972</v>
      </c>
      <c r="C1973" t="str">
        <f t="shared" si="30"/>
        <v>NAD83(NSRS2007) / Arizona West</v>
      </c>
    </row>
    <row r="1974" spans="1:3" x14ac:dyDescent="0.3">
      <c r="A1974" t="s">
        <v>2032</v>
      </c>
      <c r="B1974">
        <f>IF(ISNUMBER(SEARCH(Form!$C$11,Tabel2[[#This Row],[Coordinate Projection System]])),MAX($B$1:B1973)+1,0)</f>
        <v>1973</v>
      </c>
      <c r="C1974" t="str">
        <f t="shared" si="30"/>
        <v>NAD83(NSRS2007) / Arizona West (ft)</v>
      </c>
    </row>
    <row r="1975" spans="1:3" x14ac:dyDescent="0.3">
      <c r="A1975" t="s">
        <v>2033</v>
      </c>
      <c r="B1975">
        <f>IF(ISNUMBER(SEARCH(Form!$C$11,Tabel2[[#This Row],[Coordinate Projection System]])),MAX($B$1:B1974)+1,0)</f>
        <v>1974</v>
      </c>
      <c r="C1975" t="str">
        <f t="shared" si="30"/>
        <v>NAD83(NSRS2007) / Arkansas North</v>
      </c>
    </row>
    <row r="1976" spans="1:3" x14ac:dyDescent="0.3">
      <c r="A1976" t="s">
        <v>2034</v>
      </c>
      <c r="B1976">
        <f>IF(ISNUMBER(SEARCH(Form!$C$11,Tabel2[[#This Row],[Coordinate Projection System]])),MAX($B$1:B1975)+1,0)</f>
        <v>1975</v>
      </c>
      <c r="C1976" t="str">
        <f t="shared" si="30"/>
        <v>NAD83(NSRS2007) / Arkansas North (ftUS)</v>
      </c>
    </row>
    <row r="1977" spans="1:3" x14ac:dyDescent="0.3">
      <c r="A1977" t="s">
        <v>2035</v>
      </c>
      <c r="B1977">
        <f>IF(ISNUMBER(SEARCH(Form!$C$11,Tabel2[[#This Row],[Coordinate Projection System]])),MAX($B$1:B1976)+1,0)</f>
        <v>1976</v>
      </c>
      <c r="C1977" t="str">
        <f t="shared" si="30"/>
        <v>NAD83(NSRS2007) / Arkansas South</v>
      </c>
    </row>
    <row r="1978" spans="1:3" x14ac:dyDescent="0.3">
      <c r="A1978" t="s">
        <v>2036</v>
      </c>
      <c r="B1978">
        <f>IF(ISNUMBER(SEARCH(Form!$C$11,Tabel2[[#This Row],[Coordinate Projection System]])),MAX($B$1:B1977)+1,0)</f>
        <v>1977</v>
      </c>
      <c r="C1978" t="str">
        <f t="shared" si="30"/>
        <v>NAD83(NSRS2007) / Arkansas South (ftUS)</v>
      </c>
    </row>
    <row r="1979" spans="1:3" x14ac:dyDescent="0.3">
      <c r="A1979" t="s">
        <v>2037</v>
      </c>
      <c r="B1979">
        <f>IF(ISNUMBER(SEARCH(Form!$C$11,Tabel2[[#This Row],[Coordinate Projection System]])),MAX($B$1:B1978)+1,0)</f>
        <v>1978</v>
      </c>
      <c r="C1979" t="str">
        <f t="shared" si="30"/>
        <v>NAD83(NSRS2007) / California Albers</v>
      </c>
    </row>
    <row r="1980" spans="1:3" x14ac:dyDescent="0.3">
      <c r="A1980" t="s">
        <v>2038</v>
      </c>
      <c r="B1980">
        <f>IF(ISNUMBER(SEARCH(Form!$C$11,Tabel2[[#This Row],[Coordinate Projection System]])),MAX($B$1:B1979)+1,0)</f>
        <v>1979</v>
      </c>
      <c r="C1980" t="str">
        <f t="shared" si="30"/>
        <v>NAD83(NSRS2007) / California zone 1</v>
      </c>
    </row>
    <row r="1981" spans="1:3" x14ac:dyDescent="0.3">
      <c r="A1981" t="s">
        <v>2039</v>
      </c>
      <c r="B1981">
        <f>IF(ISNUMBER(SEARCH(Form!$C$11,Tabel2[[#This Row],[Coordinate Projection System]])),MAX($B$1:B1980)+1,0)</f>
        <v>1980</v>
      </c>
      <c r="C1981" t="str">
        <f t="shared" si="30"/>
        <v>NAD83(NSRS2007) / California zone 1 (ftUS)</v>
      </c>
    </row>
    <row r="1982" spans="1:3" x14ac:dyDescent="0.3">
      <c r="A1982" t="s">
        <v>2040</v>
      </c>
      <c r="B1982">
        <f>IF(ISNUMBER(SEARCH(Form!$C$11,Tabel2[[#This Row],[Coordinate Projection System]])),MAX($B$1:B1981)+1,0)</f>
        <v>1981</v>
      </c>
      <c r="C1982" t="str">
        <f t="shared" si="30"/>
        <v>NAD83(NSRS2007) / California zone 2</v>
      </c>
    </row>
    <row r="1983" spans="1:3" x14ac:dyDescent="0.3">
      <c r="A1983" t="s">
        <v>2041</v>
      </c>
      <c r="B1983">
        <f>IF(ISNUMBER(SEARCH(Form!$C$11,Tabel2[[#This Row],[Coordinate Projection System]])),MAX($B$1:B1982)+1,0)</f>
        <v>1982</v>
      </c>
      <c r="C1983" t="str">
        <f t="shared" si="30"/>
        <v>NAD83(NSRS2007) / California zone 2 (ftUS)</v>
      </c>
    </row>
    <row r="1984" spans="1:3" x14ac:dyDescent="0.3">
      <c r="A1984" t="s">
        <v>2042</v>
      </c>
      <c r="B1984">
        <f>IF(ISNUMBER(SEARCH(Form!$C$11,Tabel2[[#This Row],[Coordinate Projection System]])),MAX($B$1:B1983)+1,0)</f>
        <v>1983</v>
      </c>
      <c r="C1984" t="str">
        <f t="shared" si="30"/>
        <v>NAD83(NSRS2007) / California zone 3</v>
      </c>
    </row>
    <row r="1985" spans="1:3" x14ac:dyDescent="0.3">
      <c r="A1985" t="s">
        <v>2043</v>
      </c>
      <c r="B1985">
        <f>IF(ISNUMBER(SEARCH(Form!$C$11,Tabel2[[#This Row],[Coordinate Projection System]])),MAX($B$1:B1984)+1,0)</f>
        <v>1984</v>
      </c>
      <c r="C1985" t="str">
        <f t="shared" si="30"/>
        <v>NAD83(NSRS2007) / California zone 3 (ftUS)</v>
      </c>
    </row>
    <row r="1986" spans="1:3" x14ac:dyDescent="0.3">
      <c r="A1986" t="s">
        <v>2044</v>
      </c>
      <c r="B1986">
        <f>IF(ISNUMBER(SEARCH(Form!$C$11,Tabel2[[#This Row],[Coordinate Projection System]])),MAX($B$1:B1985)+1,0)</f>
        <v>1985</v>
      </c>
      <c r="C1986" t="str">
        <f t="shared" si="30"/>
        <v>NAD83(NSRS2007) / California zone 4</v>
      </c>
    </row>
    <row r="1987" spans="1:3" x14ac:dyDescent="0.3">
      <c r="A1987" t="s">
        <v>2045</v>
      </c>
      <c r="B1987">
        <f>IF(ISNUMBER(SEARCH(Form!$C$11,Tabel2[[#This Row],[Coordinate Projection System]])),MAX($B$1:B1986)+1,0)</f>
        <v>1986</v>
      </c>
      <c r="C1987" t="str">
        <f t="shared" ref="C1987:C2050" si="31">_xlfn.IFNA(INDEX(A1987:A7498,MATCH(ROW(C1986),B1987:B7498,0)),"")</f>
        <v>NAD83(NSRS2007) / California zone 4 (ftUS)</v>
      </c>
    </row>
    <row r="1988" spans="1:3" x14ac:dyDescent="0.3">
      <c r="A1988" t="s">
        <v>2046</v>
      </c>
      <c r="B1988">
        <f>IF(ISNUMBER(SEARCH(Form!$C$11,Tabel2[[#This Row],[Coordinate Projection System]])),MAX($B$1:B1987)+1,0)</f>
        <v>1987</v>
      </c>
      <c r="C1988" t="str">
        <f t="shared" si="31"/>
        <v>NAD83(NSRS2007) / California zone 5</v>
      </c>
    </row>
    <row r="1989" spans="1:3" x14ac:dyDescent="0.3">
      <c r="A1989" t="s">
        <v>2047</v>
      </c>
      <c r="B1989">
        <f>IF(ISNUMBER(SEARCH(Form!$C$11,Tabel2[[#This Row],[Coordinate Projection System]])),MAX($B$1:B1988)+1,0)</f>
        <v>1988</v>
      </c>
      <c r="C1989" t="str">
        <f t="shared" si="31"/>
        <v>NAD83(NSRS2007) / California zone 5 (ftUS)</v>
      </c>
    </row>
    <row r="1990" spans="1:3" x14ac:dyDescent="0.3">
      <c r="A1990" t="s">
        <v>2048</v>
      </c>
      <c r="B1990">
        <f>IF(ISNUMBER(SEARCH(Form!$C$11,Tabel2[[#This Row],[Coordinate Projection System]])),MAX($B$1:B1989)+1,0)</f>
        <v>1989</v>
      </c>
      <c r="C1990" t="str">
        <f t="shared" si="31"/>
        <v>NAD83(NSRS2007) / California zone 6</v>
      </c>
    </row>
    <row r="1991" spans="1:3" x14ac:dyDescent="0.3">
      <c r="A1991" t="s">
        <v>2049</v>
      </c>
      <c r="B1991">
        <f>IF(ISNUMBER(SEARCH(Form!$C$11,Tabel2[[#This Row],[Coordinate Projection System]])),MAX($B$1:B1990)+1,0)</f>
        <v>1990</v>
      </c>
      <c r="C1991" t="str">
        <f t="shared" si="31"/>
        <v>NAD83(NSRS2007) / California zone 6 (ftUS)</v>
      </c>
    </row>
    <row r="1992" spans="1:3" x14ac:dyDescent="0.3">
      <c r="A1992" t="s">
        <v>2050</v>
      </c>
      <c r="B1992">
        <f>IF(ISNUMBER(SEARCH(Form!$C$11,Tabel2[[#This Row],[Coordinate Projection System]])),MAX($B$1:B1991)+1,0)</f>
        <v>1991</v>
      </c>
      <c r="C1992" t="str">
        <f t="shared" si="31"/>
        <v>NAD83(NSRS2007) / Colorado Central</v>
      </c>
    </row>
    <row r="1993" spans="1:3" x14ac:dyDescent="0.3">
      <c r="A1993" t="s">
        <v>2051</v>
      </c>
      <c r="B1993">
        <f>IF(ISNUMBER(SEARCH(Form!$C$11,Tabel2[[#This Row],[Coordinate Projection System]])),MAX($B$1:B1992)+1,0)</f>
        <v>1992</v>
      </c>
      <c r="C1993" t="str">
        <f t="shared" si="31"/>
        <v>NAD83(NSRS2007) / Colorado Central (ftUS)</v>
      </c>
    </row>
    <row r="1994" spans="1:3" x14ac:dyDescent="0.3">
      <c r="A1994" t="s">
        <v>2052</v>
      </c>
      <c r="B1994">
        <f>IF(ISNUMBER(SEARCH(Form!$C$11,Tabel2[[#This Row],[Coordinate Projection System]])),MAX($B$1:B1993)+1,0)</f>
        <v>1993</v>
      </c>
      <c r="C1994" t="str">
        <f t="shared" si="31"/>
        <v>NAD83(NSRS2007) / Colorado North</v>
      </c>
    </row>
    <row r="1995" spans="1:3" x14ac:dyDescent="0.3">
      <c r="A1995" t="s">
        <v>2053</v>
      </c>
      <c r="B1995">
        <f>IF(ISNUMBER(SEARCH(Form!$C$11,Tabel2[[#This Row],[Coordinate Projection System]])),MAX($B$1:B1994)+1,0)</f>
        <v>1994</v>
      </c>
      <c r="C1995" t="str">
        <f t="shared" si="31"/>
        <v>NAD83(NSRS2007) / Colorado North (ftUS)</v>
      </c>
    </row>
    <row r="1996" spans="1:3" x14ac:dyDescent="0.3">
      <c r="A1996" t="s">
        <v>2054</v>
      </c>
      <c r="B1996">
        <f>IF(ISNUMBER(SEARCH(Form!$C$11,Tabel2[[#This Row],[Coordinate Projection System]])),MAX($B$1:B1995)+1,0)</f>
        <v>1995</v>
      </c>
      <c r="C1996" t="str">
        <f t="shared" si="31"/>
        <v>NAD83(NSRS2007) / Colorado South</v>
      </c>
    </row>
    <row r="1997" spans="1:3" x14ac:dyDescent="0.3">
      <c r="A1997" t="s">
        <v>2055</v>
      </c>
      <c r="B1997">
        <f>IF(ISNUMBER(SEARCH(Form!$C$11,Tabel2[[#This Row],[Coordinate Projection System]])),MAX($B$1:B1996)+1,0)</f>
        <v>1996</v>
      </c>
      <c r="C1997" t="str">
        <f t="shared" si="31"/>
        <v>NAD83(NSRS2007) / Colorado South (ftUS)</v>
      </c>
    </row>
    <row r="1998" spans="1:3" x14ac:dyDescent="0.3">
      <c r="A1998" t="s">
        <v>2056</v>
      </c>
      <c r="B1998">
        <f>IF(ISNUMBER(SEARCH(Form!$C$11,Tabel2[[#This Row],[Coordinate Projection System]])),MAX($B$1:B1997)+1,0)</f>
        <v>1997</v>
      </c>
      <c r="C1998" t="str">
        <f t="shared" si="31"/>
        <v>NAD83(NSRS2007) / Connecticut</v>
      </c>
    </row>
    <row r="1999" spans="1:3" x14ac:dyDescent="0.3">
      <c r="A1999" t="s">
        <v>2057</v>
      </c>
      <c r="B1999">
        <f>IF(ISNUMBER(SEARCH(Form!$C$11,Tabel2[[#This Row],[Coordinate Projection System]])),MAX($B$1:B1998)+1,0)</f>
        <v>1998</v>
      </c>
      <c r="C1999" t="str">
        <f t="shared" si="31"/>
        <v>NAD83(NSRS2007) / Connecticut (ftUS)</v>
      </c>
    </row>
    <row r="2000" spans="1:3" x14ac:dyDescent="0.3">
      <c r="A2000" t="s">
        <v>2058</v>
      </c>
      <c r="B2000">
        <f>IF(ISNUMBER(SEARCH(Form!$C$11,Tabel2[[#This Row],[Coordinate Projection System]])),MAX($B$1:B1999)+1,0)</f>
        <v>1999</v>
      </c>
      <c r="C2000" t="str">
        <f t="shared" si="31"/>
        <v>NAD83(NSRS2007) / Delaware</v>
      </c>
    </row>
    <row r="2001" spans="1:3" x14ac:dyDescent="0.3">
      <c r="A2001" t="s">
        <v>2059</v>
      </c>
      <c r="B2001">
        <f>IF(ISNUMBER(SEARCH(Form!$C$11,Tabel2[[#This Row],[Coordinate Projection System]])),MAX($B$1:B2000)+1,0)</f>
        <v>2000</v>
      </c>
      <c r="C2001" t="str">
        <f t="shared" si="31"/>
        <v>NAD83(NSRS2007) / Delaware (ftUS)</v>
      </c>
    </row>
    <row r="2002" spans="1:3" x14ac:dyDescent="0.3">
      <c r="A2002" t="s">
        <v>2060</v>
      </c>
      <c r="B2002">
        <f>IF(ISNUMBER(SEARCH(Form!$C$11,Tabel2[[#This Row],[Coordinate Projection System]])),MAX($B$1:B2001)+1,0)</f>
        <v>2001</v>
      </c>
      <c r="C2002" t="str">
        <f t="shared" si="31"/>
        <v>NAD83(NSRS2007) / Florida East</v>
      </c>
    </row>
    <row r="2003" spans="1:3" x14ac:dyDescent="0.3">
      <c r="A2003" t="s">
        <v>2061</v>
      </c>
      <c r="B2003">
        <f>IF(ISNUMBER(SEARCH(Form!$C$11,Tabel2[[#This Row],[Coordinate Projection System]])),MAX($B$1:B2002)+1,0)</f>
        <v>2002</v>
      </c>
      <c r="C2003" t="str">
        <f t="shared" si="31"/>
        <v>NAD83(NSRS2007) / Florida East (ftUS)</v>
      </c>
    </row>
    <row r="2004" spans="1:3" x14ac:dyDescent="0.3">
      <c r="A2004" t="s">
        <v>2062</v>
      </c>
      <c r="B2004">
        <f>IF(ISNUMBER(SEARCH(Form!$C$11,Tabel2[[#This Row],[Coordinate Projection System]])),MAX($B$1:B2003)+1,0)</f>
        <v>2003</v>
      </c>
      <c r="C2004" t="str">
        <f t="shared" si="31"/>
        <v>NAD83(NSRS2007) / Florida GDL Albers</v>
      </c>
    </row>
    <row r="2005" spans="1:3" x14ac:dyDescent="0.3">
      <c r="A2005" t="s">
        <v>2063</v>
      </c>
      <c r="B2005">
        <f>IF(ISNUMBER(SEARCH(Form!$C$11,Tabel2[[#This Row],[Coordinate Projection System]])),MAX($B$1:B2004)+1,0)</f>
        <v>2004</v>
      </c>
      <c r="C2005" t="str">
        <f t="shared" si="31"/>
        <v>NAD83(NSRS2007) / Florida North</v>
      </c>
    </row>
    <row r="2006" spans="1:3" x14ac:dyDescent="0.3">
      <c r="A2006" t="s">
        <v>2064</v>
      </c>
      <c r="B2006">
        <f>IF(ISNUMBER(SEARCH(Form!$C$11,Tabel2[[#This Row],[Coordinate Projection System]])),MAX($B$1:B2005)+1,0)</f>
        <v>2005</v>
      </c>
      <c r="C2006" t="str">
        <f t="shared" si="31"/>
        <v>NAD83(NSRS2007) / Florida North (ftUS)</v>
      </c>
    </row>
    <row r="2007" spans="1:3" x14ac:dyDescent="0.3">
      <c r="A2007" t="s">
        <v>2065</v>
      </c>
      <c r="B2007">
        <f>IF(ISNUMBER(SEARCH(Form!$C$11,Tabel2[[#This Row],[Coordinate Projection System]])),MAX($B$1:B2006)+1,0)</f>
        <v>2006</v>
      </c>
      <c r="C2007" t="str">
        <f t="shared" si="31"/>
        <v>NAD83(NSRS2007) / Florida West</v>
      </c>
    </row>
    <row r="2008" spans="1:3" x14ac:dyDescent="0.3">
      <c r="A2008" t="s">
        <v>2066</v>
      </c>
      <c r="B2008">
        <f>IF(ISNUMBER(SEARCH(Form!$C$11,Tabel2[[#This Row],[Coordinate Projection System]])),MAX($B$1:B2007)+1,0)</f>
        <v>2007</v>
      </c>
      <c r="C2008" t="str">
        <f t="shared" si="31"/>
        <v>NAD83(NSRS2007) / Florida West (ftUS)</v>
      </c>
    </row>
    <row r="2009" spans="1:3" x14ac:dyDescent="0.3">
      <c r="A2009" t="s">
        <v>2067</v>
      </c>
      <c r="B2009">
        <f>IF(ISNUMBER(SEARCH(Form!$C$11,Tabel2[[#This Row],[Coordinate Projection System]])),MAX($B$1:B2008)+1,0)</f>
        <v>2008</v>
      </c>
      <c r="C2009" t="str">
        <f t="shared" si="31"/>
        <v>NAD83(NSRS2007) / Georgia East</v>
      </c>
    </row>
    <row r="2010" spans="1:3" x14ac:dyDescent="0.3">
      <c r="A2010" t="s">
        <v>2068</v>
      </c>
      <c r="B2010">
        <f>IF(ISNUMBER(SEARCH(Form!$C$11,Tabel2[[#This Row],[Coordinate Projection System]])),MAX($B$1:B2009)+1,0)</f>
        <v>2009</v>
      </c>
      <c r="C2010" t="str">
        <f t="shared" si="31"/>
        <v>NAD83(NSRS2007) / Georgia East (ftUS)</v>
      </c>
    </row>
    <row r="2011" spans="1:3" x14ac:dyDescent="0.3">
      <c r="A2011" t="s">
        <v>2069</v>
      </c>
      <c r="B2011">
        <f>IF(ISNUMBER(SEARCH(Form!$C$11,Tabel2[[#This Row],[Coordinate Projection System]])),MAX($B$1:B2010)+1,0)</f>
        <v>2010</v>
      </c>
      <c r="C2011" t="str">
        <f t="shared" si="31"/>
        <v>NAD83(NSRS2007) / Georgia West</v>
      </c>
    </row>
    <row r="2012" spans="1:3" x14ac:dyDescent="0.3">
      <c r="A2012" t="s">
        <v>2070</v>
      </c>
      <c r="B2012">
        <f>IF(ISNUMBER(SEARCH(Form!$C$11,Tabel2[[#This Row],[Coordinate Projection System]])),MAX($B$1:B2011)+1,0)</f>
        <v>2011</v>
      </c>
      <c r="C2012" t="str">
        <f t="shared" si="31"/>
        <v>NAD83(NSRS2007) / Georgia West (ftUS)</v>
      </c>
    </row>
    <row r="2013" spans="1:3" x14ac:dyDescent="0.3">
      <c r="A2013" t="s">
        <v>2071</v>
      </c>
      <c r="B2013">
        <f>IF(ISNUMBER(SEARCH(Form!$C$11,Tabel2[[#This Row],[Coordinate Projection System]])),MAX($B$1:B2012)+1,0)</f>
        <v>2012</v>
      </c>
      <c r="C2013" t="str">
        <f t="shared" si="31"/>
        <v>NAD83(NSRS2007) / Idaho Central</v>
      </c>
    </row>
    <row r="2014" spans="1:3" x14ac:dyDescent="0.3">
      <c r="A2014" t="s">
        <v>2072</v>
      </c>
      <c r="B2014">
        <f>IF(ISNUMBER(SEARCH(Form!$C$11,Tabel2[[#This Row],[Coordinate Projection System]])),MAX($B$1:B2013)+1,0)</f>
        <v>2013</v>
      </c>
      <c r="C2014" t="str">
        <f t="shared" si="31"/>
        <v>NAD83(NSRS2007) / Idaho Central (ftUS)</v>
      </c>
    </row>
    <row r="2015" spans="1:3" x14ac:dyDescent="0.3">
      <c r="A2015" t="s">
        <v>2073</v>
      </c>
      <c r="B2015">
        <f>IF(ISNUMBER(SEARCH(Form!$C$11,Tabel2[[#This Row],[Coordinate Projection System]])),MAX($B$1:B2014)+1,0)</f>
        <v>2014</v>
      </c>
      <c r="C2015" t="str">
        <f t="shared" si="31"/>
        <v>NAD83(NSRS2007) / Idaho East</v>
      </c>
    </row>
    <row r="2016" spans="1:3" x14ac:dyDescent="0.3">
      <c r="A2016" t="s">
        <v>2074</v>
      </c>
      <c r="B2016">
        <f>IF(ISNUMBER(SEARCH(Form!$C$11,Tabel2[[#This Row],[Coordinate Projection System]])),MAX($B$1:B2015)+1,0)</f>
        <v>2015</v>
      </c>
      <c r="C2016" t="str">
        <f t="shared" si="31"/>
        <v>NAD83(NSRS2007) / Idaho East (ftUS)</v>
      </c>
    </row>
    <row r="2017" spans="1:3" x14ac:dyDescent="0.3">
      <c r="A2017" t="s">
        <v>2075</v>
      </c>
      <c r="B2017">
        <f>IF(ISNUMBER(SEARCH(Form!$C$11,Tabel2[[#This Row],[Coordinate Projection System]])),MAX($B$1:B2016)+1,0)</f>
        <v>2016</v>
      </c>
      <c r="C2017" t="str">
        <f t="shared" si="31"/>
        <v>NAD83(NSRS2007) / Idaho West</v>
      </c>
    </row>
    <row r="2018" spans="1:3" x14ac:dyDescent="0.3">
      <c r="A2018" t="s">
        <v>2076</v>
      </c>
      <c r="B2018">
        <f>IF(ISNUMBER(SEARCH(Form!$C$11,Tabel2[[#This Row],[Coordinate Projection System]])),MAX($B$1:B2017)+1,0)</f>
        <v>2017</v>
      </c>
      <c r="C2018" t="str">
        <f t="shared" si="31"/>
        <v>NAD83(NSRS2007) / Idaho West (ftUS)</v>
      </c>
    </row>
    <row r="2019" spans="1:3" x14ac:dyDescent="0.3">
      <c r="A2019" t="s">
        <v>2077</v>
      </c>
      <c r="B2019">
        <f>IF(ISNUMBER(SEARCH(Form!$C$11,Tabel2[[#This Row],[Coordinate Projection System]])),MAX($B$1:B2018)+1,0)</f>
        <v>2018</v>
      </c>
      <c r="C2019" t="str">
        <f t="shared" si="31"/>
        <v>NAD83(NSRS2007) / Illinois East</v>
      </c>
    </row>
    <row r="2020" spans="1:3" x14ac:dyDescent="0.3">
      <c r="A2020" t="s">
        <v>2078</v>
      </c>
      <c r="B2020">
        <f>IF(ISNUMBER(SEARCH(Form!$C$11,Tabel2[[#This Row],[Coordinate Projection System]])),MAX($B$1:B2019)+1,0)</f>
        <v>2019</v>
      </c>
      <c r="C2020" t="str">
        <f t="shared" si="31"/>
        <v>NAD83(NSRS2007) / Illinois East (ftUS)</v>
      </c>
    </row>
    <row r="2021" spans="1:3" x14ac:dyDescent="0.3">
      <c r="A2021" t="s">
        <v>2079</v>
      </c>
      <c r="B2021">
        <f>IF(ISNUMBER(SEARCH(Form!$C$11,Tabel2[[#This Row],[Coordinate Projection System]])),MAX($B$1:B2020)+1,0)</f>
        <v>2020</v>
      </c>
      <c r="C2021" t="str">
        <f t="shared" si="31"/>
        <v>NAD83(NSRS2007) / Illinois West</v>
      </c>
    </row>
    <row r="2022" spans="1:3" x14ac:dyDescent="0.3">
      <c r="A2022" t="s">
        <v>2080</v>
      </c>
      <c r="B2022">
        <f>IF(ISNUMBER(SEARCH(Form!$C$11,Tabel2[[#This Row],[Coordinate Projection System]])),MAX($B$1:B2021)+1,0)</f>
        <v>2021</v>
      </c>
      <c r="C2022" t="str">
        <f t="shared" si="31"/>
        <v>NAD83(NSRS2007) / Illinois West (ftUS)</v>
      </c>
    </row>
    <row r="2023" spans="1:3" x14ac:dyDescent="0.3">
      <c r="A2023" t="s">
        <v>2081</v>
      </c>
      <c r="B2023">
        <f>IF(ISNUMBER(SEARCH(Form!$C$11,Tabel2[[#This Row],[Coordinate Projection System]])),MAX($B$1:B2022)+1,0)</f>
        <v>2022</v>
      </c>
      <c r="C2023" t="str">
        <f t="shared" si="31"/>
        <v>NAD83(NSRS2007) / Indiana East</v>
      </c>
    </row>
    <row r="2024" spans="1:3" x14ac:dyDescent="0.3">
      <c r="A2024" t="s">
        <v>2082</v>
      </c>
      <c r="B2024">
        <f>IF(ISNUMBER(SEARCH(Form!$C$11,Tabel2[[#This Row],[Coordinate Projection System]])),MAX($B$1:B2023)+1,0)</f>
        <v>2023</v>
      </c>
      <c r="C2024" t="str">
        <f t="shared" si="31"/>
        <v>NAD83(NSRS2007) / Indiana East (ftUS)</v>
      </c>
    </row>
    <row r="2025" spans="1:3" x14ac:dyDescent="0.3">
      <c r="A2025" t="s">
        <v>2083</v>
      </c>
      <c r="B2025">
        <f>IF(ISNUMBER(SEARCH(Form!$C$11,Tabel2[[#This Row],[Coordinate Projection System]])),MAX($B$1:B2024)+1,0)</f>
        <v>2024</v>
      </c>
      <c r="C2025" t="str">
        <f t="shared" si="31"/>
        <v>NAD83(NSRS2007) / Indiana West</v>
      </c>
    </row>
    <row r="2026" spans="1:3" x14ac:dyDescent="0.3">
      <c r="A2026" t="s">
        <v>2084</v>
      </c>
      <c r="B2026">
        <f>IF(ISNUMBER(SEARCH(Form!$C$11,Tabel2[[#This Row],[Coordinate Projection System]])),MAX($B$1:B2025)+1,0)</f>
        <v>2025</v>
      </c>
      <c r="C2026" t="str">
        <f t="shared" si="31"/>
        <v>NAD83(NSRS2007) / Indiana West (ftUS)</v>
      </c>
    </row>
    <row r="2027" spans="1:3" x14ac:dyDescent="0.3">
      <c r="A2027" t="s">
        <v>2085</v>
      </c>
      <c r="B2027">
        <f>IF(ISNUMBER(SEARCH(Form!$C$11,Tabel2[[#This Row],[Coordinate Projection System]])),MAX($B$1:B2026)+1,0)</f>
        <v>2026</v>
      </c>
      <c r="C2027" t="str">
        <f t="shared" si="31"/>
        <v>NAD83(NSRS2007) / Iowa North</v>
      </c>
    </row>
    <row r="2028" spans="1:3" x14ac:dyDescent="0.3">
      <c r="A2028" t="s">
        <v>2086</v>
      </c>
      <c r="B2028">
        <f>IF(ISNUMBER(SEARCH(Form!$C$11,Tabel2[[#This Row],[Coordinate Projection System]])),MAX($B$1:B2027)+1,0)</f>
        <v>2027</v>
      </c>
      <c r="C2028" t="str">
        <f t="shared" si="31"/>
        <v>NAD83(NSRS2007) / Iowa North (ftUS)</v>
      </c>
    </row>
    <row r="2029" spans="1:3" x14ac:dyDescent="0.3">
      <c r="A2029" t="s">
        <v>2087</v>
      </c>
      <c r="B2029">
        <f>IF(ISNUMBER(SEARCH(Form!$C$11,Tabel2[[#This Row],[Coordinate Projection System]])),MAX($B$1:B2028)+1,0)</f>
        <v>2028</v>
      </c>
      <c r="C2029" t="str">
        <f t="shared" si="31"/>
        <v>NAD83(NSRS2007) / Iowa South</v>
      </c>
    </row>
    <row r="2030" spans="1:3" x14ac:dyDescent="0.3">
      <c r="A2030" t="s">
        <v>2088</v>
      </c>
      <c r="B2030">
        <f>IF(ISNUMBER(SEARCH(Form!$C$11,Tabel2[[#This Row],[Coordinate Projection System]])),MAX($B$1:B2029)+1,0)</f>
        <v>2029</v>
      </c>
      <c r="C2030" t="str">
        <f t="shared" si="31"/>
        <v>NAD83(NSRS2007) / Iowa South (ftUS)</v>
      </c>
    </row>
    <row r="2031" spans="1:3" x14ac:dyDescent="0.3">
      <c r="A2031" t="s">
        <v>2089</v>
      </c>
      <c r="B2031">
        <f>IF(ISNUMBER(SEARCH(Form!$C$11,Tabel2[[#This Row],[Coordinate Projection System]])),MAX($B$1:B2030)+1,0)</f>
        <v>2030</v>
      </c>
      <c r="C2031" t="str">
        <f t="shared" si="31"/>
        <v>NAD83(NSRS2007) / Kansas North</v>
      </c>
    </row>
    <row r="2032" spans="1:3" x14ac:dyDescent="0.3">
      <c r="A2032" t="s">
        <v>2090</v>
      </c>
      <c r="B2032">
        <f>IF(ISNUMBER(SEARCH(Form!$C$11,Tabel2[[#This Row],[Coordinate Projection System]])),MAX($B$1:B2031)+1,0)</f>
        <v>2031</v>
      </c>
      <c r="C2032" t="str">
        <f t="shared" si="31"/>
        <v>NAD83(NSRS2007) / Kansas North (ftUS)</v>
      </c>
    </row>
    <row r="2033" spans="1:3" x14ac:dyDescent="0.3">
      <c r="A2033" t="s">
        <v>2091</v>
      </c>
      <c r="B2033">
        <f>IF(ISNUMBER(SEARCH(Form!$C$11,Tabel2[[#This Row],[Coordinate Projection System]])),MAX($B$1:B2032)+1,0)</f>
        <v>2032</v>
      </c>
      <c r="C2033" t="str">
        <f t="shared" si="31"/>
        <v>NAD83(NSRS2007) / Kansas South</v>
      </c>
    </row>
    <row r="2034" spans="1:3" x14ac:dyDescent="0.3">
      <c r="A2034" t="s">
        <v>2092</v>
      </c>
      <c r="B2034">
        <f>IF(ISNUMBER(SEARCH(Form!$C$11,Tabel2[[#This Row],[Coordinate Projection System]])),MAX($B$1:B2033)+1,0)</f>
        <v>2033</v>
      </c>
      <c r="C2034" t="str">
        <f t="shared" si="31"/>
        <v>NAD83(NSRS2007) / Kansas South (ftUS)</v>
      </c>
    </row>
    <row r="2035" spans="1:3" x14ac:dyDescent="0.3">
      <c r="A2035" t="s">
        <v>2093</v>
      </c>
      <c r="B2035">
        <f>IF(ISNUMBER(SEARCH(Form!$C$11,Tabel2[[#This Row],[Coordinate Projection System]])),MAX($B$1:B2034)+1,0)</f>
        <v>2034</v>
      </c>
      <c r="C2035" t="str">
        <f t="shared" si="31"/>
        <v>NAD83(NSRS2007) / Kentucky North</v>
      </c>
    </row>
    <row r="2036" spans="1:3" x14ac:dyDescent="0.3">
      <c r="A2036" t="s">
        <v>2094</v>
      </c>
      <c r="B2036">
        <f>IF(ISNUMBER(SEARCH(Form!$C$11,Tabel2[[#This Row],[Coordinate Projection System]])),MAX($B$1:B2035)+1,0)</f>
        <v>2035</v>
      </c>
      <c r="C2036" t="str">
        <f t="shared" si="31"/>
        <v>NAD83(NSRS2007) / Kentucky North (ftUS)</v>
      </c>
    </row>
    <row r="2037" spans="1:3" x14ac:dyDescent="0.3">
      <c r="A2037" t="s">
        <v>2095</v>
      </c>
      <c r="B2037">
        <f>IF(ISNUMBER(SEARCH(Form!$C$11,Tabel2[[#This Row],[Coordinate Projection System]])),MAX($B$1:B2036)+1,0)</f>
        <v>2036</v>
      </c>
      <c r="C2037" t="str">
        <f t="shared" si="31"/>
        <v>NAD83(NSRS2007) / Kentucky Single Zone</v>
      </c>
    </row>
    <row r="2038" spans="1:3" x14ac:dyDescent="0.3">
      <c r="A2038" t="s">
        <v>2096</v>
      </c>
      <c r="B2038">
        <f>IF(ISNUMBER(SEARCH(Form!$C$11,Tabel2[[#This Row],[Coordinate Projection System]])),MAX($B$1:B2037)+1,0)</f>
        <v>2037</v>
      </c>
      <c r="C2038" t="str">
        <f t="shared" si="31"/>
        <v>NAD83(NSRS2007) / Kentucky Single Zone (ftUS)</v>
      </c>
    </row>
    <row r="2039" spans="1:3" x14ac:dyDescent="0.3">
      <c r="A2039" t="s">
        <v>2097</v>
      </c>
      <c r="B2039">
        <f>IF(ISNUMBER(SEARCH(Form!$C$11,Tabel2[[#This Row],[Coordinate Projection System]])),MAX($B$1:B2038)+1,0)</f>
        <v>2038</v>
      </c>
      <c r="C2039" t="str">
        <f t="shared" si="31"/>
        <v>NAD83(NSRS2007) / Kentucky South</v>
      </c>
    </row>
    <row r="2040" spans="1:3" x14ac:dyDescent="0.3">
      <c r="A2040" t="s">
        <v>2098</v>
      </c>
      <c r="B2040">
        <f>IF(ISNUMBER(SEARCH(Form!$C$11,Tabel2[[#This Row],[Coordinate Projection System]])),MAX($B$1:B2039)+1,0)</f>
        <v>2039</v>
      </c>
      <c r="C2040" t="str">
        <f t="shared" si="31"/>
        <v>NAD83(NSRS2007) / Kentucky South (ftUS)</v>
      </c>
    </row>
    <row r="2041" spans="1:3" x14ac:dyDescent="0.3">
      <c r="A2041" t="s">
        <v>2099</v>
      </c>
      <c r="B2041">
        <f>IF(ISNUMBER(SEARCH(Form!$C$11,Tabel2[[#This Row],[Coordinate Projection System]])),MAX($B$1:B2040)+1,0)</f>
        <v>2040</v>
      </c>
      <c r="C2041" t="str">
        <f t="shared" si="31"/>
        <v>NAD83(NSRS2007) / Louisiana North</v>
      </c>
    </row>
    <row r="2042" spans="1:3" x14ac:dyDescent="0.3">
      <c r="A2042" t="s">
        <v>2100</v>
      </c>
      <c r="B2042">
        <f>IF(ISNUMBER(SEARCH(Form!$C$11,Tabel2[[#This Row],[Coordinate Projection System]])),MAX($B$1:B2041)+1,0)</f>
        <v>2041</v>
      </c>
      <c r="C2042" t="str">
        <f t="shared" si="31"/>
        <v>NAD83(NSRS2007) / Louisiana North (ftUS)</v>
      </c>
    </row>
    <row r="2043" spans="1:3" x14ac:dyDescent="0.3">
      <c r="A2043" t="s">
        <v>2101</v>
      </c>
      <c r="B2043">
        <f>IF(ISNUMBER(SEARCH(Form!$C$11,Tabel2[[#This Row],[Coordinate Projection System]])),MAX($B$1:B2042)+1,0)</f>
        <v>2042</v>
      </c>
      <c r="C2043" t="str">
        <f t="shared" si="31"/>
        <v>NAD83(NSRS2007) / Louisiana South</v>
      </c>
    </row>
    <row r="2044" spans="1:3" x14ac:dyDescent="0.3">
      <c r="A2044" t="s">
        <v>2102</v>
      </c>
      <c r="B2044">
        <f>IF(ISNUMBER(SEARCH(Form!$C$11,Tabel2[[#This Row],[Coordinate Projection System]])),MAX($B$1:B2043)+1,0)</f>
        <v>2043</v>
      </c>
      <c r="C2044" t="str">
        <f t="shared" si="31"/>
        <v>NAD83(NSRS2007) / Louisiana South (ftUS)</v>
      </c>
    </row>
    <row r="2045" spans="1:3" x14ac:dyDescent="0.3">
      <c r="A2045" t="s">
        <v>2103</v>
      </c>
      <c r="B2045">
        <f>IF(ISNUMBER(SEARCH(Form!$C$11,Tabel2[[#This Row],[Coordinate Projection System]])),MAX($B$1:B2044)+1,0)</f>
        <v>2044</v>
      </c>
      <c r="C2045" t="str">
        <f t="shared" si="31"/>
        <v>NAD83(NSRS2007) / Maine CS2000 Central</v>
      </c>
    </row>
    <row r="2046" spans="1:3" x14ac:dyDescent="0.3">
      <c r="A2046" t="s">
        <v>2104</v>
      </c>
      <c r="B2046">
        <f>IF(ISNUMBER(SEARCH(Form!$C$11,Tabel2[[#This Row],[Coordinate Projection System]])),MAX($B$1:B2045)+1,0)</f>
        <v>2045</v>
      </c>
      <c r="C2046" t="str">
        <f t="shared" si="31"/>
        <v>NAD83(NSRS2007) / Maine CS2000 East</v>
      </c>
    </row>
    <row r="2047" spans="1:3" x14ac:dyDescent="0.3">
      <c r="A2047" t="s">
        <v>2105</v>
      </c>
      <c r="B2047">
        <f>IF(ISNUMBER(SEARCH(Form!$C$11,Tabel2[[#This Row],[Coordinate Projection System]])),MAX($B$1:B2046)+1,0)</f>
        <v>2046</v>
      </c>
      <c r="C2047" t="str">
        <f t="shared" si="31"/>
        <v>NAD83(NSRS2007) / Maine CS2000 West</v>
      </c>
    </row>
    <row r="2048" spans="1:3" x14ac:dyDescent="0.3">
      <c r="A2048" t="s">
        <v>2106</v>
      </c>
      <c r="B2048">
        <f>IF(ISNUMBER(SEARCH(Form!$C$11,Tabel2[[#This Row],[Coordinate Projection System]])),MAX($B$1:B2047)+1,0)</f>
        <v>2047</v>
      </c>
      <c r="C2048" t="str">
        <f t="shared" si="31"/>
        <v>NAD83(NSRS2007) / Maine East</v>
      </c>
    </row>
    <row r="2049" spans="1:3" x14ac:dyDescent="0.3">
      <c r="A2049" t="s">
        <v>2107</v>
      </c>
      <c r="B2049">
        <f>IF(ISNUMBER(SEARCH(Form!$C$11,Tabel2[[#This Row],[Coordinate Projection System]])),MAX($B$1:B2048)+1,0)</f>
        <v>2048</v>
      </c>
      <c r="C2049" t="str">
        <f t="shared" si="31"/>
        <v>NAD83(NSRS2007) / Maine West</v>
      </c>
    </row>
    <row r="2050" spans="1:3" x14ac:dyDescent="0.3">
      <c r="A2050" t="s">
        <v>2108</v>
      </c>
      <c r="B2050">
        <f>IF(ISNUMBER(SEARCH(Form!$C$11,Tabel2[[#This Row],[Coordinate Projection System]])),MAX($B$1:B2049)+1,0)</f>
        <v>2049</v>
      </c>
      <c r="C2050" t="str">
        <f t="shared" si="31"/>
        <v>NAD83(NSRS2007) / Maryland</v>
      </c>
    </row>
    <row r="2051" spans="1:3" x14ac:dyDescent="0.3">
      <c r="A2051" t="s">
        <v>2109</v>
      </c>
      <c r="B2051">
        <f>IF(ISNUMBER(SEARCH(Form!$C$11,Tabel2[[#This Row],[Coordinate Projection System]])),MAX($B$1:B2050)+1,0)</f>
        <v>2050</v>
      </c>
      <c r="C2051" t="str">
        <f t="shared" ref="C2051:C2114" si="32">_xlfn.IFNA(INDEX(A2051:A7562,MATCH(ROW(C2050),B2051:B7562,0)),"")</f>
        <v>NAD83 / Utah North (ftUS)</v>
      </c>
    </row>
    <row r="2052" spans="1:3" x14ac:dyDescent="0.3">
      <c r="A2052" t="s">
        <v>2110</v>
      </c>
      <c r="B2052">
        <f>IF(ISNUMBER(SEARCH(Form!$C$11,Tabel2[[#This Row],[Coordinate Projection System]])),MAX($B$1:B2051)+1,0)</f>
        <v>2051</v>
      </c>
      <c r="C2052" t="str">
        <f t="shared" si="32"/>
        <v>Old Hawaiian / Hawaii zone 1</v>
      </c>
    </row>
    <row r="2053" spans="1:3" x14ac:dyDescent="0.3">
      <c r="A2053" t="s">
        <v>2111</v>
      </c>
      <c r="B2053">
        <f>IF(ISNUMBER(SEARCH(Form!$C$11,Tabel2[[#This Row],[Coordinate Projection System]])),MAX($B$1:B2052)+1,0)</f>
        <v>2052</v>
      </c>
      <c r="C2053" t="str">
        <f t="shared" si="32"/>
        <v>Old Hawaiian / Hawaii zone 2</v>
      </c>
    </row>
    <row r="2054" spans="1:3" x14ac:dyDescent="0.3">
      <c r="A2054" t="s">
        <v>2112</v>
      </c>
      <c r="B2054">
        <f>IF(ISNUMBER(SEARCH(Form!$C$11,Tabel2[[#This Row],[Coordinate Projection System]])),MAX($B$1:B2053)+1,0)</f>
        <v>2053</v>
      </c>
      <c r="C2054" t="str">
        <f t="shared" si="32"/>
        <v>Old Hawaiian / Hawaii zone 3</v>
      </c>
    </row>
    <row r="2055" spans="1:3" x14ac:dyDescent="0.3">
      <c r="A2055" t="s">
        <v>2113</v>
      </c>
      <c r="B2055">
        <f>IF(ISNUMBER(SEARCH(Form!$C$11,Tabel2[[#This Row],[Coordinate Projection System]])),MAX($B$1:B2054)+1,0)</f>
        <v>2054</v>
      </c>
      <c r="C2055" t="str">
        <f t="shared" si="32"/>
        <v>Old Hawaiian / Hawaii zone 4</v>
      </c>
    </row>
    <row r="2056" spans="1:3" x14ac:dyDescent="0.3">
      <c r="A2056" t="s">
        <v>2114</v>
      </c>
      <c r="B2056">
        <f>IF(ISNUMBER(SEARCH(Form!$C$11,Tabel2[[#This Row],[Coordinate Projection System]])),MAX($B$1:B2055)+1,0)</f>
        <v>2055</v>
      </c>
      <c r="C2056" t="str">
        <f t="shared" si="32"/>
        <v>Old Hawaiian / Hawaii zone 5</v>
      </c>
    </row>
    <row r="2057" spans="1:3" x14ac:dyDescent="0.3">
      <c r="A2057" t="s">
        <v>2115</v>
      </c>
      <c r="B2057">
        <f>IF(ISNUMBER(SEARCH(Form!$C$11,Tabel2[[#This Row],[Coordinate Projection System]])),MAX($B$1:B2056)+1,0)</f>
        <v>2056</v>
      </c>
      <c r="C2057" t="str">
        <f t="shared" si="32"/>
        <v>NAD83 / Utah Central (ftUS)</v>
      </c>
    </row>
    <row r="2058" spans="1:3" x14ac:dyDescent="0.3">
      <c r="A2058" t="s">
        <v>2116</v>
      </c>
      <c r="B2058">
        <f>IF(ISNUMBER(SEARCH(Form!$C$11,Tabel2[[#This Row],[Coordinate Projection System]])),MAX($B$1:B2057)+1,0)</f>
        <v>2057</v>
      </c>
      <c r="C2058" t="str">
        <f t="shared" si="32"/>
        <v>NAD83 / Utah South (ftUS)</v>
      </c>
    </row>
    <row r="2059" spans="1:3" x14ac:dyDescent="0.3">
      <c r="A2059" t="s">
        <v>2117</v>
      </c>
      <c r="B2059">
        <f>IF(ISNUMBER(SEARCH(Form!$C$11,Tabel2[[#This Row],[Coordinate Projection System]])),MAX($B$1:B2058)+1,0)</f>
        <v>2058</v>
      </c>
      <c r="C2059" t="str">
        <f t="shared" si="32"/>
        <v>NAD83(HARN) / Utah North (ftUS)</v>
      </c>
    </row>
    <row r="2060" spans="1:3" x14ac:dyDescent="0.3">
      <c r="A2060" t="s">
        <v>2118</v>
      </c>
      <c r="B2060">
        <f>IF(ISNUMBER(SEARCH(Form!$C$11,Tabel2[[#This Row],[Coordinate Projection System]])),MAX($B$1:B2059)+1,0)</f>
        <v>2059</v>
      </c>
      <c r="C2060" t="str">
        <f t="shared" si="32"/>
        <v>NAD83(HARN) / Utah Central (ftUS)</v>
      </c>
    </row>
    <row r="2061" spans="1:3" x14ac:dyDescent="0.3">
      <c r="A2061" t="s">
        <v>2119</v>
      </c>
      <c r="B2061">
        <f>IF(ISNUMBER(SEARCH(Form!$C$11,Tabel2[[#This Row],[Coordinate Projection System]])),MAX($B$1:B2060)+1,0)</f>
        <v>2060</v>
      </c>
      <c r="C2061" t="str">
        <f t="shared" si="32"/>
        <v>NAD83(HARN) / Utah South (ftUS)</v>
      </c>
    </row>
    <row r="2062" spans="1:3" x14ac:dyDescent="0.3">
      <c r="A2062" t="s">
        <v>2120</v>
      </c>
      <c r="B2062">
        <f>IF(ISNUMBER(SEARCH(Form!$C$11,Tabel2[[#This Row],[Coordinate Projection System]])),MAX($B$1:B2061)+1,0)</f>
        <v>2061</v>
      </c>
      <c r="C2062" t="str">
        <f t="shared" si="32"/>
        <v>WGS 84 / North Pole LAEA Bering Sea</v>
      </c>
    </row>
    <row r="2063" spans="1:3" x14ac:dyDescent="0.3">
      <c r="A2063" t="s">
        <v>2121</v>
      </c>
      <c r="B2063">
        <f>IF(ISNUMBER(SEARCH(Form!$C$11,Tabel2[[#This Row],[Coordinate Projection System]])),MAX($B$1:B2062)+1,0)</f>
        <v>2062</v>
      </c>
      <c r="C2063" t="str">
        <f t="shared" si="32"/>
        <v>WGS 84 / North Pole LAEA Alaska</v>
      </c>
    </row>
    <row r="2064" spans="1:3" x14ac:dyDescent="0.3">
      <c r="A2064" t="s">
        <v>2122</v>
      </c>
      <c r="B2064">
        <f>IF(ISNUMBER(SEARCH(Form!$C$11,Tabel2[[#This Row],[Coordinate Projection System]])),MAX($B$1:B2063)+1,0)</f>
        <v>2063</v>
      </c>
      <c r="C2064" t="str">
        <f t="shared" si="32"/>
        <v>WGS 84 / North Pole LAEA Canada</v>
      </c>
    </row>
    <row r="2065" spans="1:3" x14ac:dyDescent="0.3">
      <c r="A2065" t="s">
        <v>2123</v>
      </c>
      <c r="B2065">
        <f>IF(ISNUMBER(SEARCH(Form!$C$11,Tabel2[[#This Row],[Coordinate Projection System]])),MAX($B$1:B2064)+1,0)</f>
        <v>2064</v>
      </c>
      <c r="C2065" t="str">
        <f t="shared" si="32"/>
        <v>WGS 84 / North Pole LAEA Atlantic</v>
      </c>
    </row>
    <row r="2066" spans="1:3" x14ac:dyDescent="0.3">
      <c r="A2066" t="s">
        <v>2124</v>
      </c>
      <c r="B2066">
        <f>IF(ISNUMBER(SEARCH(Form!$C$11,Tabel2[[#This Row],[Coordinate Projection System]])),MAX($B$1:B2065)+1,0)</f>
        <v>2065</v>
      </c>
      <c r="C2066" t="str">
        <f t="shared" si="32"/>
        <v>WGS 84 / North Pole LAEA Europe</v>
      </c>
    </row>
    <row r="2067" spans="1:3" x14ac:dyDescent="0.3">
      <c r="A2067" t="s">
        <v>2125</v>
      </c>
      <c r="B2067">
        <f>IF(ISNUMBER(SEARCH(Form!$C$11,Tabel2[[#This Row],[Coordinate Projection System]])),MAX($B$1:B2066)+1,0)</f>
        <v>2066</v>
      </c>
      <c r="C2067" t="str">
        <f t="shared" si="32"/>
        <v>WGS 84 / North Pole LAEA Russia</v>
      </c>
    </row>
    <row r="2068" spans="1:3" x14ac:dyDescent="0.3">
      <c r="A2068" t="s">
        <v>2126</v>
      </c>
      <c r="B2068">
        <f>IF(ISNUMBER(SEARCH(Form!$C$11,Tabel2[[#This Row],[Coordinate Projection System]])),MAX($B$1:B2067)+1,0)</f>
        <v>2067</v>
      </c>
      <c r="C2068" t="str">
        <f t="shared" si="32"/>
        <v>GDA94 / Australian Albers</v>
      </c>
    </row>
    <row r="2069" spans="1:3" x14ac:dyDescent="0.3">
      <c r="A2069" t="s">
        <v>2127</v>
      </c>
      <c r="B2069">
        <f>IF(ISNUMBER(SEARCH(Form!$C$11,Tabel2[[#This Row],[Coordinate Projection System]])),MAX($B$1:B2068)+1,0)</f>
        <v>2068</v>
      </c>
      <c r="C2069" t="str">
        <f t="shared" si="32"/>
        <v>NAD83 / Yukon Albers</v>
      </c>
    </row>
    <row r="2070" spans="1:3" x14ac:dyDescent="0.3">
      <c r="A2070" t="s">
        <v>2128</v>
      </c>
      <c r="B2070">
        <f>IF(ISNUMBER(SEARCH(Form!$C$11,Tabel2[[#This Row],[Coordinate Projection System]])),MAX($B$1:B2069)+1,0)</f>
        <v>2069</v>
      </c>
      <c r="C2070" t="str">
        <f t="shared" si="32"/>
        <v>NAD83(CSRS) / Yukon Albers</v>
      </c>
    </row>
    <row r="2071" spans="1:3" x14ac:dyDescent="0.3">
      <c r="A2071" t="s">
        <v>2129</v>
      </c>
      <c r="B2071">
        <f>IF(ISNUMBER(SEARCH(Form!$C$11,Tabel2[[#This Row],[Coordinate Projection System]])),MAX($B$1:B2070)+1,0)</f>
        <v>2070</v>
      </c>
      <c r="C2071" t="str">
        <f t="shared" si="32"/>
        <v>NAD83 / NWT Lambert</v>
      </c>
    </row>
    <row r="2072" spans="1:3" x14ac:dyDescent="0.3">
      <c r="A2072" t="s">
        <v>2130</v>
      </c>
      <c r="B2072">
        <f>IF(ISNUMBER(SEARCH(Form!$C$11,Tabel2[[#This Row],[Coordinate Projection System]])),MAX($B$1:B2071)+1,0)</f>
        <v>2071</v>
      </c>
      <c r="C2072" t="str">
        <f t="shared" si="32"/>
        <v>NAD83(CSRS) / NWT Lambert</v>
      </c>
    </row>
    <row r="2073" spans="1:3" x14ac:dyDescent="0.3">
      <c r="A2073" t="s">
        <v>2131</v>
      </c>
      <c r="B2073">
        <f>IF(ISNUMBER(SEARCH(Form!$C$11,Tabel2[[#This Row],[Coordinate Projection System]])),MAX($B$1:B2072)+1,0)</f>
        <v>2072</v>
      </c>
      <c r="C2073" t="str">
        <f t="shared" si="32"/>
        <v>NAD83(NSRS2007) / Maryland (ftUS)</v>
      </c>
    </row>
    <row r="2074" spans="1:3" x14ac:dyDescent="0.3">
      <c r="A2074" t="s">
        <v>2132</v>
      </c>
      <c r="B2074">
        <f>IF(ISNUMBER(SEARCH(Form!$C$11,Tabel2[[#This Row],[Coordinate Projection System]])),MAX($B$1:B2073)+1,0)</f>
        <v>2073</v>
      </c>
      <c r="C2074" t="str">
        <f t="shared" si="32"/>
        <v>NAD83(NSRS2007) / Massachusetts Island</v>
      </c>
    </row>
    <row r="2075" spans="1:3" x14ac:dyDescent="0.3">
      <c r="A2075" t="s">
        <v>2133</v>
      </c>
      <c r="B2075">
        <f>IF(ISNUMBER(SEARCH(Form!$C$11,Tabel2[[#This Row],[Coordinate Projection System]])),MAX($B$1:B2074)+1,0)</f>
        <v>2074</v>
      </c>
      <c r="C2075" t="str">
        <f t="shared" si="32"/>
        <v>NAD83(NSRS2007) / Massachusetts Island (ftUS)</v>
      </c>
    </row>
    <row r="2076" spans="1:3" x14ac:dyDescent="0.3">
      <c r="A2076" t="s">
        <v>2134</v>
      </c>
      <c r="B2076">
        <f>IF(ISNUMBER(SEARCH(Form!$C$11,Tabel2[[#This Row],[Coordinate Projection System]])),MAX($B$1:B2075)+1,0)</f>
        <v>2075</v>
      </c>
      <c r="C2076" t="str">
        <f t="shared" si="32"/>
        <v>NAD83(NSRS2007) / Massachusetts Mainland</v>
      </c>
    </row>
    <row r="2077" spans="1:3" x14ac:dyDescent="0.3">
      <c r="A2077" t="s">
        <v>2135</v>
      </c>
      <c r="B2077">
        <f>IF(ISNUMBER(SEARCH(Form!$C$11,Tabel2[[#This Row],[Coordinate Projection System]])),MAX($B$1:B2076)+1,0)</f>
        <v>2076</v>
      </c>
      <c r="C2077" t="str">
        <f t="shared" si="32"/>
        <v>NAD83(NSRS2007) / Massachusetts Mainland (ftUS)</v>
      </c>
    </row>
    <row r="2078" spans="1:3" x14ac:dyDescent="0.3">
      <c r="A2078" t="s">
        <v>2136</v>
      </c>
      <c r="B2078">
        <f>IF(ISNUMBER(SEARCH(Form!$C$11,Tabel2[[#This Row],[Coordinate Projection System]])),MAX($B$1:B2077)+1,0)</f>
        <v>2077</v>
      </c>
      <c r="C2078" t="str">
        <f t="shared" si="32"/>
        <v>NAD83(NSRS2007) / Michigan Central</v>
      </c>
    </row>
    <row r="2079" spans="1:3" x14ac:dyDescent="0.3">
      <c r="A2079" t="s">
        <v>2137</v>
      </c>
      <c r="B2079">
        <f>IF(ISNUMBER(SEARCH(Form!$C$11,Tabel2[[#This Row],[Coordinate Projection System]])),MAX($B$1:B2078)+1,0)</f>
        <v>2078</v>
      </c>
      <c r="C2079" t="str">
        <f t="shared" si="32"/>
        <v>NAD83(NSRS2007) / Michigan Central (ft)</v>
      </c>
    </row>
    <row r="2080" spans="1:3" x14ac:dyDescent="0.3">
      <c r="A2080" t="s">
        <v>2138</v>
      </c>
      <c r="B2080">
        <f>IF(ISNUMBER(SEARCH(Form!$C$11,Tabel2[[#This Row],[Coordinate Projection System]])),MAX($B$1:B2079)+1,0)</f>
        <v>2079</v>
      </c>
      <c r="C2080" t="str">
        <f t="shared" si="32"/>
        <v>NAD83(NSRS2007) / Michigan North</v>
      </c>
    </row>
    <row r="2081" spans="1:3" x14ac:dyDescent="0.3">
      <c r="A2081" t="s">
        <v>2139</v>
      </c>
      <c r="B2081">
        <f>IF(ISNUMBER(SEARCH(Form!$C$11,Tabel2[[#This Row],[Coordinate Projection System]])),MAX($B$1:B2080)+1,0)</f>
        <v>2080</v>
      </c>
      <c r="C2081" t="str">
        <f t="shared" si="32"/>
        <v>NAD83(NSRS2007) / Michigan North (ft)</v>
      </c>
    </row>
    <row r="2082" spans="1:3" x14ac:dyDescent="0.3">
      <c r="A2082" t="s">
        <v>2140</v>
      </c>
      <c r="B2082">
        <f>IF(ISNUMBER(SEARCH(Form!$C$11,Tabel2[[#This Row],[Coordinate Projection System]])),MAX($B$1:B2081)+1,0)</f>
        <v>2081</v>
      </c>
      <c r="C2082" t="str">
        <f t="shared" si="32"/>
        <v>NAD83(NSRS2007) / Michigan Oblique Mercator</v>
      </c>
    </row>
    <row r="2083" spans="1:3" x14ac:dyDescent="0.3">
      <c r="A2083" t="s">
        <v>2141</v>
      </c>
      <c r="B2083">
        <f>IF(ISNUMBER(SEARCH(Form!$C$11,Tabel2[[#This Row],[Coordinate Projection System]])),MAX($B$1:B2082)+1,0)</f>
        <v>2082</v>
      </c>
      <c r="C2083" t="str">
        <f t="shared" si="32"/>
        <v>NAD83(NSRS2007) / Michigan South</v>
      </c>
    </row>
    <row r="2084" spans="1:3" x14ac:dyDescent="0.3">
      <c r="A2084" t="s">
        <v>2142</v>
      </c>
      <c r="B2084">
        <f>IF(ISNUMBER(SEARCH(Form!$C$11,Tabel2[[#This Row],[Coordinate Projection System]])),MAX($B$1:B2083)+1,0)</f>
        <v>2083</v>
      </c>
      <c r="C2084" t="str">
        <f t="shared" si="32"/>
        <v>NAD83(NSRS2007) / Michigan South (ft)</v>
      </c>
    </row>
    <row r="2085" spans="1:3" x14ac:dyDescent="0.3">
      <c r="A2085" t="s">
        <v>2143</v>
      </c>
      <c r="B2085">
        <f>IF(ISNUMBER(SEARCH(Form!$C$11,Tabel2[[#This Row],[Coordinate Projection System]])),MAX($B$1:B2084)+1,0)</f>
        <v>2084</v>
      </c>
      <c r="C2085" t="str">
        <f t="shared" si="32"/>
        <v>NAD83(NSRS2007) / Minnesota Central</v>
      </c>
    </row>
    <row r="2086" spans="1:3" x14ac:dyDescent="0.3">
      <c r="A2086" t="s">
        <v>2144</v>
      </c>
      <c r="B2086">
        <f>IF(ISNUMBER(SEARCH(Form!$C$11,Tabel2[[#This Row],[Coordinate Projection System]])),MAX($B$1:B2085)+1,0)</f>
        <v>2085</v>
      </c>
      <c r="C2086" t="str">
        <f t="shared" si="32"/>
        <v>NAD83(NSRS2007) / Minnesota North</v>
      </c>
    </row>
    <row r="2087" spans="1:3" x14ac:dyDescent="0.3">
      <c r="A2087" t="s">
        <v>2145</v>
      </c>
      <c r="B2087">
        <f>IF(ISNUMBER(SEARCH(Form!$C$11,Tabel2[[#This Row],[Coordinate Projection System]])),MAX($B$1:B2086)+1,0)</f>
        <v>2086</v>
      </c>
      <c r="C2087" t="str">
        <f t="shared" si="32"/>
        <v>NAD83(NSRS2007) / Minnesota South</v>
      </c>
    </row>
    <row r="2088" spans="1:3" x14ac:dyDescent="0.3">
      <c r="A2088" t="s">
        <v>2146</v>
      </c>
      <c r="B2088">
        <f>IF(ISNUMBER(SEARCH(Form!$C$11,Tabel2[[#This Row],[Coordinate Projection System]])),MAX($B$1:B2087)+1,0)</f>
        <v>2087</v>
      </c>
      <c r="C2088" t="str">
        <f t="shared" si="32"/>
        <v>NAD83(NSRS2007) / Mississippi East</v>
      </c>
    </row>
    <row r="2089" spans="1:3" x14ac:dyDescent="0.3">
      <c r="A2089" t="s">
        <v>2147</v>
      </c>
      <c r="B2089">
        <f>IF(ISNUMBER(SEARCH(Form!$C$11,Tabel2[[#This Row],[Coordinate Projection System]])),MAX($B$1:B2088)+1,0)</f>
        <v>2088</v>
      </c>
      <c r="C2089" t="str">
        <f t="shared" si="32"/>
        <v>NAD83(NSRS2007) / Mississippi East (ftUS)</v>
      </c>
    </row>
    <row r="2090" spans="1:3" x14ac:dyDescent="0.3">
      <c r="A2090" t="s">
        <v>2148</v>
      </c>
      <c r="B2090">
        <f>IF(ISNUMBER(SEARCH(Form!$C$11,Tabel2[[#This Row],[Coordinate Projection System]])),MAX($B$1:B2089)+1,0)</f>
        <v>2089</v>
      </c>
      <c r="C2090" t="str">
        <f t="shared" si="32"/>
        <v>NAD83(NSRS2007) / Mississippi West</v>
      </c>
    </row>
    <row r="2091" spans="1:3" x14ac:dyDescent="0.3">
      <c r="A2091" t="s">
        <v>2149</v>
      </c>
      <c r="B2091">
        <f>IF(ISNUMBER(SEARCH(Form!$C$11,Tabel2[[#This Row],[Coordinate Projection System]])),MAX($B$1:B2090)+1,0)</f>
        <v>2090</v>
      </c>
      <c r="C2091" t="str">
        <f t="shared" si="32"/>
        <v>NAD83(NSRS2007) / Mississippi West (ftUS)</v>
      </c>
    </row>
    <row r="2092" spans="1:3" x14ac:dyDescent="0.3">
      <c r="A2092" t="s">
        <v>2150</v>
      </c>
      <c r="B2092">
        <f>IF(ISNUMBER(SEARCH(Form!$C$11,Tabel2[[#This Row],[Coordinate Projection System]])),MAX($B$1:B2091)+1,0)</f>
        <v>2091</v>
      </c>
      <c r="C2092" t="str">
        <f t="shared" si="32"/>
        <v>NAD83(NSRS2007) / Missouri Central</v>
      </c>
    </row>
    <row r="2093" spans="1:3" x14ac:dyDescent="0.3">
      <c r="A2093" t="s">
        <v>2151</v>
      </c>
      <c r="B2093">
        <f>IF(ISNUMBER(SEARCH(Form!$C$11,Tabel2[[#This Row],[Coordinate Projection System]])),MAX($B$1:B2092)+1,0)</f>
        <v>2092</v>
      </c>
      <c r="C2093" t="str">
        <f t="shared" si="32"/>
        <v>NAD83(NSRS2007) / Missouri East</v>
      </c>
    </row>
    <row r="2094" spans="1:3" x14ac:dyDescent="0.3">
      <c r="A2094" t="s">
        <v>2152</v>
      </c>
      <c r="B2094">
        <f>IF(ISNUMBER(SEARCH(Form!$C$11,Tabel2[[#This Row],[Coordinate Projection System]])),MAX($B$1:B2093)+1,0)</f>
        <v>2093</v>
      </c>
      <c r="C2094" t="str">
        <f t="shared" si="32"/>
        <v>NAD83(NSRS2007) / Missouri West</v>
      </c>
    </row>
    <row r="2095" spans="1:3" x14ac:dyDescent="0.3">
      <c r="A2095" t="s">
        <v>2153</v>
      </c>
      <c r="B2095">
        <f>IF(ISNUMBER(SEARCH(Form!$C$11,Tabel2[[#This Row],[Coordinate Projection System]])),MAX($B$1:B2094)+1,0)</f>
        <v>2094</v>
      </c>
      <c r="C2095" t="str">
        <f t="shared" si="32"/>
        <v>NAD83(NSRS2007) / Montana</v>
      </c>
    </row>
    <row r="2096" spans="1:3" x14ac:dyDescent="0.3">
      <c r="A2096" t="s">
        <v>2154</v>
      </c>
      <c r="B2096">
        <f>IF(ISNUMBER(SEARCH(Form!$C$11,Tabel2[[#This Row],[Coordinate Projection System]])),MAX($B$1:B2095)+1,0)</f>
        <v>2095</v>
      </c>
      <c r="C2096" t="str">
        <f t="shared" si="32"/>
        <v>NAD83(NSRS2007) / Montana (ft)</v>
      </c>
    </row>
    <row r="2097" spans="1:3" x14ac:dyDescent="0.3">
      <c r="A2097" t="s">
        <v>2155</v>
      </c>
      <c r="B2097">
        <f>IF(ISNUMBER(SEARCH(Form!$C$11,Tabel2[[#This Row],[Coordinate Projection System]])),MAX($B$1:B2096)+1,0)</f>
        <v>2096</v>
      </c>
      <c r="C2097" t="str">
        <f t="shared" si="32"/>
        <v>NAD83(NSRS2007) / Nebraska</v>
      </c>
    </row>
    <row r="2098" spans="1:3" x14ac:dyDescent="0.3">
      <c r="A2098" t="s">
        <v>2156</v>
      </c>
      <c r="B2098">
        <f>IF(ISNUMBER(SEARCH(Form!$C$11,Tabel2[[#This Row],[Coordinate Projection System]])),MAX($B$1:B2097)+1,0)</f>
        <v>2097</v>
      </c>
      <c r="C2098" t="str">
        <f t="shared" si="32"/>
        <v>NAD83(NSRS2007) / Nevada Central</v>
      </c>
    </row>
    <row r="2099" spans="1:3" x14ac:dyDescent="0.3">
      <c r="A2099" t="s">
        <v>2157</v>
      </c>
      <c r="B2099">
        <f>IF(ISNUMBER(SEARCH(Form!$C$11,Tabel2[[#This Row],[Coordinate Projection System]])),MAX($B$1:B2098)+1,0)</f>
        <v>2098</v>
      </c>
      <c r="C2099" t="str">
        <f t="shared" si="32"/>
        <v>NAD83(NSRS2007) / Nevada Central (ftUS)</v>
      </c>
    </row>
    <row r="2100" spans="1:3" x14ac:dyDescent="0.3">
      <c r="A2100" t="s">
        <v>2158</v>
      </c>
      <c r="B2100">
        <f>IF(ISNUMBER(SEARCH(Form!$C$11,Tabel2[[#This Row],[Coordinate Projection System]])),MAX($B$1:B2099)+1,0)</f>
        <v>2099</v>
      </c>
      <c r="C2100" t="str">
        <f t="shared" si="32"/>
        <v>NAD83(NSRS2007) / Nevada East</v>
      </c>
    </row>
    <row r="2101" spans="1:3" x14ac:dyDescent="0.3">
      <c r="A2101" t="s">
        <v>2159</v>
      </c>
      <c r="B2101">
        <f>IF(ISNUMBER(SEARCH(Form!$C$11,Tabel2[[#This Row],[Coordinate Projection System]])),MAX($B$1:B2100)+1,0)</f>
        <v>2100</v>
      </c>
      <c r="C2101" t="str">
        <f t="shared" si="32"/>
        <v>NAD83(NSRS2007) / Nevada East (ftUS)</v>
      </c>
    </row>
    <row r="2102" spans="1:3" x14ac:dyDescent="0.3">
      <c r="A2102" t="s">
        <v>2160</v>
      </c>
      <c r="B2102">
        <f>IF(ISNUMBER(SEARCH(Form!$C$11,Tabel2[[#This Row],[Coordinate Projection System]])),MAX($B$1:B2101)+1,0)</f>
        <v>2101</v>
      </c>
      <c r="C2102" t="str">
        <f t="shared" si="32"/>
        <v>NAD83(NSRS2007) / Nevada West</v>
      </c>
    </row>
    <row r="2103" spans="1:3" x14ac:dyDescent="0.3">
      <c r="A2103" t="s">
        <v>2161</v>
      </c>
      <c r="B2103">
        <f>IF(ISNUMBER(SEARCH(Form!$C$11,Tabel2[[#This Row],[Coordinate Projection System]])),MAX($B$1:B2102)+1,0)</f>
        <v>2102</v>
      </c>
      <c r="C2103" t="str">
        <f t="shared" si="32"/>
        <v>NAD83(NSRS2007) / Nevada West (ftUS)</v>
      </c>
    </row>
    <row r="2104" spans="1:3" x14ac:dyDescent="0.3">
      <c r="A2104" t="s">
        <v>2162</v>
      </c>
      <c r="B2104">
        <f>IF(ISNUMBER(SEARCH(Form!$C$11,Tabel2[[#This Row],[Coordinate Projection System]])),MAX($B$1:B2103)+1,0)</f>
        <v>2103</v>
      </c>
      <c r="C2104" t="str">
        <f t="shared" si="32"/>
        <v>NAD83(NSRS2007) / New Hampshire</v>
      </c>
    </row>
    <row r="2105" spans="1:3" x14ac:dyDescent="0.3">
      <c r="A2105" t="s">
        <v>2163</v>
      </c>
      <c r="B2105">
        <f>IF(ISNUMBER(SEARCH(Form!$C$11,Tabel2[[#This Row],[Coordinate Projection System]])),MAX($B$1:B2104)+1,0)</f>
        <v>2104</v>
      </c>
      <c r="C2105" t="str">
        <f t="shared" si="32"/>
        <v>NAD83(NSRS2007) / New Hampshire (ftUS)</v>
      </c>
    </row>
    <row r="2106" spans="1:3" x14ac:dyDescent="0.3">
      <c r="A2106" t="s">
        <v>2164</v>
      </c>
      <c r="B2106">
        <f>IF(ISNUMBER(SEARCH(Form!$C$11,Tabel2[[#This Row],[Coordinate Projection System]])),MAX($B$1:B2105)+1,0)</f>
        <v>2105</v>
      </c>
      <c r="C2106" t="str">
        <f t="shared" si="32"/>
        <v>NAD83(NSRS2007) / New Jersey</v>
      </c>
    </row>
    <row r="2107" spans="1:3" x14ac:dyDescent="0.3">
      <c r="A2107" t="s">
        <v>2165</v>
      </c>
      <c r="B2107">
        <f>IF(ISNUMBER(SEARCH(Form!$C$11,Tabel2[[#This Row],[Coordinate Projection System]])),MAX($B$1:B2106)+1,0)</f>
        <v>2106</v>
      </c>
      <c r="C2107" t="str">
        <f t="shared" si="32"/>
        <v>NAD83(NSRS2007) / New Jersey (ftUS)</v>
      </c>
    </row>
    <row r="2108" spans="1:3" x14ac:dyDescent="0.3">
      <c r="A2108" t="s">
        <v>2166</v>
      </c>
      <c r="B2108">
        <f>IF(ISNUMBER(SEARCH(Form!$C$11,Tabel2[[#This Row],[Coordinate Projection System]])),MAX($B$1:B2107)+1,0)</f>
        <v>2107</v>
      </c>
      <c r="C2108" t="str">
        <f t="shared" si="32"/>
        <v>NAD83(NSRS2007) / New Mexico Central</v>
      </c>
    </row>
    <row r="2109" spans="1:3" x14ac:dyDescent="0.3">
      <c r="A2109" t="s">
        <v>2167</v>
      </c>
      <c r="B2109">
        <f>IF(ISNUMBER(SEARCH(Form!$C$11,Tabel2[[#This Row],[Coordinate Projection System]])),MAX($B$1:B2108)+1,0)</f>
        <v>2108</v>
      </c>
      <c r="C2109" t="str">
        <f t="shared" si="32"/>
        <v>NAD83(NSRS2007) / New Mexico Central (ftUS)</v>
      </c>
    </row>
    <row r="2110" spans="1:3" x14ac:dyDescent="0.3">
      <c r="A2110" t="s">
        <v>2168</v>
      </c>
      <c r="B2110">
        <f>IF(ISNUMBER(SEARCH(Form!$C$11,Tabel2[[#This Row],[Coordinate Projection System]])),MAX($B$1:B2109)+1,0)</f>
        <v>2109</v>
      </c>
      <c r="C2110" t="str">
        <f t="shared" si="32"/>
        <v>NAD83(NSRS2007) / New Mexico East</v>
      </c>
    </row>
    <row r="2111" spans="1:3" x14ac:dyDescent="0.3">
      <c r="A2111" t="s">
        <v>2169</v>
      </c>
      <c r="B2111">
        <f>IF(ISNUMBER(SEARCH(Form!$C$11,Tabel2[[#This Row],[Coordinate Projection System]])),MAX($B$1:B2110)+1,0)</f>
        <v>2110</v>
      </c>
      <c r="C2111" t="str">
        <f t="shared" si="32"/>
        <v>NAD83(NSRS2007) / New Mexico East (ftUS)</v>
      </c>
    </row>
    <row r="2112" spans="1:3" x14ac:dyDescent="0.3">
      <c r="A2112" t="s">
        <v>2170</v>
      </c>
      <c r="B2112">
        <f>IF(ISNUMBER(SEARCH(Form!$C$11,Tabel2[[#This Row],[Coordinate Projection System]])),MAX($B$1:B2111)+1,0)</f>
        <v>2111</v>
      </c>
      <c r="C2112" t="str">
        <f t="shared" si="32"/>
        <v>NAD83(NSRS2007) / New Mexico West</v>
      </c>
    </row>
    <row r="2113" spans="1:3" x14ac:dyDescent="0.3">
      <c r="A2113" t="s">
        <v>2171</v>
      </c>
      <c r="B2113">
        <f>IF(ISNUMBER(SEARCH(Form!$C$11,Tabel2[[#This Row],[Coordinate Projection System]])),MAX($B$1:B2112)+1,0)</f>
        <v>2112</v>
      </c>
      <c r="C2113" t="str">
        <f t="shared" si="32"/>
        <v>NAD83(NSRS2007) / New Mexico West (ftUS)</v>
      </c>
    </row>
    <row r="2114" spans="1:3" x14ac:dyDescent="0.3">
      <c r="A2114" t="s">
        <v>2172</v>
      </c>
      <c r="B2114">
        <f>IF(ISNUMBER(SEARCH(Form!$C$11,Tabel2[[#This Row],[Coordinate Projection System]])),MAX($B$1:B2113)+1,0)</f>
        <v>2113</v>
      </c>
      <c r="C2114" t="str">
        <f t="shared" si="32"/>
        <v>NAD83(NSRS2007) / New York Central</v>
      </c>
    </row>
    <row r="2115" spans="1:3" x14ac:dyDescent="0.3">
      <c r="A2115" t="s">
        <v>2173</v>
      </c>
      <c r="B2115">
        <f>IF(ISNUMBER(SEARCH(Form!$C$11,Tabel2[[#This Row],[Coordinate Projection System]])),MAX($B$1:B2114)+1,0)</f>
        <v>2114</v>
      </c>
      <c r="C2115" t="str">
        <f t="shared" ref="C2115:C2178" si="33">_xlfn.IFNA(INDEX(A2115:A7626,MATCH(ROW(C2114),B2115:B7626,0)),"")</f>
        <v>NAD83(NSRS2007) / New York Central (ftUS)</v>
      </c>
    </row>
    <row r="2116" spans="1:3" x14ac:dyDescent="0.3">
      <c r="A2116" t="s">
        <v>2174</v>
      </c>
      <c r="B2116">
        <f>IF(ISNUMBER(SEARCH(Form!$C$11,Tabel2[[#This Row],[Coordinate Projection System]])),MAX($B$1:B2115)+1,0)</f>
        <v>2115</v>
      </c>
      <c r="C2116" t="str">
        <f t="shared" si="33"/>
        <v>NAD83(NSRS2007) / New York East</v>
      </c>
    </row>
    <row r="2117" spans="1:3" x14ac:dyDescent="0.3">
      <c r="A2117" t="s">
        <v>2175</v>
      </c>
      <c r="B2117">
        <f>IF(ISNUMBER(SEARCH(Form!$C$11,Tabel2[[#This Row],[Coordinate Projection System]])),MAX($B$1:B2116)+1,0)</f>
        <v>2116</v>
      </c>
      <c r="C2117" t="str">
        <f t="shared" si="33"/>
        <v>NAD83(NSRS2007) / New York East (ftUS)</v>
      </c>
    </row>
    <row r="2118" spans="1:3" x14ac:dyDescent="0.3">
      <c r="A2118" t="s">
        <v>2176</v>
      </c>
      <c r="B2118">
        <f>IF(ISNUMBER(SEARCH(Form!$C$11,Tabel2[[#This Row],[Coordinate Projection System]])),MAX($B$1:B2117)+1,0)</f>
        <v>2117</v>
      </c>
      <c r="C2118" t="str">
        <f t="shared" si="33"/>
        <v>NAD83(NSRS2007) / New York Long Island</v>
      </c>
    </row>
    <row r="2119" spans="1:3" x14ac:dyDescent="0.3">
      <c r="A2119" t="s">
        <v>2177</v>
      </c>
      <c r="B2119">
        <f>IF(ISNUMBER(SEARCH(Form!$C$11,Tabel2[[#This Row],[Coordinate Projection System]])),MAX($B$1:B2118)+1,0)</f>
        <v>2118</v>
      </c>
      <c r="C2119" t="str">
        <f t="shared" si="33"/>
        <v>NAD83(NSRS2007) / New York Long Island (ftUS)</v>
      </c>
    </row>
    <row r="2120" spans="1:3" x14ac:dyDescent="0.3">
      <c r="A2120" t="s">
        <v>2178</v>
      </c>
      <c r="B2120">
        <f>IF(ISNUMBER(SEARCH(Form!$C$11,Tabel2[[#This Row],[Coordinate Projection System]])),MAX($B$1:B2119)+1,0)</f>
        <v>2119</v>
      </c>
      <c r="C2120" t="str">
        <f t="shared" si="33"/>
        <v>NAD83(NSRS2007) / New York West</v>
      </c>
    </row>
    <row r="2121" spans="1:3" x14ac:dyDescent="0.3">
      <c r="A2121" t="s">
        <v>2179</v>
      </c>
      <c r="B2121">
        <f>IF(ISNUMBER(SEARCH(Form!$C$11,Tabel2[[#This Row],[Coordinate Projection System]])),MAX($B$1:B2120)+1,0)</f>
        <v>2120</v>
      </c>
      <c r="C2121" t="str">
        <f t="shared" si="33"/>
        <v>NAD83(NSRS2007) / New York West (ftUS)</v>
      </c>
    </row>
    <row r="2122" spans="1:3" x14ac:dyDescent="0.3">
      <c r="A2122" t="s">
        <v>2180</v>
      </c>
      <c r="B2122">
        <f>IF(ISNUMBER(SEARCH(Form!$C$11,Tabel2[[#This Row],[Coordinate Projection System]])),MAX($B$1:B2121)+1,0)</f>
        <v>2121</v>
      </c>
      <c r="C2122" t="str">
        <f t="shared" si="33"/>
        <v>NAD83(NSRS2007) / North Carolina</v>
      </c>
    </row>
    <row r="2123" spans="1:3" x14ac:dyDescent="0.3">
      <c r="A2123" t="s">
        <v>2181</v>
      </c>
      <c r="B2123">
        <f>IF(ISNUMBER(SEARCH(Form!$C$11,Tabel2[[#This Row],[Coordinate Projection System]])),MAX($B$1:B2122)+1,0)</f>
        <v>2122</v>
      </c>
      <c r="C2123" t="str">
        <f t="shared" si="33"/>
        <v>NAD83(NSRS2007) / North Carolina (ftUS)</v>
      </c>
    </row>
    <row r="2124" spans="1:3" x14ac:dyDescent="0.3">
      <c r="A2124" t="s">
        <v>2182</v>
      </c>
      <c r="B2124">
        <f>IF(ISNUMBER(SEARCH(Form!$C$11,Tabel2[[#This Row],[Coordinate Projection System]])),MAX($B$1:B2123)+1,0)</f>
        <v>2123</v>
      </c>
      <c r="C2124" t="str">
        <f t="shared" si="33"/>
        <v>NAD83(NSRS2007) / North Dakota North</v>
      </c>
    </row>
    <row r="2125" spans="1:3" x14ac:dyDescent="0.3">
      <c r="A2125" t="s">
        <v>2183</v>
      </c>
      <c r="B2125">
        <f>IF(ISNUMBER(SEARCH(Form!$C$11,Tabel2[[#This Row],[Coordinate Projection System]])),MAX($B$1:B2124)+1,0)</f>
        <v>2124</v>
      </c>
      <c r="C2125" t="str">
        <f t="shared" si="33"/>
        <v>NAD83(NSRS2007) / North Dakota North (ft)</v>
      </c>
    </row>
    <row r="2126" spans="1:3" x14ac:dyDescent="0.3">
      <c r="A2126" t="s">
        <v>2184</v>
      </c>
      <c r="B2126">
        <f>IF(ISNUMBER(SEARCH(Form!$C$11,Tabel2[[#This Row],[Coordinate Projection System]])),MAX($B$1:B2125)+1,0)</f>
        <v>2125</v>
      </c>
      <c r="C2126" t="str">
        <f t="shared" si="33"/>
        <v>NAD83(NSRS2007) / North Dakota South</v>
      </c>
    </row>
    <row r="2127" spans="1:3" x14ac:dyDescent="0.3">
      <c r="A2127" t="s">
        <v>2185</v>
      </c>
      <c r="B2127">
        <f>IF(ISNUMBER(SEARCH(Form!$C$11,Tabel2[[#This Row],[Coordinate Projection System]])),MAX($B$1:B2126)+1,0)</f>
        <v>2126</v>
      </c>
      <c r="C2127" t="str">
        <f t="shared" si="33"/>
        <v>NAD83(NSRS2007) / North Dakota South (ft)</v>
      </c>
    </row>
    <row r="2128" spans="1:3" x14ac:dyDescent="0.3">
      <c r="A2128" t="s">
        <v>2186</v>
      </c>
      <c r="B2128">
        <f>IF(ISNUMBER(SEARCH(Form!$C$11,Tabel2[[#This Row],[Coordinate Projection System]])),MAX($B$1:B2127)+1,0)</f>
        <v>2127</v>
      </c>
      <c r="C2128" t="str">
        <f t="shared" si="33"/>
        <v>NAD83(NSRS2007) / Ohio North</v>
      </c>
    </row>
    <row r="2129" spans="1:3" x14ac:dyDescent="0.3">
      <c r="A2129" t="s">
        <v>2187</v>
      </c>
      <c r="B2129">
        <f>IF(ISNUMBER(SEARCH(Form!$C$11,Tabel2[[#This Row],[Coordinate Projection System]])),MAX($B$1:B2128)+1,0)</f>
        <v>2128</v>
      </c>
      <c r="C2129" t="str">
        <f t="shared" si="33"/>
        <v>NAD83(NSRS2007) / Ohio South</v>
      </c>
    </row>
    <row r="2130" spans="1:3" x14ac:dyDescent="0.3">
      <c r="A2130" t="s">
        <v>2188</v>
      </c>
      <c r="B2130">
        <f>IF(ISNUMBER(SEARCH(Form!$C$11,Tabel2[[#This Row],[Coordinate Projection System]])),MAX($B$1:B2129)+1,0)</f>
        <v>2129</v>
      </c>
      <c r="C2130" t="str">
        <f t="shared" si="33"/>
        <v>NAD83(NSRS2007) / Oklahoma North</v>
      </c>
    </row>
    <row r="2131" spans="1:3" x14ac:dyDescent="0.3">
      <c r="A2131" t="s">
        <v>2189</v>
      </c>
      <c r="B2131">
        <f>IF(ISNUMBER(SEARCH(Form!$C$11,Tabel2[[#This Row],[Coordinate Projection System]])),MAX($B$1:B2130)+1,0)</f>
        <v>2130</v>
      </c>
      <c r="C2131" t="str">
        <f t="shared" si="33"/>
        <v>NAD83(NSRS2007) / Oklahoma North (ftUS)</v>
      </c>
    </row>
    <row r="2132" spans="1:3" x14ac:dyDescent="0.3">
      <c r="A2132" t="s">
        <v>2190</v>
      </c>
      <c r="B2132">
        <f>IF(ISNUMBER(SEARCH(Form!$C$11,Tabel2[[#This Row],[Coordinate Projection System]])),MAX($B$1:B2131)+1,0)</f>
        <v>2131</v>
      </c>
      <c r="C2132" t="str">
        <f t="shared" si="33"/>
        <v>NAD83(NSRS2007) / Oklahoma South</v>
      </c>
    </row>
    <row r="2133" spans="1:3" x14ac:dyDescent="0.3">
      <c r="A2133" t="s">
        <v>2191</v>
      </c>
      <c r="B2133">
        <f>IF(ISNUMBER(SEARCH(Form!$C$11,Tabel2[[#This Row],[Coordinate Projection System]])),MAX($B$1:B2132)+1,0)</f>
        <v>2132</v>
      </c>
      <c r="C2133" t="str">
        <f t="shared" si="33"/>
        <v>NAD83(NSRS2007) / Oklahoma South (ftUS)</v>
      </c>
    </row>
    <row r="2134" spans="1:3" x14ac:dyDescent="0.3">
      <c r="A2134" t="s">
        <v>2192</v>
      </c>
      <c r="B2134">
        <f>IF(ISNUMBER(SEARCH(Form!$C$11,Tabel2[[#This Row],[Coordinate Projection System]])),MAX($B$1:B2133)+1,0)</f>
        <v>2133</v>
      </c>
      <c r="C2134" t="str">
        <f t="shared" si="33"/>
        <v>NAD83(NSRS2007) / Oregon LCC (m)</v>
      </c>
    </row>
    <row r="2135" spans="1:3" x14ac:dyDescent="0.3">
      <c r="A2135" t="s">
        <v>2193</v>
      </c>
      <c r="B2135">
        <f>IF(ISNUMBER(SEARCH(Form!$C$11,Tabel2[[#This Row],[Coordinate Projection System]])),MAX($B$1:B2134)+1,0)</f>
        <v>2134</v>
      </c>
      <c r="C2135" t="str">
        <f t="shared" si="33"/>
        <v>NAD83(NSRS2007) / Oregon GIC Lambert (ft)</v>
      </c>
    </row>
    <row r="2136" spans="1:3" x14ac:dyDescent="0.3">
      <c r="A2136" t="s">
        <v>2194</v>
      </c>
      <c r="B2136">
        <f>IF(ISNUMBER(SEARCH(Form!$C$11,Tabel2[[#This Row],[Coordinate Projection System]])),MAX($B$1:B2135)+1,0)</f>
        <v>2135</v>
      </c>
      <c r="C2136" t="str">
        <f t="shared" si="33"/>
        <v>NAD83(NSRS2007) / Oregon North</v>
      </c>
    </row>
    <row r="2137" spans="1:3" x14ac:dyDescent="0.3">
      <c r="A2137" t="s">
        <v>2195</v>
      </c>
      <c r="B2137">
        <f>IF(ISNUMBER(SEARCH(Form!$C$11,Tabel2[[#This Row],[Coordinate Projection System]])),MAX($B$1:B2136)+1,0)</f>
        <v>2136</v>
      </c>
      <c r="C2137" t="str">
        <f t="shared" si="33"/>
        <v>NAD83(NSRS2007) / Oregon North (ft)</v>
      </c>
    </row>
    <row r="2138" spans="1:3" x14ac:dyDescent="0.3">
      <c r="A2138" t="s">
        <v>2196</v>
      </c>
      <c r="B2138">
        <f>IF(ISNUMBER(SEARCH(Form!$C$11,Tabel2[[#This Row],[Coordinate Projection System]])),MAX($B$1:B2137)+1,0)</f>
        <v>2137</v>
      </c>
      <c r="C2138" t="str">
        <f t="shared" si="33"/>
        <v>NAD83(NSRS2007) / Oregon South</v>
      </c>
    </row>
    <row r="2139" spans="1:3" x14ac:dyDescent="0.3">
      <c r="A2139" t="s">
        <v>2197</v>
      </c>
      <c r="B2139">
        <f>IF(ISNUMBER(SEARCH(Form!$C$11,Tabel2[[#This Row],[Coordinate Projection System]])),MAX($B$1:B2138)+1,0)</f>
        <v>2138</v>
      </c>
      <c r="C2139" t="str">
        <f t="shared" si="33"/>
        <v>NAD83(NSRS2007) / Oregon South (ft)</v>
      </c>
    </row>
    <row r="2140" spans="1:3" x14ac:dyDescent="0.3">
      <c r="A2140" t="s">
        <v>2198</v>
      </c>
      <c r="B2140">
        <f>IF(ISNUMBER(SEARCH(Form!$C$11,Tabel2[[#This Row],[Coordinate Projection System]])),MAX($B$1:B2139)+1,0)</f>
        <v>2139</v>
      </c>
      <c r="C2140" t="str">
        <f t="shared" si="33"/>
        <v>NAD83(NSRS2007) / Pennsylvania North</v>
      </c>
    </row>
    <row r="2141" spans="1:3" x14ac:dyDescent="0.3">
      <c r="A2141" t="s">
        <v>2199</v>
      </c>
      <c r="B2141">
        <f>IF(ISNUMBER(SEARCH(Form!$C$11,Tabel2[[#This Row],[Coordinate Projection System]])),MAX($B$1:B2140)+1,0)</f>
        <v>2140</v>
      </c>
      <c r="C2141" t="str">
        <f t="shared" si="33"/>
        <v>NAD83(NSRS2007) / Pennsylvania North (ftUS)</v>
      </c>
    </row>
    <row r="2142" spans="1:3" x14ac:dyDescent="0.3">
      <c r="A2142" t="s">
        <v>2200</v>
      </c>
      <c r="B2142">
        <f>IF(ISNUMBER(SEARCH(Form!$C$11,Tabel2[[#This Row],[Coordinate Projection System]])),MAX($B$1:B2141)+1,0)</f>
        <v>2141</v>
      </c>
      <c r="C2142" t="str">
        <f t="shared" si="33"/>
        <v>NAD83(NSRS2007) / Pennsylvania South</v>
      </c>
    </row>
    <row r="2143" spans="1:3" x14ac:dyDescent="0.3">
      <c r="A2143" t="s">
        <v>2201</v>
      </c>
      <c r="B2143">
        <f>IF(ISNUMBER(SEARCH(Form!$C$11,Tabel2[[#This Row],[Coordinate Projection System]])),MAX($B$1:B2142)+1,0)</f>
        <v>2142</v>
      </c>
      <c r="C2143" t="str">
        <f t="shared" si="33"/>
        <v>NAD83(NSRS2007) / Pennsylvania South (ftUS)</v>
      </c>
    </row>
    <row r="2144" spans="1:3" x14ac:dyDescent="0.3">
      <c r="A2144" t="s">
        <v>2202</v>
      </c>
      <c r="B2144">
        <f>IF(ISNUMBER(SEARCH(Form!$C$11,Tabel2[[#This Row],[Coordinate Projection System]])),MAX($B$1:B2143)+1,0)</f>
        <v>2143</v>
      </c>
      <c r="C2144" t="str">
        <f t="shared" si="33"/>
        <v>NAD83(NSRS2007) / Rhode Island</v>
      </c>
    </row>
    <row r="2145" spans="1:3" x14ac:dyDescent="0.3">
      <c r="A2145" t="s">
        <v>2203</v>
      </c>
      <c r="B2145">
        <f>IF(ISNUMBER(SEARCH(Form!$C$11,Tabel2[[#This Row],[Coordinate Projection System]])),MAX($B$1:B2144)+1,0)</f>
        <v>2144</v>
      </c>
      <c r="C2145" t="str">
        <f t="shared" si="33"/>
        <v>NAD83(NSRS2007) / Rhode Island (ftUS)</v>
      </c>
    </row>
    <row r="2146" spans="1:3" x14ac:dyDescent="0.3">
      <c r="A2146" t="s">
        <v>2204</v>
      </c>
      <c r="B2146">
        <f>IF(ISNUMBER(SEARCH(Form!$C$11,Tabel2[[#This Row],[Coordinate Projection System]])),MAX($B$1:B2145)+1,0)</f>
        <v>2145</v>
      </c>
      <c r="C2146" t="str">
        <f t="shared" si="33"/>
        <v>NAD83(NSRS2007) / South Carolina</v>
      </c>
    </row>
    <row r="2147" spans="1:3" x14ac:dyDescent="0.3">
      <c r="A2147" t="s">
        <v>2205</v>
      </c>
      <c r="B2147">
        <f>IF(ISNUMBER(SEARCH(Form!$C$11,Tabel2[[#This Row],[Coordinate Projection System]])),MAX($B$1:B2146)+1,0)</f>
        <v>2146</v>
      </c>
      <c r="C2147" t="str">
        <f t="shared" si="33"/>
        <v>NAD83(NSRS2007) / South Carolina (ft)</v>
      </c>
    </row>
    <row r="2148" spans="1:3" x14ac:dyDescent="0.3">
      <c r="A2148" t="s">
        <v>2206</v>
      </c>
      <c r="B2148">
        <f>IF(ISNUMBER(SEARCH(Form!$C$11,Tabel2[[#This Row],[Coordinate Projection System]])),MAX($B$1:B2147)+1,0)</f>
        <v>2147</v>
      </c>
      <c r="C2148" t="str">
        <f t="shared" si="33"/>
        <v>NAD83(NSRS2007) / South Dakota North</v>
      </c>
    </row>
    <row r="2149" spans="1:3" x14ac:dyDescent="0.3">
      <c r="A2149" t="s">
        <v>2207</v>
      </c>
      <c r="B2149">
        <f>IF(ISNUMBER(SEARCH(Form!$C$11,Tabel2[[#This Row],[Coordinate Projection System]])),MAX($B$1:B2148)+1,0)</f>
        <v>2148</v>
      </c>
      <c r="C2149" t="str">
        <f t="shared" si="33"/>
        <v>NAD83(NSRS2007) / South Dakota North (ftUS)</v>
      </c>
    </row>
    <row r="2150" spans="1:3" x14ac:dyDescent="0.3">
      <c r="A2150" t="s">
        <v>2208</v>
      </c>
      <c r="B2150">
        <f>IF(ISNUMBER(SEARCH(Form!$C$11,Tabel2[[#This Row],[Coordinate Projection System]])),MAX($B$1:B2149)+1,0)</f>
        <v>2149</v>
      </c>
      <c r="C2150" t="str">
        <f t="shared" si="33"/>
        <v>NAD83(NSRS2007) / South Dakota South</v>
      </c>
    </row>
    <row r="2151" spans="1:3" x14ac:dyDescent="0.3">
      <c r="A2151" t="s">
        <v>2209</v>
      </c>
      <c r="B2151">
        <f>IF(ISNUMBER(SEARCH(Form!$C$11,Tabel2[[#This Row],[Coordinate Projection System]])),MAX($B$1:B2150)+1,0)</f>
        <v>2150</v>
      </c>
      <c r="C2151" t="str">
        <f t="shared" si="33"/>
        <v>NAD83(NSRS2007) / South Dakota South (ftUS)</v>
      </c>
    </row>
    <row r="2152" spans="1:3" x14ac:dyDescent="0.3">
      <c r="A2152" t="s">
        <v>2210</v>
      </c>
      <c r="B2152">
        <f>IF(ISNUMBER(SEARCH(Form!$C$11,Tabel2[[#This Row],[Coordinate Projection System]])),MAX($B$1:B2151)+1,0)</f>
        <v>2151</v>
      </c>
      <c r="C2152" t="str">
        <f t="shared" si="33"/>
        <v>NAD83(NSRS2007) / Tennessee</v>
      </c>
    </row>
    <row r="2153" spans="1:3" x14ac:dyDescent="0.3">
      <c r="A2153" t="s">
        <v>2211</v>
      </c>
      <c r="B2153">
        <f>IF(ISNUMBER(SEARCH(Form!$C$11,Tabel2[[#This Row],[Coordinate Projection System]])),MAX($B$1:B2152)+1,0)</f>
        <v>2152</v>
      </c>
      <c r="C2153" t="str">
        <f t="shared" si="33"/>
        <v>NAD83(NSRS2007) / Tennessee (ftUS)</v>
      </c>
    </row>
    <row r="2154" spans="1:3" x14ac:dyDescent="0.3">
      <c r="A2154" t="s">
        <v>2212</v>
      </c>
      <c r="B2154">
        <f>IF(ISNUMBER(SEARCH(Form!$C$11,Tabel2[[#This Row],[Coordinate Projection System]])),MAX($B$1:B2153)+1,0)</f>
        <v>2153</v>
      </c>
      <c r="C2154" t="str">
        <f t="shared" si="33"/>
        <v>NAD83(NSRS2007) / Texas Central</v>
      </c>
    </row>
    <row r="2155" spans="1:3" x14ac:dyDescent="0.3">
      <c r="A2155" t="s">
        <v>2213</v>
      </c>
      <c r="B2155">
        <f>IF(ISNUMBER(SEARCH(Form!$C$11,Tabel2[[#This Row],[Coordinate Projection System]])),MAX($B$1:B2154)+1,0)</f>
        <v>2154</v>
      </c>
      <c r="C2155" t="str">
        <f t="shared" si="33"/>
        <v>NAD83(NSRS2007) / Texas Central (ftUS)</v>
      </c>
    </row>
    <row r="2156" spans="1:3" x14ac:dyDescent="0.3">
      <c r="A2156" t="s">
        <v>2214</v>
      </c>
      <c r="B2156">
        <f>IF(ISNUMBER(SEARCH(Form!$C$11,Tabel2[[#This Row],[Coordinate Projection System]])),MAX($B$1:B2155)+1,0)</f>
        <v>2155</v>
      </c>
      <c r="C2156" t="str">
        <f t="shared" si="33"/>
        <v>NAD83(NSRS2007) / Texas Centric Albers Equal Area</v>
      </c>
    </row>
    <row r="2157" spans="1:3" x14ac:dyDescent="0.3">
      <c r="A2157" t="s">
        <v>2215</v>
      </c>
      <c r="B2157">
        <f>IF(ISNUMBER(SEARCH(Form!$C$11,Tabel2[[#This Row],[Coordinate Projection System]])),MAX($B$1:B2156)+1,0)</f>
        <v>2156</v>
      </c>
      <c r="C2157" t="str">
        <f t="shared" si="33"/>
        <v>NAD83(NSRS2007) / Texas Centric Lambert Conformal</v>
      </c>
    </row>
    <row r="2158" spans="1:3" x14ac:dyDescent="0.3">
      <c r="A2158" t="s">
        <v>2216</v>
      </c>
      <c r="B2158">
        <f>IF(ISNUMBER(SEARCH(Form!$C$11,Tabel2[[#This Row],[Coordinate Projection System]])),MAX($B$1:B2157)+1,0)</f>
        <v>2157</v>
      </c>
      <c r="C2158" t="str">
        <f t="shared" si="33"/>
        <v>NAD83(NSRS2007) / Texas North</v>
      </c>
    </row>
    <row r="2159" spans="1:3" x14ac:dyDescent="0.3">
      <c r="A2159" t="s">
        <v>2217</v>
      </c>
      <c r="B2159">
        <f>IF(ISNUMBER(SEARCH(Form!$C$11,Tabel2[[#This Row],[Coordinate Projection System]])),MAX($B$1:B2158)+1,0)</f>
        <v>2158</v>
      </c>
      <c r="C2159" t="str">
        <f t="shared" si="33"/>
        <v>NAD83(NSRS2007) / Texas North (ftUS)</v>
      </c>
    </row>
    <row r="2160" spans="1:3" x14ac:dyDescent="0.3">
      <c r="A2160" t="s">
        <v>2218</v>
      </c>
      <c r="B2160">
        <f>IF(ISNUMBER(SEARCH(Form!$C$11,Tabel2[[#This Row],[Coordinate Projection System]])),MAX($B$1:B2159)+1,0)</f>
        <v>2159</v>
      </c>
      <c r="C2160" t="str">
        <f t="shared" si="33"/>
        <v>NAD83(NSRS2007) / Texas North Central</v>
      </c>
    </row>
    <row r="2161" spans="1:3" x14ac:dyDescent="0.3">
      <c r="A2161" t="s">
        <v>2219</v>
      </c>
      <c r="B2161">
        <f>IF(ISNUMBER(SEARCH(Form!$C$11,Tabel2[[#This Row],[Coordinate Projection System]])),MAX($B$1:B2160)+1,0)</f>
        <v>2160</v>
      </c>
      <c r="C2161" t="str">
        <f t="shared" si="33"/>
        <v>NAD83(NSRS2007) / Texas North Central (ftUS)</v>
      </c>
    </row>
    <row r="2162" spans="1:3" x14ac:dyDescent="0.3">
      <c r="A2162" t="s">
        <v>2220</v>
      </c>
      <c r="B2162">
        <f>IF(ISNUMBER(SEARCH(Form!$C$11,Tabel2[[#This Row],[Coordinate Projection System]])),MAX($B$1:B2161)+1,0)</f>
        <v>2161</v>
      </c>
      <c r="C2162" t="str">
        <f t="shared" si="33"/>
        <v>NAD83(NSRS2007) / Texas South</v>
      </c>
    </row>
    <row r="2163" spans="1:3" x14ac:dyDescent="0.3">
      <c r="A2163" t="s">
        <v>2221</v>
      </c>
      <c r="B2163">
        <f>IF(ISNUMBER(SEARCH(Form!$C$11,Tabel2[[#This Row],[Coordinate Projection System]])),MAX($B$1:B2162)+1,0)</f>
        <v>2162</v>
      </c>
      <c r="C2163" t="str">
        <f t="shared" si="33"/>
        <v>NAD83(NSRS2007) / Texas South (ftUS)</v>
      </c>
    </row>
    <row r="2164" spans="1:3" x14ac:dyDescent="0.3">
      <c r="A2164" t="s">
        <v>2222</v>
      </c>
      <c r="B2164">
        <f>IF(ISNUMBER(SEARCH(Form!$C$11,Tabel2[[#This Row],[Coordinate Projection System]])),MAX($B$1:B2163)+1,0)</f>
        <v>2163</v>
      </c>
      <c r="C2164" t="str">
        <f t="shared" si="33"/>
        <v>NAD83(NSRS2007) / Texas South Central</v>
      </c>
    </row>
    <row r="2165" spans="1:3" x14ac:dyDescent="0.3">
      <c r="A2165" t="s">
        <v>2223</v>
      </c>
      <c r="B2165">
        <f>IF(ISNUMBER(SEARCH(Form!$C$11,Tabel2[[#This Row],[Coordinate Projection System]])),MAX($B$1:B2164)+1,0)</f>
        <v>2164</v>
      </c>
      <c r="C2165" t="str">
        <f t="shared" si="33"/>
        <v>NAD83(NSRS2007) / Texas South Central (ftUS)</v>
      </c>
    </row>
    <row r="2166" spans="1:3" x14ac:dyDescent="0.3">
      <c r="A2166" t="s">
        <v>2224</v>
      </c>
      <c r="B2166">
        <f>IF(ISNUMBER(SEARCH(Form!$C$11,Tabel2[[#This Row],[Coordinate Projection System]])),MAX($B$1:B2165)+1,0)</f>
        <v>2165</v>
      </c>
      <c r="C2166" t="str">
        <f t="shared" si="33"/>
        <v>NAD83(NSRS2007) / Utah Central</v>
      </c>
    </row>
    <row r="2167" spans="1:3" x14ac:dyDescent="0.3">
      <c r="A2167" t="s">
        <v>2225</v>
      </c>
      <c r="B2167">
        <f>IF(ISNUMBER(SEARCH(Form!$C$11,Tabel2[[#This Row],[Coordinate Projection System]])),MAX($B$1:B2166)+1,0)</f>
        <v>2166</v>
      </c>
      <c r="C2167" t="str">
        <f t="shared" si="33"/>
        <v>NAD83(NSRS2007) / Utah Central (ft)</v>
      </c>
    </row>
    <row r="2168" spans="1:3" x14ac:dyDescent="0.3">
      <c r="A2168" t="s">
        <v>2226</v>
      </c>
      <c r="B2168">
        <f>IF(ISNUMBER(SEARCH(Form!$C$11,Tabel2[[#This Row],[Coordinate Projection System]])),MAX($B$1:B2167)+1,0)</f>
        <v>2167</v>
      </c>
      <c r="C2168" t="str">
        <f t="shared" si="33"/>
        <v>NAD83(NSRS2007) / Utah Central (ftUS)</v>
      </c>
    </row>
    <row r="2169" spans="1:3" x14ac:dyDescent="0.3">
      <c r="A2169" t="s">
        <v>2227</v>
      </c>
      <c r="B2169">
        <f>IF(ISNUMBER(SEARCH(Form!$C$11,Tabel2[[#This Row],[Coordinate Projection System]])),MAX($B$1:B2168)+1,0)</f>
        <v>2168</v>
      </c>
      <c r="C2169" t="str">
        <f t="shared" si="33"/>
        <v>NAD83(NSRS2007) / Utah North</v>
      </c>
    </row>
    <row r="2170" spans="1:3" x14ac:dyDescent="0.3">
      <c r="A2170" t="s">
        <v>2228</v>
      </c>
      <c r="B2170">
        <f>IF(ISNUMBER(SEARCH(Form!$C$11,Tabel2[[#This Row],[Coordinate Projection System]])),MAX($B$1:B2169)+1,0)</f>
        <v>2169</v>
      </c>
      <c r="C2170" t="str">
        <f t="shared" si="33"/>
        <v>NAD83(NSRS2007) / Utah North (ft)</v>
      </c>
    </row>
    <row r="2171" spans="1:3" x14ac:dyDescent="0.3">
      <c r="A2171" t="s">
        <v>2229</v>
      </c>
      <c r="B2171">
        <f>IF(ISNUMBER(SEARCH(Form!$C$11,Tabel2[[#This Row],[Coordinate Projection System]])),MAX($B$1:B2170)+1,0)</f>
        <v>2170</v>
      </c>
      <c r="C2171" t="str">
        <f t="shared" si="33"/>
        <v>NAD83(NSRS2007) / Utah North (ftUS)</v>
      </c>
    </row>
    <row r="2172" spans="1:3" x14ac:dyDescent="0.3">
      <c r="A2172" t="s">
        <v>2230</v>
      </c>
      <c r="B2172">
        <f>IF(ISNUMBER(SEARCH(Form!$C$11,Tabel2[[#This Row],[Coordinate Projection System]])),MAX($B$1:B2171)+1,0)</f>
        <v>2171</v>
      </c>
      <c r="C2172" t="str">
        <f t="shared" si="33"/>
        <v>NAD83(NSRS2007) / Utah South</v>
      </c>
    </row>
    <row r="2173" spans="1:3" x14ac:dyDescent="0.3">
      <c r="A2173" t="s">
        <v>2231</v>
      </c>
      <c r="B2173">
        <f>IF(ISNUMBER(SEARCH(Form!$C$11,Tabel2[[#This Row],[Coordinate Projection System]])),MAX($B$1:B2172)+1,0)</f>
        <v>2172</v>
      </c>
      <c r="C2173" t="str">
        <f t="shared" si="33"/>
        <v>NAD83(NSRS2007) / Utah South (ft)</v>
      </c>
    </row>
    <row r="2174" spans="1:3" x14ac:dyDescent="0.3">
      <c r="A2174" t="s">
        <v>2232</v>
      </c>
      <c r="B2174">
        <f>IF(ISNUMBER(SEARCH(Form!$C$11,Tabel2[[#This Row],[Coordinate Projection System]])),MAX($B$1:B2173)+1,0)</f>
        <v>2173</v>
      </c>
      <c r="C2174" t="str">
        <f t="shared" si="33"/>
        <v>NAD83(NSRS2007) / Utah South (ftUS)</v>
      </c>
    </row>
    <row r="2175" spans="1:3" x14ac:dyDescent="0.3">
      <c r="A2175" t="s">
        <v>2233</v>
      </c>
      <c r="B2175">
        <f>IF(ISNUMBER(SEARCH(Form!$C$11,Tabel2[[#This Row],[Coordinate Projection System]])),MAX($B$1:B2174)+1,0)</f>
        <v>2174</v>
      </c>
      <c r="C2175" t="str">
        <f t="shared" si="33"/>
        <v>NAD83(NSRS2007) / Vermont</v>
      </c>
    </row>
    <row r="2176" spans="1:3" x14ac:dyDescent="0.3">
      <c r="A2176" t="s">
        <v>2234</v>
      </c>
      <c r="B2176">
        <f>IF(ISNUMBER(SEARCH(Form!$C$11,Tabel2[[#This Row],[Coordinate Projection System]])),MAX($B$1:B2175)+1,0)</f>
        <v>2175</v>
      </c>
      <c r="C2176" t="str">
        <f t="shared" si="33"/>
        <v>NAD83(NSRS2007) / Virginia North</v>
      </c>
    </row>
    <row r="2177" spans="1:3" x14ac:dyDescent="0.3">
      <c r="A2177" t="s">
        <v>2235</v>
      </c>
      <c r="B2177">
        <f>IF(ISNUMBER(SEARCH(Form!$C$11,Tabel2[[#This Row],[Coordinate Projection System]])),MAX($B$1:B2176)+1,0)</f>
        <v>2176</v>
      </c>
      <c r="C2177" t="str">
        <f t="shared" si="33"/>
        <v>NAD83(NSRS2007) / Virginia North (ftUS)</v>
      </c>
    </row>
    <row r="2178" spans="1:3" x14ac:dyDescent="0.3">
      <c r="A2178" t="s">
        <v>2236</v>
      </c>
      <c r="B2178">
        <f>IF(ISNUMBER(SEARCH(Form!$C$11,Tabel2[[#This Row],[Coordinate Projection System]])),MAX($B$1:B2177)+1,0)</f>
        <v>2177</v>
      </c>
      <c r="C2178" t="str">
        <f t="shared" si="33"/>
        <v>NAD83(NSRS2007) / Virginia South</v>
      </c>
    </row>
    <row r="2179" spans="1:3" x14ac:dyDescent="0.3">
      <c r="A2179" t="s">
        <v>2237</v>
      </c>
      <c r="B2179">
        <f>IF(ISNUMBER(SEARCH(Form!$C$11,Tabel2[[#This Row],[Coordinate Projection System]])),MAX($B$1:B2178)+1,0)</f>
        <v>2178</v>
      </c>
      <c r="C2179" t="str">
        <f t="shared" ref="C2179:C2242" si="34">_xlfn.IFNA(INDEX(A2179:A7690,MATCH(ROW(C2178),B2179:B7690,0)),"")</f>
        <v>NAD83(NSRS2007) / Virginia South (ftUS)</v>
      </c>
    </row>
    <row r="2180" spans="1:3" x14ac:dyDescent="0.3">
      <c r="A2180" t="s">
        <v>2238</v>
      </c>
      <c r="B2180">
        <f>IF(ISNUMBER(SEARCH(Form!$C$11,Tabel2[[#This Row],[Coordinate Projection System]])),MAX($B$1:B2179)+1,0)</f>
        <v>2179</v>
      </c>
      <c r="C2180" t="str">
        <f t="shared" si="34"/>
        <v>NAD83(NSRS2007) / Washington North</v>
      </c>
    </row>
    <row r="2181" spans="1:3" x14ac:dyDescent="0.3">
      <c r="A2181" t="s">
        <v>2239</v>
      </c>
      <c r="B2181">
        <f>IF(ISNUMBER(SEARCH(Form!$C$11,Tabel2[[#This Row],[Coordinate Projection System]])),MAX($B$1:B2180)+1,0)</f>
        <v>2180</v>
      </c>
      <c r="C2181" t="str">
        <f t="shared" si="34"/>
        <v>NAD83(NSRS2007) / Washington North (ftUS)</v>
      </c>
    </row>
    <row r="2182" spans="1:3" x14ac:dyDescent="0.3">
      <c r="A2182" t="s">
        <v>2240</v>
      </c>
      <c r="B2182">
        <f>IF(ISNUMBER(SEARCH(Form!$C$11,Tabel2[[#This Row],[Coordinate Projection System]])),MAX($B$1:B2181)+1,0)</f>
        <v>2181</v>
      </c>
      <c r="C2182" t="str">
        <f t="shared" si="34"/>
        <v>NAD83(NSRS2007) / Washington South</v>
      </c>
    </row>
    <row r="2183" spans="1:3" x14ac:dyDescent="0.3">
      <c r="A2183" t="s">
        <v>2241</v>
      </c>
      <c r="B2183">
        <f>IF(ISNUMBER(SEARCH(Form!$C$11,Tabel2[[#This Row],[Coordinate Projection System]])),MAX($B$1:B2182)+1,0)</f>
        <v>2182</v>
      </c>
      <c r="C2183" t="str">
        <f t="shared" si="34"/>
        <v>NAD83(NSRS2007) / Washington South (ftUS)</v>
      </c>
    </row>
    <row r="2184" spans="1:3" x14ac:dyDescent="0.3">
      <c r="A2184" t="s">
        <v>2242</v>
      </c>
      <c r="B2184">
        <f>IF(ISNUMBER(SEARCH(Form!$C$11,Tabel2[[#This Row],[Coordinate Projection System]])),MAX($B$1:B2183)+1,0)</f>
        <v>2183</v>
      </c>
      <c r="C2184" t="str">
        <f t="shared" si="34"/>
        <v>NAD83(NSRS2007) / West Virginia North</v>
      </c>
    </row>
    <row r="2185" spans="1:3" x14ac:dyDescent="0.3">
      <c r="A2185" t="s">
        <v>2243</v>
      </c>
      <c r="B2185">
        <f>IF(ISNUMBER(SEARCH(Form!$C$11,Tabel2[[#This Row],[Coordinate Projection System]])),MAX($B$1:B2184)+1,0)</f>
        <v>2184</v>
      </c>
      <c r="C2185" t="str">
        <f t="shared" si="34"/>
        <v>NAD83(NSRS2007) / West Virginia South</v>
      </c>
    </row>
    <row r="2186" spans="1:3" x14ac:dyDescent="0.3">
      <c r="A2186" t="s">
        <v>2244</v>
      </c>
      <c r="B2186">
        <f>IF(ISNUMBER(SEARCH(Form!$C$11,Tabel2[[#This Row],[Coordinate Projection System]])),MAX($B$1:B2185)+1,0)</f>
        <v>2185</v>
      </c>
      <c r="C2186" t="str">
        <f t="shared" si="34"/>
        <v>NAD83(NSRS2007) / Wisconsin Central</v>
      </c>
    </row>
    <row r="2187" spans="1:3" x14ac:dyDescent="0.3">
      <c r="A2187" t="s">
        <v>2245</v>
      </c>
      <c r="B2187">
        <f>IF(ISNUMBER(SEARCH(Form!$C$11,Tabel2[[#This Row],[Coordinate Projection System]])),MAX($B$1:B2186)+1,0)</f>
        <v>2186</v>
      </c>
      <c r="C2187" t="str">
        <f t="shared" si="34"/>
        <v>NAD83(NSRS2007) / Wisconsin Central (ftUS)</v>
      </c>
    </row>
    <row r="2188" spans="1:3" x14ac:dyDescent="0.3">
      <c r="A2188" t="s">
        <v>2246</v>
      </c>
      <c r="B2188">
        <f>IF(ISNUMBER(SEARCH(Form!$C$11,Tabel2[[#This Row],[Coordinate Projection System]])),MAX($B$1:B2187)+1,0)</f>
        <v>2187</v>
      </c>
      <c r="C2188" t="str">
        <f t="shared" si="34"/>
        <v>NAD83(NSRS2007) / Wisconsin North</v>
      </c>
    </row>
    <row r="2189" spans="1:3" x14ac:dyDescent="0.3">
      <c r="A2189" t="s">
        <v>2247</v>
      </c>
      <c r="B2189">
        <f>IF(ISNUMBER(SEARCH(Form!$C$11,Tabel2[[#This Row],[Coordinate Projection System]])),MAX($B$1:B2188)+1,0)</f>
        <v>2188</v>
      </c>
      <c r="C2189" t="str">
        <f t="shared" si="34"/>
        <v>NAD83(NSRS2007) / Wisconsin North (ftUS)</v>
      </c>
    </row>
    <row r="2190" spans="1:3" x14ac:dyDescent="0.3">
      <c r="A2190" t="s">
        <v>2248</v>
      </c>
      <c r="B2190">
        <f>IF(ISNUMBER(SEARCH(Form!$C$11,Tabel2[[#This Row],[Coordinate Projection System]])),MAX($B$1:B2189)+1,0)</f>
        <v>2189</v>
      </c>
      <c r="C2190" t="str">
        <f t="shared" si="34"/>
        <v>NAD83(NSRS2007) / Wisconsin South</v>
      </c>
    </row>
    <row r="2191" spans="1:3" x14ac:dyDescent="0.3">
      <c r="A2191" t="s">
        <v>2249</v>
      </c>
      <c r="B2191">
        <f>IF(ISNUMBER(SEARCH(Form!$C$11,Tabel2[[#This Row],[Coordinate Projection System]])),MAX($B$1:B2190)+1,0)</f>
        <v>2190</v>
      </c>
      <c r="C2191" t="str">
        <f t="shared" si="34"/>
        <v>NAD83(NSRS2007) / Wisconsin South (ftUS)</v>
      </c>
    </row>
    <row r="2192" spans="1:3" x14ac:dyDescent="0.3">
      <c r="A2192" t="s">
        <v>2250</v>
      </c>
      <c r="B2192">
        <f>IF(ISNUMBER(SEARCH(Form!$C$11,Tabel2[[#This Row],[Coordinate Projection System]])),MAX($B$1:B2191)+1,0)</f>
        <v>2191</v>
      </c>
      <c r="C2192" t="str">
        <f t="shared" si="34"/>
        <v>NAD83(NSRS2007) / Wisconsin Transverse Mercator</v>
      </c>
    </row>
    <row r="2193" spans="1:3" x14ac:dyDescent="0.3">
      <c r="A2193" t="s">
        <v>2251</v>
      </c>
      <c r="B2193">
        <f>IF(ISNUMBER(SEARCH(Form!$C$11,Tabel2[[#This Row],[Coordinate Projection System]])),MAX($B$1:B2192)+1,0)</f>
        <v>2192</v>
      </c>
      <c r="C2193" t="str">
        <f t="shared" si="34"/>
        <v>NAD83(NSRS2007) / Wyoming East</v>
      </c>
    </row>
    <row r="2194" spans="1:3" x14ac:dyDescent="0.3">
      <c r="A2194" t="s">
        <v>2252</v>
      </c>
      <c r="B2194">
        <f>IF(ISNUMBER(SEARCH(Form!$C$11,Tabel2[[#This Row],[Coordinate Projection System]])),MAX($B$1:B2193)+1,0)</f>
        <v>2193</v>
      </c>
      <c r="C2194" t="str">
        <f t="shared" si="34"/>
        <v>NAD83(NSRS2007) / Wyoming East Central</v>
      </c>
    </row>
    <row r="2195" spans="1:3" x14ac:dyDescent="0.3">
      <c r="A2195" t="s">
        <v>2253</v>
      </c>
      <c r="B2195">
        <f>IF(ISNUMBER(SEARCH(Form!$C$11,Tabel2[[#This Row],[Coordinate Projection System]])),MAX($B$1:B2194)+1,0)</f>
        <v>2194</v>
      </c>
      <c r="C2195" t="str">
        <f t="shared" si="34"/>
        <v>NAD83(NSRS2007) / Wyoming West Central</v>
      </c>
    </row>
    <row r="2196" spans="1:3" x14ac:dyDescent="0.3">
      <c r="A2196" t="s">
        <v>2254</v>
      </c>
      <c r="B2196">
        <f>IF(ISNUMBER(SEARCH(Form!$C$11,Tabel2[[#This Row],[Coordinate Projection System]])),MAX($B$1:B2195)+1,0)</f>
        <v>2195</v>
      </c>
      <c r="C2196" t="str">
        <f t="shared" si="34"/>
        <v>NAD83(NSRS2007) / Wyoming West</v>
      </c>
    </row>
    <row r="2197" spans="1:3" x14ac:dyDescent="0.3">
      <c r="A2197" t="s">
        <v>2255</v>
      </c>
      <c r="B2197">
        <f>IF(ISNUMBER(SEARCH(Form!$C$11,Tabel2[[#This Row],[Coordinate Projection System]])),MAX($B$1:B2196)+1,0)</f>
        <v>2196</v>
      </c>
      <c r="C2197" t="str">
        <f t="shared" si="34"/>
        <v>NAD83(NSRS2007) / UTM zone 59N</v>
      </c>
    </row>
    <row r="2198" spans="1:3" x14ac:dyDescent="0.3">
      <c r="A2198" t="s">
        <v>2256</v>
      </c>
      <c r="B2198">
        <f>IF(ISNUMBER(SEARCH(Form!$C$11,Tabel2[[#This Row],[Coordinate Projection System]])),MAX($B$1:B2197)+1,0)</f>
        <v>2197</v>
      </c>
      <c r="C2198" t="str">
        <f t="shared" si="34"/>
        <v>NAD83(NSRS2007) / UTM zone 60N</v>
      </c>
    </row>
    <row r="2199" spans="1:3" x14ac:dyDescent="0.3">
      <c r="A2199" t="s">
        <v>2257</v>
      </c>
      <c r="B2199">
        <f>IF(ISNUMBER(SEARCH(Form!$C$11,Tabel2[[#This Row],[Coordinate Projection System]])),MAX($B$1:B2198)+1,0)</f>
        <v>2198</v>
      </c>
      <c r="C2199" t="str">
        <f t="shared" si="34"/>
        <v>NAD83(NSRS2007) / UTM zone 1N</v>
      </c>
    </row>
    <row r="2200" spans="1:3" x14ac:dyDescent="0.3">
      <c r="A2200" t="s">
        <v>2258</v>
      </c>
      <c r="B2200">
        <f>IF(ISNUMBER(SEARCH(Form!$C$11,Tabel2[[#This Row],[Coordinate Projection System]])),MAX($B$1:B2199)+1,0)</f>
        <v>2199</v>
      </c>
      <c r="C2200" t="str">
        <f t="shared" si="34"/>
        <v>NAD83(NSRS2007) / UTM zone 2N</v>
      </c>
    </row>
    <row r="2201" spans="1:3" x14ac:dyDescent="0.3">
      <c r="A2201" t="s">
        <v>2259</v>
      </c>
      <c r="B2201">
        <f>IF(ISNUMBER(SEARCH(Form!$C$11,Tabel2[[#This Row],[Coordinate Projection System]])),MAX($B$1:B2200)+1,0)</f>
        <v>2200</v>
      </c>
      <c r="C2201" t="str">
        <f t="shared" si="34"/>
        <v>NAD83(NSRS2007) / UTM zone 3N</v>
      </c>
    </row>
    <row r="2202" spans="1:3" x14ac:dyDescent="0.3">
      <c r="A2202" t="s">
        <v>2260</v>
      </c>
      <c r="B2202">
        <f>IF(ISNUMBER(SEARCH(Form!$C$11,Tabel2[[#This Row],[Coordinate Projection System]])),MAX($B$1:B2201)+1,0)</f>
        <v>2201</v>
      </c>
      <c r="C2202" t="str">
        <f t="shared" si="34"/>
        <v>NAD83(NSRS2007) / UTM zone 4N</v>
      </c>
    </row>
    <row r="2203" spans="1:3" x14ac:dyDescent="0.3">
      <c r="A2203" t="s">
        <v>2261</v>
      </c>
      <c r="B2203">
        <f>IF(ISNUMBER(SEARCH(Form!$C$11,Tabel2[[#This Row],[Coordinate Projection System]])),MAX($B$1:B2202)+1,0)</f>
        <v>2202</v>
      </c>
      <c r="C2203" t="str">
        <f t="shared" si="34"/>
        <v>NAD83(NSRS2007) / UTM zone 5N</v>
      </c>
    </row>
    <row r="2204" spans="1:3" x14ac:dyDescent="0.3">
      <c r="A2204" t="s">
        <v>2262</v>
      </c>
      <c r="B2204">
        <f>IF(ISNUMBER(SEARCH(Form!$C$11,Tabel2[[#This Row],[Coordinate Projection System]])),MAX($B$1:B2203)+1,0)</f>
        <v>2203</v>
      </c>
      <c r="C2204" t="str">
        <f t="shared" si="34"/>
        <v>NAD83(NSRS2007) / UTM zone 6N</v>
      </c>
    </row>
    <row r="2205" spans="1:3" x14ac:dyDescent="0.3">
      <c r="A2205" t="s">
        <v>2263</v>
      </c>
      <c r="B2205">
        <f>IF(ISNUMBER(SEARCH(Form!$C$11,Tabel2[[#This Row],[Coordinate Projection System]])),MAX($B$1:B2204)+1,0)</f>
        <v>2204</v>
      </c>
      <c r="C2205" t="str">
        <f t="shared" si="34"/>
        <v>NAD83(NSRS2007) / UTM zone 7N</v>
      </c>
    </row>
    <row r="2206" spans="1:3" x14ac:dyDescent="0.3">
      <c r="A2206" t="s">
        <v>2264</v>
      </c>
      <c r="B2206">
        <f>IF(ISNUMBER(SEARCH(Form!$C$11,Tabel2[[#This Row],[Coordinate Projection System]])),MAX($B$1:B2205)+1,0)</f>
        <v>2205</v>
      </c>
      <c r="C2206" t="str">
        <f t="shared" si="34"/>
        <v>NAD83(NSRS2007) / UTM zone 8N</v>
      </c>
    </row>
    <row r="2207" spans="1:3" x14ac:dyDescent="0.3">
      <c r="A2207" t="s">
        <v>2265</v>
      </c>
      <c r="B2207">
        <f>IF(ISNUMBER(SEARCH(Form!$C$11,Tabel2[[#This Row],[Coordinate Projection System]])),MAX($B$1:B2206)+1,0)</f>
        <v>2206</v>
      </c>
      <c r="C2207" t="str">
        <f t="shared" si="34"/>
        <v>NAD83(NSRS2007) / UTM zone 9N</v>
      </c>
    </row>
    <row r="2208" spans="1:3" x14ac:dyDescent="0.3">
      <c r="A2208" t="s">
        <v>2266</v>
      </c>
      <c r="B2208">
        <f>IF(ISNUMBER(SEARCH(Form!$C$11,Tabel2[[#This Row],[Coordinate Projection System]])),MAX($B$1:B2207)+1,0)</f>
        <v>2207</v>
      </c>
      <c r="C2208" t="str">
        <f t="shared" si="34"/>
        <v>NAD83(NSRS2007) / UTM zone 10N</v>
      </c>
    </row>
    <row r="2209" spans="1:3" x14ac:dyDescent="0.3">
      <c r="A2209" t="s">
        <v>2267</v>
      </c>
      <c r="B2209">
        <f>IF(ISNUMBER(SEARCH(Form!$C$11,Tabel2[[#This Row],[Coordinate Projection System]])),MAX($B$1:B2208)+1,0)</f>
        <v>2208</v>
      </c>
      <c r="C2209" t="str">
        <f t="shared" si="34"/>
        <v>NAD83(NSRS2007) / UTM zone 11N</v>
      </c>
    </row>
    <row r="2210" spans="1:3" x14ac:dyDescent="0.3">
      <c r="A2210" t="s">
        <v>2268</v>
      </c>
      <c r="B2210">
        <f>IF(ISNUMBER(SEARCH(Form!$C$11,Tabel2[[#This Row],[Coordinate Projection System]])),MAX($B$1:B2209)+1,0)</f>
        <v>2209</v>
      </c>
      <c r="C2210" t="str">
        <f t="shared" si="34"/>
        <v>NAD83(NSRS2007) / UTM zone 12N</v>
      </c>
    </row>
    <row r="2211" spans="1:3" x14ac:dyDescent="0.3">
      <c r="A2211" t="s">
        <v>2269</v>
      </c>
      <c r="B2211">
        <f>IF(ISNUMBER(SEARCH(Form!$C$11,Tabel2[[#This Row],[Coordinate Projection System]])),MAX($B$1:B2210)+1,0)</f>
        <v>2210</v>
      </c>
      <c r="C2211" t="str">
        <f t="shared" si="34"/>
        <v>NAD83(NSRS2007) / UTM zone 13N</v>
      </c>
    </row>
    <row r="2212" spans="1:3" x14ac:dyDescent="0.3">
      <c r="A2212" t="s">
        <v>2270</v>
      </c>
      <c r="B2212">
        <f>IF(ISNUMBER(SEARCH(Form!$C$11,Tabel2[[#This Row],[Coordinate Projection System]])),MAX($B$1:B2211)+1,0)</f>
        <v>2211</v>
      </c>
      <c r="C2212" t="str">
        <f t="shared" si="34"/>
        <v>NAD83(NSRS2007) / UTM zone 14N</v>
      </c>
    </row>
    <row r="2213" spans="1:3" x14ac:dyDescent="0.3">
      <c r="A2213" t="s">
        <v>2271</v>
      </c>
      <c r="B2213">
        <f>IF(ISNUMBER(SEARCH(Form!$C$11,Tabel2[[#This Row],[Coordinate Projection System]])),MAX($B$1:B2212)+1,0)</f>
        <v>2212</v>
      </c>
      <c r="C2213" t="str">
        <f t="shared" si="34"/>
        <v>NAD83(NSRS2007) / UTM zone 15N</v>
      </c>
    </row>
    <row r="2214" spans="1:3" x14ac:dyDescent="0.3">
      <c r="A2214" t="s">
        <v>2272</v>
      </c>
      <c r="B2214">
        <f>IF(ISNUMBER(SEARCH(Form!$C$11,Tabel2[[#This Row],[Coordinate Projection System]])),MAX($B$1:B2213)+1,0)</f>
        <v>2213</v>
      </c>
      <c r="C2214" t="str">
        <f t="shared" si="34"/>
        <v>NAD83(NSRS2007) / UTM zone 16N</v>
      </c>
    </row>
    <row r="2215" spans="1:3" x14ac:dyDescent="0.3">
      <c r="A2215" t="s">
        <v>2273</v>
      </c>
      <c r="B2215">
        <f>IF(ISNUMBER(SEARCH(Form!$C$11,Tabel2[[#This Row],[Coordinate Projection System]])),MAX($B$1:B2214)+1,0)</f>
        <v>2214</v>
      </c>
      <c r="C2215" t="str">
        <f t="shared" si="34"/>
        <v>NAD83(NSRS2007) / UTM zone 17N</v>
      </c>
    </row>
    <row r="2216" spans="1:3" x14ac:dyDescent="0.3">
      <c r="A2216" t="s">
        <v>2274</v>
      </c>
      <c r="B2216">
        <f>IF(ISNUMBER(SEARCH(Form!$C$11,Tabel2[[#This Row],[Coordinate Projection System]])),MAX($B$1:B2215)+1,0)</f>
        <v>2215</v>
      </c>
      <c r="C2216" t="str">
        <f t="shared" si="34"/>
        <v>NAD83(NSRS2007) / UTM zone 18N</v>
      </c>
    </row>
    <row r="2217" spans="1:3" x14ac:dyDescent="0.3">
      <c r="A2217" t="s">
        <v>2275</v>
      </c>
      <c r="B2217">
        <f>IF(ISNUMBER(SEARCH(Form!$C$11,Tabel2[[#This Row],[Coordinate Projection System]])),MAX($B$1:B2216)+1,0)</f>
        <v>2216</v>
      </c>
      <c r="C2217" t="str">
        <f t="shared" si="34"/>
        <v>NAD83(NSRS2007) / UTM zone 19N</v>
      </c>
    </row>
    <row r="2218" spans="1:3" x14ac:dyDescent="0.3">
      <c r="A2218" t="s">
        <v>2276</v>
      </c>
      <c r="B2218">
        <f>IF(ISNUMBER(SEARCH(Form!$C$11,Tabel2[[#This Row],[Coordinate Projection System]])),MAX($B$1:B2217)+1,0)</f>
        <v>2217</v>
      </c>
      <c r="C2218" t="str">
        <f t="shared" si="34"/>
        <v>Reunion 1947 / TM Reunion</v>
      </c>
    </row>
    <row r="2219" spans="1:3" x14ac:dyDescent="0.3">
      <c r="A2219" t="s">
        <v>2277</v>
      </c>
      <c r="B2219">
        <f>IF(ISNUMBER(SEARCH(Form!$C$11,Tabel2[[#This Row],[Coordinate Projection System]])),MAX($B$1:B2218)+1,0)</f>
        <v>2218</v>
      </c>
      <c r="C2219" t="str">
        <f t="shared" si="34"/>
        <v>NAD83(NSRS2007) / Ohio North (ftUS)</v>
      </c>
    </row>
    <row r="2220" spans="1:3" x14ac:dyDescent="0.3">
      <c r="A2220" t="s">
        <v>2278</v>
      </c>
      <c r="B2220">
        <f>IF(ISNUMBER(SEARCH(Form!$C$11,Tabel2[[#This Row],[Coordinate Projection System]])),MAX($B$1:B2219)+1,0)</f>
        <v>2219</v>
      </c>
      <c r="C2220" t="str">
        <f t="shared" si="34"/>
        <v>NAD83(NSRS2007) / Ohio South (ftUS)</v>
      </c>
    </row>
    <row r="2221" spans="1:3" x14ac:dyDescent="0.3">
      <c r="A2221" t="s">
        <v>2279</v>
      </c>
      <c r="B2221">
        <f>IF(ISNUMBER(SEARCH(Form!$C$11,Tabel2[[#This Row],[Coordinate Projection System]])),MAX($B$1:B2220)+1,0)</f>
        <v>2220</v>
      </c>
      <c r="C2221" t="str">
        <f t="shared" si="34"/>
        <v>NAD83(NSRS2007) / Wyoming East (ftUS)</v>
      </c>
    </row>
    <row r="2222" spans="1:3" x14ac:dyDescent="0.3">
      <c r="A2222" t="s">
        <v>2280</v>
      </c>
      <c r="B2222">
        <f>IF(ISNUMBER(SEARCH(Form!$C$11,Tabel2[[#This Row],[Coordinate Projection System]])),MAX($B$1:B2221)+1,0)</f>
        <v>2221</v>
      </c>
      <c r="C2222" t="str">
        <f t="shared" si="34"/>
        <v>NAD83(NSRS2007) / Wyoming East Central (ftUS)</v>
      </c>
    </row>
    <row r="2223" spans="1:3" x14ac:dyDescent="0.3">
      <c r="A2223" t="s">
        <v>2281</v>
      </c>
      <c r="B2223">
        <f>IF(ISNUMBER(SEARCH(Form!$C$11,Tabel2[[#This Row],[Coordinate Projection System]])),MAX($B$1:B2222)+1,0)</f>
        <v>2222</v>
      </c>
      <c r="C2223" t="str">
        <f t="shared" si="34"/>
        <v>NAD83(NSRS2007) / Wyoming West Central (ftUS)</v>
      </c>
    </row>
    <row r="2224" spans="1:3" x14ac:dyDescent="0.3">
      <c r="A2224" t="s">
        <v>2282</v>
      </c>
      <c r="B2224">
        <f>IF(ISNUMBER(SEARCH(Form!$C$11,Tabel2[[#This Row],[Coordinate Projection System]])),MAX($B$1:B2223)+1,0)</f>
        <v>2223</v>
      </c>
      <c r="C2224" t="str">
        <f t="shared" si="34"/>
        <v>NAD83(NSRS2007) / Wyoming West (ftUS)</v>
      </c>
    </row>
    <row r="2225" spans="1:3" x14ac:dyDescent="0.3">
      <c r="A2225" t="s">
        <v>2283</v>
      </c>
      <c r="B2225">
        <f>IF(ISNUMBER(SEARCH(Form!$C$11,Tabel2[[#This Row],[Coordinate Projection System]])),MAX($B$1:B2224)+1,0)</f>
        <v>2224</v>
      </c>
      <c r="C2225" t="str">
        <f t="shared" si="34"/>
        <v>NAD83 / Ohio North (ftUS)</v>
      </c>
    </row>
    <row r="2226" spans="1:3" x14ac:dyDescent="0.3">
      <c r="A2226" t="s">
        <v>2284</v>
      </c>
      <c r="B2226">
        <f>IF(ISNUMBER(SEARCH(Form!$C$11,Tabel2[[#This Row],[Coordinate Projection System]])),MAX($B$1:B2225)+1,0)</f>
        <v>2225</v>
      </c>
      <c r="C2226" t="str">
        <f t="shared" si="34"/>
        <v>NAD83 / Ohio South (ftUS)</v>
      </c>
    </row>
    <row r="2227" spans="1:3" x14ac:dyDescent="0.3">
      <c r="A2227" t="s">
        <v>2285</v>
      </c>
      <c r="B2227">
        <f>IF(ISNUMBER(SEARCH(Form!$C$11,Tabel2[[#This Row],[Coordinate Projection System]])),MAX($B$1:B2226)+1,0)</f>
        <v>2226</v>
      </c>
      <c r="C2227" t="str">
        <f t="shared" si="34"/>
        <v>NAD83 / Wyoming East (ftUS)</v>
      </c>
    </row>
    <row r="2228" spans="1:3" x14ac:dyDescent="0.3">
      <c r="A2228" t="s">
        <v>2286</v>
      </c>
      <c r="B2228">
        <f>IF(ISNUMBER(SEARCH(Form!$C$11,Tabel2[[#This Row],[Coordinate Projection System]])),MAX($B$1:B2227)+1,0)</f>
        <v>2227</v>
      </c>
      <c r="C2228" t="str">
        <f t="shared" si="34"/>
        <v>NAD83 / Wyoming East Central (ftUS)</v>
      </c>
    </row>
    <row r="2229" spans="1:3" x14ac:dyDescent="0.3">
      <c r="A2229" t="s">
        <v>2287</v>
      </c>
      <c r="B2229">
        <f>IF(ISNUMBER(SEARCH(Form!$C$11,Tabel2[[#This Row],[Coordinate Projection System]])),MAX($B$1:B2228)+1,0)</f>
        <v>2228</v>
      </c>
      <c r="C2229" t="str">
        <f t="shared" si="34"/>
        <v>NAD83 / Wyoming West Central (ftUS)</v>
      </c>
    </row>
    <row r="2230" spans="1:3" x14ac:dyDescent="0.3">
      <c r="A2230" t="s">
        <v>2288</v>
      </c>
      <c r="B2230">
        <f>IF(ISNUMBER(SEARCH(Form!$C$11,Tabel2[[#This Row],[Coordinate Projection System]])),MAX($B$1:B2229)+1,0)</f>
        <v>2229</v>
      </c>
      <c r="C2230" t="str">
        <f t="shared" si="34"/>
        <v>NAD83 / Wyoming West (ftUS)</v>
      </c>
    </row>
    <row r="2231" spans="1:3" x14ac:dyDescent="0.3">
      <c r="A2231" t="s">
        <v>2289</v>
      </c>
      <c r="B2231">
        <f>IF(ISNUMBER(SEARCH(Form!$C$11,Tabel2[[#This Row],[Coordinate Projection System]])),MAX($B$1:B2230)+1,0)</f>
        <v>2230</v>
      </c>
      <c r="C2231" t="str">
        <f t="shared" si="34"/>
        <v>NAD83(HARN) / UTM zone 10N</v>
      </c>
    </row>
    <row r="2232" spans="1:3" x14ac:dyDescent="0.3">
      <c r="A2232" t="s">
        <v>2290</v>
      </c>
      <c r="B2232">
        <f>IF(ISNUMBER(SEARCH(Form!$C$11,Tabel2[[#This Row],[Coordinate Projection System]])),MAX($B$1:B2231)+1,0)</f>
        <v>2231</v>
      </c>
      <c r="C2232" t="str">
        <f t="shared" si="34"/>
        <v>NAD83(HARN) / UTM zone 11N</v>
      </c>
    </row>
    <row r="2233" spans="1:3" x14ac:dyDescent="0.3">
      <c r="A2233" t="s">
        <v>2291</v>
      </c>
      <c r="B2233">
        <f>IF(ISNUMBER(SEARCH(Form!$C$11,Tabel2[[#This Row],[Coordinate Projection System]])),MAX($B$1:B2232)+1,0)</f>
        <v>2232</v>
      </c>
      <c r="C2233" t="str">
        <f t="shared" si="34"/>
        <v>NAD83(HARN) / UTM zone 12N</v>
      </c>
    </row>
    <row r="2234" spans="1:3" x14ac:dyDescent="0.3">
      <c r="A2234" t="s">
        <v>2292</v>
      </c>
      <c r="B2234">
        <f>IF(ISNUMBER(SEARCH(Form!$C$11,Tabel2[[#This Row],[Coordinate Projection System]])),MAX($B$1:B2233)+1,0)</f>
        <v>2233</v>
      </c>
      <c r="C2234" t="str">
        <f t="shared" si="34"/>
        <v>NAD83(HARN) / UTM zone 13N</v>
      </c>
    </row>
    <row r="2235" spans="1:3" x14ac:dyDescent="0.3">
      <c r="A2235" t="s">
        <v>2293</v>
      </c>
      <c r="B2235">
        <f>IF(ISNUMBER(SEARCH(Form!$C$11,Tabel2[[#This Row],[Coordinate Projection System]])),MAX($B$1:B2234)+1,0)</f>
        <v>2234</v>
      </c>
      <c r="C2235" t="str">
        <f t="shared" si="34"/>
        <v>NAD83(HARN) / UTM zone 14N</v>
      </c>
    </row>
    <row r="2236" spans="1:3" x14ac:dyDescent="0.3">
      <c r="A2236" t="s">
        <v>2294</v>
      </c>
      <c r="B2236">
        <f>IF(ISNUMBER(SEARCH(Form!$C$11,Tabel2[[#This Row],[Coordinate Projection System]])),MAX($B$1:B2235)+1,0)</f>
        <v>2235</v>
      </c>
      <c r="C2236" t="str">
        <f t="shared" si="34"/>
        <v>NAD83(HARN) / UTM zone 15N</v>
      </c>
    </row>
    <row r="2237" spans="1:3" x14ac:dyDescent="0.3">
      <c r="A2237" t="s">
        <v>2295</v>
      </c>
      <c r="B2237">
        <f>IF(ISNUMBER(SEARCH(Form!$C$11,Tabel2[[#This Row],[Coordinate Projection System]])),MAX($B$1:B2236)+1,0)</f>
        <v>2236</v>
      </c>
      <c r="C2237" t="str">
        <f t="shared" si="34"/>
        <v>NAD83(HARN) / UTM zone 16N</v>
      </c>
    </row>
    <row r="2238" spans="1:3" x14ac:dyDescent="0.3">
      <c r="A2238" t="s">
        <v>2296</v>
      </c>
      <c r="B2238">
        <f>IF(ISNUMBER(SEARCH(Form!$C$11,Tabel2[[#This Row],[Coordinate Projection System]])),MAX($B$1:B2237)+1,0)</f>
        <v>2237</v>
      </c>
      <c r="C2238" t="str">
        <f t="shared" si="34"/>
        <v>NAD83(HARN) / UTM zone 17N</v>
      </c>
    </row>
    <row r="2239" spans="1:3" x14ac:dyDescent="0.3">
      <c r="A2239" t="s">
        <v>2297</v>
      </c>
      <c r="B2239">
        <f>IF(ISNUMBER(SEARCH(Form!$C$11,Tabel2[[#This Row],[Coordinate Projection System]])),MAX($B$1:B2238)+1,0)</f>
        <v>2238</v>
      </c>
      <c r="C2239" t="str">
        <f t="shared" si="34"/>
        <v>NAD83(HARN) / UTM zone 18N</v>
      </c>
    </row>
    <row r="2240" spans="1:3" x14ac:dyDescent="0.3">
      <c r="A2240" t="s">
        <v>2298</v>
      </c>
      <c r="B2240">
        <f>IF(ISNUMBER(SEARCH(Form!$C$11,Tabel2[[#This Row],[Coordinate Projection System]])),MAX($B$1:B2239)+1,0)</f>
        <v>2239</v>
      </c>
      <c r="C2240" t="str">
        <f t="shared" si="34"/>
        <v>NAD83(HARN) / UTM zone 19N</v>
      </c>
    </row>
    <row r="2241" spans="1:3" x14ac:dyDescent="0.3">
      <c r="A2241" t="s">
        <v>2299</v>
      </c>
      <c r="B2241">
        <f>IF(ISNUMBER(SEARCH(Form!$C$11,Tabel2[[#This Row],[Coordinate Projection System]])),MAX($B$1:B2240)+1,0)</f>
        <v>2240</v>
      </c>
      <c r="C2241" t="str">
        <f t="shared" si="34"/>
        <v>NAD83(HARN) / UTM zone 4N</v>
      </c>
    </row>
    <row r="2242" spans="1:3" x14ac:dyDescent="0.3">
      <c r="A2242" t="s">
        <v>2300</v>
      </c>
      <c r="B2242">
        <f>IF(ISNUMBER(SEARCH(Form!$C$11,Tabel2[[#This Row],[Coordinate Projection System]])),MAX($B$1:B2241)+1,0)</f>
        <v>2241</v>
      </c>
      <c r="C2242" t="str">
        <f t="shared" si="34"/>
        <v>NAD83(HARN) / UTM zone 5N</v>
      </c>
    </row>
    <row r="2243" spans="1:3" x14ac:dyDescent="0.3">
      <c r="A2243" t="s">
        <v>2301</v>
      </c>
      <c r="B2243">
        <f>IF(ISNUMBER(SEARCH(Form!$C$11,Tabel2[[#This Row],[Coordinate Projection System]])),MAX($B$1:B2242)+1,0)</f>
        <v>2242</v>
      </c>
      <c r="C2243" t="str">
        <f t="shared" ref="C2243:C2306" si="35">_xlfn.IFNA(INDEX(A2243:A7754,MATCH(ROW(C2242),B2243:B7754,0)),"")</f>
        <v>WGS 84 / Mercator 41 (deprecated)</v>
      </c>
    </row>
    <row r="2244" spans="1:3" x14ac:dyDescent="0.3">
      <c r="A2244" t="s">
        <v>2302</v>
      </c>
      <c r="B2244">
        <f>IF(ISNUMBER(SEARCH(Form!$C$11,Tabel2[[#This Row],[Coordinate Projection System]])),MAX($B$1:B2243)+1,0)</f>
        <v>2243</v>
      </c>
      <c r="C2244" t="str">
        <f t="shared" si="35"/>
        <v>NAD83(HARN) / Ohio North (ftUS)</v>
      </c>
    </row>
    <row r="2245" spans="1:3" x14ac:dyDescent="0.3">
      <c r="A2245" t="s">
        <v>2303</v>
      </c>
      <c r="B2245">
        <f>IF(ISNUMBER(SEARCH(Form!$C$11,Tabel2[[#This Row],[Coordinate Projection System]])),MAX($B$1:B2244)+1,0)</f>
        <v>2244</v>
      </c>
      <c r="C2245" t="str">
        <f t="shared" si="35"/>
        <v>NAD83(HARN) / Ohio South (ftUS)</v>
      </c>
    </row>
    <row r="2246" spans="1:3" x14ac:dyDescent="0.3">
      <c r="A2246" t="s">
        <v>2304</v>
      </c>
      <c r="B2246">
        <f>IF(ISNUMBER(SEARCH(Form!$C$11,Tabel2[[#This Row],[Coordinate Projection System]])),MAX($B$1:B2245)+1,0)</f>
        <v>2245</v>
      </c>
      <c r="C2246" t="str">
        <f t="shared" si="35"/>
        <v>NAD83(HARN) / Wyoming East (ftUS)</v>
      </c>
    </row>
    <row r="2247" spans="1:3" x14ac:dyDescent="0.3">
      <c r="A2247" t="s">
        <v>2305</v>
      </c>
      <c r="B2247">
        <f>IF(ISNUMBER(SEARCH(Form!$C$11,Tabel2[[#This Row],[Coordinate Projection System]])),MAX($B$1:B2246)+1,0)</f>
        <v>2246</v>
      </c>
      <c r="C2247" t="str">
        <f t="shared" si="35"/>
        <v>NAD83(HARN) / Wyoming East Central (ftUS)</v>
      </c>
    </row>
    <row r="2248" spans="1:3" x14ac:dyDescent="0.3">
      <c r="A2248" t="s">
        <v>2306</v>
      </c>
      <c r="B2248">
        <f>IF(ISNUMBER(SEARCH(Form!$C$11,Tabel2[[#This Row],[Coordinate Projection System]])),MAX($B$1:B2247)+1,0)</f>
        <v>2247</v>
      </c>
      <c r="C2248" t="str">
        <f t="shared" si="35"/>
        <v>NAD83(HARN) / Wyoming West Central (ftUS)</v>
      </c>
    </row>
    <row r="2249" spans="1:3" x14ac:dyDescent="0.3">
      <c r="A2249" t="s">
        <v>2307</v>
      </c>
      <c r="B2249">
        <f>IF(ISNUMBER(SEARCH(Form!$C$11,Tabel2[[#This Row],[Coordinate Projection System]])),MAX($B$1:B2248)+1,0)</f>
        <v>2248</v>
      </c>
      <c r="C2249" t="str">
        <f t="shared" si="35"/>
        <v>NAD83(HARN) / Wyoming West (ftUS)</v>
      </c>
    </row>
    <row r="2250" spans="1:3" x14ac:dyDescent="0.3">
      <c r="A2250" t="s">
        <v>2308</v>
      </c>
      <c r="B2250">
        <f>IF(ISNUMBER(SEARCH(Form!$C$11,Tabel2[[#This Row],[Coordinate Projection System]])),MAX($B$1:B2249)+1,0)</f>
        <v>2249</v>
      </c>
      <c r="C2250" t="str">
        <f t="shared" si="35"/>
        <v>NAD83 / Hawaii zone 3 (ftUS)</v>
      </c>
    </row>
    <row r="2251" spans="1:3" x14ac:dyDescent="0.3">
      <c r="A2251" t="s">
        <v>2309</v>
      </c>
      <c r="B2251">
        <f>IF(ISNUMBER(SEARCH(Form!$C$11,Tabel2[[#This Row],[Coordinate Projection System]])),MAX($B$1:B2250)+1,0)</f>
        <v>2250</v>
      </c>
      <c r="C2251" t="str">
        <f t="shared" si="35"/>
        <v>NAD83(HARN) / Hawaii zone 3 (ftUS)</v>
      </c>
    </row>
    <row r="2252" spans="1:3" x14ac:dyDescent="0.3">
      <c r="A2252" t="s">
        <v>2310</v>
      </c>
      <c r="B2252">
        <f>IF(ISNUMBER(SEARCH(Form!$C$11,Tabel2[[#This Row],[Coordinate Projection System]])),MAX($B$1:B2251)+1,0)</f>
        <v>2251</v>
      </c>
      <c r="C2252" t="str">
        <f t="shared" si="35"/>
        <v>NAD83(CSRS) / UTM zone 22N</v>
      </c>
    </row>
    <row r="2253" spans="1:3" x14ac:dyDescent="0.3">
      <c r="A2253" t="s">
        <v>2311</v>
      </c>
      <c r="B2253">
        <f>IF(ISNUMBER(SEARCH(Form!$C$11,Tabel2[[#This Row],[Coordinate Projection System]])),MAX($B$1:B2252)+1,0)</f>
        <v>2252</v>
      </c>
      <c r="C2253" t="str">
        <f t="shared" si="35"/>
        <v>WGS 84 / South Georgia Lambert</v>
      </c>
    </row>
    <row r="2254" spans="1:3" x14ac:dyDescent="0.3">
      <c r="A2254" t="s">
        <v>2312</v>
      </c>
      <c r="B2254">
        <f>IF(ISNUMBER(SEARCH(Form!$C$11,Tabel2[[#This Row],[Coordinate Projection System]])),MAX($B$1:B2253)+1,0)</f>
        <v>2253</v>
      </c>
      <c r="C2254" t="str">
        <f t="shared" si="35"/>
        <v>ETRS89 / Portugal TM06</v>
      </c>
    </row>
    <row r="2255" spans="1:3" x14ac:dyDescent="0.3">
      <c r="A2255" t="s">
        <v>2313</v>
      </c>
      <c r="B2255">
        <f>IF(ISNUMBER(SEARCH(Form!$C$11,Tabel2[[#This Row],[Coordinate Projection System]])),MAX($B$1:B2254)+1,0)</f>
        <v>2254</v>
      </c>
      <c r="C2255" t="str">
        <f t="shared" si="35"/>
        <v>NZGD2000 / Chatham Island Circuit 2000</v>
      </c>
    </row>
    <row r="2256" spans="1:3" x14ac:dyDescent="0.3">
      <c r="A2256" t="s">
        <v>2314</v>
      </c>
      <c r="B2256">
        <f>IF(ISNUMBER(SEARCH(Form!$C$11,Tabel2[[#This Row],[Coordinate Projection System]])),MAX($B$1:B2255)+1,0)</f>
        <v>2255</v>
      </c>
      <c r="C2256" t="str">
        <f t="shared" si="35"/>
        <v>HTRS96 / Croatia TM</v>
      </c>
    </row>
    <row r="2257" spans="1:3" x14ac:dyDescent="0.3">
      <c r="A2257" t="s">
        <v>2315</v>
      </c>
      <c r="B2257">
        <f>IF(ISNUMBER(SEARCH(Form!$C$11,Tabel2[[#This Row],[Coordinate Projection System]])),MAX($B$1:B2256)+1,0)</f>
        <v>2256</v>
      </c>
      <c r="C2257" t="str">
        <f t="shared" si="35"/>
        <v>HTRS96 / Croatia LCC</v>
      </c>
    </row>
    <row r="2258" spans="1:3" x14ac:dyDescent="0.3">
      <c r="A2258" t="s">
        <v>2316</v>
      </c>
      <c r="B2258">
        <f>IF(ISNUMBER(SEARCH(Form!$C$11,Tabel2[[#This Row],[Coordinate Projection System]])),MAX($B$1:B2257)+1,0)</f>
        <v>2257</v>
      </c>
      <c r="C2258" t="str">
        <f t="shared" si="35"/>
        <v>HTRS96 / UTM zone 33N</v>
      </c>
    </row>
    <row r="2259" spans="1:3" x14ac:dyDescent="0.3">
      <c r="A2259" t="s">
        <v>2317</v>
      </c>
      <c r="B2259">
        <f>IF(ISNUMBER(SEARCH(Form!$C$11,Tabel2[[#This Row],[Coordinate Projection System]])),MAX($B$1:B2258)+1,0)</f>
        <v>2258</v>
      </c>
      <c r="C2259" t="str">
        <f t="shared" si="35"/>
        <v>HTRS96 / UTM zone 34N</v>
      </c>
    </row>
    <row r="2260" spans="1:3" x14ac:dyDescent="0.3">
      <c r="A2260" t="s">
        <v>2318</v>
      </c>
      <c r="B2260">
        <f>IF(ISNUMBER(SEARCH(Form!$C$11,Tabel2[[#This Row],[Coordinate Projection System]])),MAX($B$1:B2259)+1,0)</f>
        <v>2259</v>
      </c>
      <c r="C2260" t="str">
        <f t="shared" si="35"/>
        <v>Bermuda 1957 / UTM zone 20N</v>
      </c>
    </row>
    <row r="2261" spans="1:3" x14ac:dyDescent="0.3">
      <c r="A2261" t="s">
        <v>2319</v>
      </c>
      <c r="B2261">
        <f>IF(ISNUMBER(SEARCH(Form!$C$11,Tabel2[[#This Row],[Coordinate Projection System]])),MAX($B$1:B2260)+1,0)</f>
        <v>2260</v>
      </c>
      <c r="C2261" t="str">
        <f t="shared" si="35"/>
        <v>BDA2000 / Bermuda 2000 National Grid</v>
      </c>
    </row>
    <row r="2262" spans="1:3" x14ac:dyDescent="0.3">
      <c r="A2262" t="s">
        <v>2320</v>
      </c>
      <c r="B2262">
        <f>IF(ISNUMBER(SEARCH(Form!$C$11,Tabel2[[#This Row],[Coordinate Projection System]])),MAX($B$1:B2261)+1,0)</f>
        <v>2261</v>
      </c>
      <c r="C2262" t="str">
        <f t="shared" si="35"/>
        <v>NAD27 / Alberta 3TM ref merid 111 W</v>
      </c>
    </row>
    <row r="2263" spans="1:3" x14ac:dyDescent="0.3">
      <c r="A2263" t="s">
        <v>2321</v>
      </c>
      <c r="B2263">
        <f>IF(ISNUMBER(SEARCH(Form!$C$11,Tabel2[[#This Row],[Coordinate Projection System]])),MAX($B$1:B2262)+1,0)</f>
        <v>2262</v>
      </c>
      <c r="C2263" t="str">
        <f t="shared" si="35"/>
        <v>NAD27 / Alberta 3TM ref merid 114 W</v>
      </c>
    </row>
    <row r="2264" spans="1:3" x14ac:dyDescent="0.3">
      <c r="A2264" t="s">
        <v>2322</v>
      </c>
      <c r="B2264">
        <f>IF(ISNUMBER(SEARCH(Form!$C$11,Tabel2[[#This Row],[Coordinate Projection System]])),MAX($B$1:B2263)+1,0)</f>
        <v>2263</v>
      </c>
      <c r="C2264" t="str">
        <f t="shared" si="35"/>
        <v>NAD27 / Alberta 3TM ref merid 117 W</v>
      </c>
    </row>
    <row r="2265" spans="1:3" x14ac:dyDescent="0.3">
      <c r="A2265" t="s">
        <v>2323</v>
      </c>
      <c r="B2265">
        <f>IF(ISNUMBER(SEARCH(Form!$C$11,Tabel2[[#This Row],[Coordinate Projection System]])),MAX($B$1:B2264)+1,0)</f>
        <v>2264</v>
      </c>
      <c r="C2265" t="str">
        <f t="shared" si="35"/>
        <v>NAD27 / Alberta 3TM ref merid 120 W (deprecated)</v>
      </c>
    </row>
    <row r="2266" spans="1:3" x14ac:dyDescent="0.3">
      <c r="A2266" t="s">
        <v>2324</v>
      </c>
      <c r="B2266">
        <f>IF(ISNUMBER(SEARCH(Form!$C$11,Tabel2[[#This Row],[Coordinate Projection System]])),MAX($B$1:B2265)+1,0)</f>
        <v>2265</v>
      </c>
      <c r="C2266" t="str">
        <f t="shared" si="35"/>
        <v>NAD83 / Alberta 3TM ref merid 111 W</v>
      </c>
    </row>
    <row r="2267" spans="1:3" x14ac:dyDescent="0.3">
      <c r="A2267" t="s">
        <v>2325</v>
      </c>
      <c r="B2267">
        <f>IF(ISNUMBER(SEARCH(Form!$C$11,Tabel2[[#This Row],[Coordinate Projection System]])),MAX($B$1:B2266)+1,0)</f>
        <v>2266</v>
      </c>
      <c r="C2267" t="str">
        <f t="shared" si="35"/>
        <v>NAD83 / Alberta 3TM ref merid 114 W</v>
      </c>
    </row>
    <row r="2268" spans="1:3" x14ac:dyDescent="0.3">
      <c r="A2268" t="s">
        <v>2326</v>
      </c>
      <c r="B2268">
        <f>IF(ISNUMBER(SEARCH(Form!$C$11,Tabel2[[#This Row],[Coordinate Projection System]])),MAX($B$1:B2267)+1,0)</f>
        <v>2267</v>
      </c>
      <c r="C2268" t="str">
        <f t="shared" si="35"/>
        <v>NAD83 / Alberta 3TM ref merid 117 W</v>
      </c>
    </row>
    <row r="2269" spans="1:3" x14ac:dyDescent="0.3">
      <c r="A2269" t="s">
        <v>2327</v>
      </c>
      <c r="B2269">
        <f>IF(ISNUMBER(SEARCH(Form!$C$11,Tabel2[[#This Row],[Coordinate Projection System]])),MAX($B$1:B2268)+1,0)</f>
        <v>2268</v>
      </c>
      <c r="C2269" t="str">
        <f t="shared" si="35"/>
        <v>NAD83 / Alberta 3TM ref merid 120 W (deprecated)</v>
      </c>
    </row>
    <row r="2270" spans="1:3" x14ac:dyDescent="0.3">
      <c r="A2270" t="s">
        <v>2328</v>
      </c>
      <c r="B2270">
        <f>IF(ISNUMBER(SEARCH(Form!$C$11,Tabel2[[#This Row],[Coordinate Projection System]])),MAX($B$1:B2269)+1,0)</f>
        <v>2269</v>
      </c>
      <c r="C2270" t="str">
        <f t="shared" si="35"/>
        <v>NAD83(CSRS) / Alberta 3TM ref merid 111 W</v>
      </c>
    </row>
    <row r="2271" spans="1:3" x14ac:dyDescent="0.3">
      <c r="A2271" t="s">
        <v>2329</v>
      </c>
      <c r="B2271">
        <f>IF(ISNUMBER(SEARCH(Form!$C$11,Tabel2[[#This Row],[Coordinate Projection System]])),MAX($B$1:B2270)+1,0)</f>
        <v>2270</v>
      </c>
      <c r="C2271" t="str">
        <f t="shared" si="35"/>
        <v>NAD83(CSRS) / Alberta 3TM ref merid 114 W</v>
      </c>
    </row>
    <row r="2272" spans="1:3" x14ac:dyDescent="0.3">
      <c r="A2272" t="s">
        <v>2330</v>
      </c>
      <c r="B2272">
        <f>IF(ISNUMBER(SEARCH(Form!$C$11,Tabel2[[#This Row],[Coordinate Projection System]])),MAX($B$1:B2271)+1,0)</f>
        <v>2271</v>
      </c>
      <c r="C2272" t="str">
        <f t="shared" si="35"/>
        <v>NAD83(CSRS) / Alberta 3TM ref merid 117 W</v>
      </c>
    </row>
    <row r="2273" spans="1:3" x14ac:dyDescent="0.3">
      <c r="A2273" t="s">
        <v>2331</v>
      </c>
      <c r="B2273">
        <f>IF(ISNUMBER(SEARCH(Form!$C$11,Tabel2[[#This Row],[Coordinate Projection System]])),MAX($B$1:B2272)+1,0)</f>
        <v>2272</v>
      </c>
      <c r="C2273" t="str">
        <f t="shared" si="35"/>
        <v>NAD83(CSRS) / Alberta 3TM ref merid 120 W (deprecated)</v>
      </c>
    </row>
    <row r="2274" spans="1:3" x14ac:dyDescent="0.3">
      <c r="A2274" t="s">
        <v>2332</v>
      </c>
      <c r="B2274">
        <f>IF(ISNUMBER(SEARCH(Form!$C$11,Tabel2[[#This Row],[Coordinate Projection System]])),MAX($B$1:B2273)+1,0)</f>
        <v>2273</v>
      </c>
      <c r="C2274" t="str">
        <f t="shared" si="35"/>
        <v>Pitcairn 2006 / Pitcairn TM 2006</v>
      </c>
    </row>
    <row r="2275" spans="1:3" x14ac:dyDescent="0.3">
      <c r="A2275" t="s">
        <v>2333</v>
      </c>
      <c r="B2275">
        <f>IF(ISNUMBER(SEARCH(Form!$C$11,Tabel2[[#This Row],[Coordinate Projection System]])),MAX($B$1:B2274)+1,0)</f>
        <v>2274</v>
      </c>
      <c r="C2275" t="str">
        <f t="shared" si="35"/>
        <v>Pitcairn 1967 / UTM zone 9S</v>
      </c>
    </row>
    <row r="2276" spans="1:3" x14ac:dyDescent="0.3">
      <c r="A2276" t="s">
        <v>2334</v>
      </c>
      <c r="B2276">
        <f>IF(ISNUMBER(SEARCH(Form!$C$11,Tabel2[[#This Row],[Coordinate Projection System]])),MAX($B$1:B2275)+1,0)</f>
        <v>2275</v>
      </c>
      <c r="C2276" t="str">
        <f t="shared" si="35"/>
        <v>Popular Visualisation CRS / Mercator (deprecated)</v>
      </c>
    </row>
    <row r="2277" spans="1:3" x14ac:dyDescent="0.3">
      <c r="A2277" t="s">
        <v>2335</v>
      </c>
      <c r="B2277">
        <f>IF(ISNUMBER(SEARCH(Form!$C$11,Tabel2[[#This Row],[Coordinate Projection System]])),MAX($B$1:B2276)+1,0)</f>
        <v>2276</v>
      </c>
      <c r="C2277" t="str">
        <f t="shared" si="35"/>
        <v>World Equidistant Cylindrical (Sphere) (deprecated)</v>
      </c>
    </row>
    <row r="2278" spans="1:3" x14ac:dyDescent="0.3">
      <c r="A2278" t="s">
        <v>2336</v>
      </c>
      <c r="B2278">
        <f>IF(ISNUMBER(SEARCH(Form!$C$11,Tabel2[[#This Row],[Coordinate Projection System]])),MAX($B$1:B2277)+1,0)</f>
        <v>2277</v>
      </c>
      <c r="C2278" t="str">
        <f t="shared" si="35"/>
        <v>MGI / Slovene National Grid (deprecated)</v>
      </c>
    </row>
    <row r="2279" spans="1:3" x14ac:dyDescent="0.3">
      <c r="A2279" t="s">
        <v>2337</v>
      </c>
      <c r="B2279">
        <f>IF(ISNUMBER(SEARCH(Form!$C$11,Tabel2[[#This Row],[Coordinate Projection System]])),MAX($B$1:B2278)+1,0)</f>
        <v>2278</v>
      </c>
      <c r="C2279" t="str">
        <f t="shared" si="35"/>
        <v>NZGD2000 / Auckland Islands TM 2000</v>
      </c>
    </row>
    <row r="2280" spans="1:3" x14ac:dyDescent="0.3">
      <c r="A2280" t="s">
        <v>2338</v>
      </c>
      <c r="B2280">
        <f>IF(ISNUMBER(SEARCH(Form!$C$11,Tabel2[[#This Row],[Coordinate Projection System]])),MAX($B$1:B2279)+1,0)</f>
        <v>2279</v>
      </c>
      <c r="C2280" t="str">
        <f t="shared" si="35"/>
        <v>NZGD2000 / Campbell Island TM 2000</v>
      </c>
    </row>
    <row r="2281" spans="1:3" x14ac:dyDescent="0.3">
      <c r="A2281" t="s">
        <v>2339</v>
      </c>
      <c r="B2281">
        <f>IF(ISNUMBER(SEARCH(Form!$C$11,Tabel2[[#This Row],[Coordinate Projection System]])),MAX($B$1:B2280)+1,0)</f>
        <v>2280</v>
      </c>
      <c r="C2281" t="str">
        <f t="shared" si="35"/>
        <v>NZGD2000 / Antipodes Islands TM 2000</v>
      </c>
    </row>
    <row r="2282" spans="1:3" x14ac:dyDescent="0.3">
      <c r="A2282" t="s">
        <v>2340</v>
      </c>
      <c r="B2282">
        <f>IF(ISNUMBER(SEARCH(Form!$C$11,Tabel2[[#This Row],[Coordinate Projection System]])),MAX($B$1:B2281)+1,0)</f>
        <v>2281</v>
      </c>
      <c r="C2282" t="str">
        <f t="shared" si="35"/>
        <v>NZGD2000 / Raoul Island TM 2000</v>
      </c>
    </row>
    <row r="2283" spans="1:3" x14ac:dyDescent="0.3">
      <c r="A2283" t="s">
        <v>2341</v>
      </c>
      <c r="B2283">
        <f>IF(ISNUMBER(SEARCH(Form!$C$11,Tabel2[[#This Row],[Coordinate Projection System]])),MAX($B$1:B2282)+1,0)</f>
        <v>2282</v>
      </c>
      <c r="C2283" t="str">
        <f t="shared" si="35"/>
        <v>NZGD2000 / Chatham Islands TM 2000</v>
      </c>
    </row>
    <row r="2284" spans="1:3" x14ac:dyDescent="0.3">
      <c r="A2284" t="s">
        <v>2342</v>
      </c>
      <c r="B2284">
        <f>IF(ISNUMBER(SEARCH(Form!$C$11,Tabel2[[#This Row],[Coordinate Projection System]])),MAX($B$1:B2283)+1,0)</f>
        <v>2283</v>
      </c>
      <c r="C2284" t="str">
        <f t="shared" si="35"/>
        <v>Slovenia 1996 / Slovene National Grid</v>
      </c>
    </row>
    <row r="2285" spans="1:3" x14ac:dyDescent="0.3">
      <c r="A2285" t="s">
        <v>2343</v>
      </c>
      <c r="B2285">
        <f>IF(ISNUMBER(SEARCH(Form!$C$11,Tabel2[[#This Row],[Coordinate Projection System]])),MAX($B$1:B2284)+1,0)</f>
        <v>2284</v>
      </c>
      <c r="C2285" t="str">
        <f t="shared" si="35"/>
        <v>NAD27 / Cuba Norte</v>
      </c>
    </row>
    <row r="2286" spans="1:3" x14ac:dyDescent="0.3">
      <c r="A2286" t="s">
        <v>2344</v>
      </c>
      <c r="B2286">
        <f>IF(ISNUMBER(SEARCH(Form!$C$11,Tabel2[[#This Row],[Coordinate Projection System]])),MAX($B$1:B2285)+1,0)</f>
        <v>2285</v>
      </c>
      <c r="C2286" t="str">
        <f t="shared" si="35"/>
        <v>NAD27 / Cuba Sur</v>
      </c>
    </row>
    <row r="2287" spans="1:3" x14ac:dyDescent="0.3">
      <c r="A2287" t="s">
        <v>2345</v>
      </c>
      <c r="B2287">
        <f>IF(ISNUMBER(SEARCH(Form!$C$11,Tabel2[[#This Row],[Coordinate Projection System]])),MAX($B$1:B2286)+1,0)</f>
        <v>2286</v>
      </c>
      <c r="C2287" t="str">
        <f t="shared" si="35"/>
        <v>NAD27 / MTQ Lambert</v>
      </c>
    </row>
    <row r="2288" spans="1:3" x14ac:dyDescent="0.3">
      <c r="A2288" t="s">
        <v>2346</v>
      </c>
      <c r="B2288">
        <f>IF(ISNUMBER(SEARCH(Form!$C$11,Tabel2[[#This Row],[Coordinate Projection System]])),MAX($B$1:B2287)+1,0)</f>
        <v>2287</v>
      </c>
      <c r="C2288" t="str">
        <f t="shared" si="35"/>
        <v>NAD83 / MTQ Lambert</v>
      </c>
    </row>
    <row r="2289" spans="1:3" x14ac:dyDescent="0.3">
      <c r="A2289" t="s">
        <v>2347</v>
      </c>
      <c r="B2289">
        <f>IF(ISNUMBER(SEARCH(Form!$C$11,Tabel2[[#This Row],[Coordinate Projection System]])),MAX($B$1:B2288)+1,0)</f>
        <v>2288</v>
      </c>
      <c r="C2289" t="str">
        <f t="shared" si="35"/>
        <v>NAD83(CSRS) / MTQ Lambert</v>
      </c>
    </row>
    <row r="2290" spans="1:3" x14ac:dyDescent="0.3">
      <c r="A2290" t="s">
        <v>2348</v>
      </c>
      <c r="B2290">
        <f>IF(ISNUMBER(SEARCH(Form!$C$11,Tabel2[[#This Row],[Coordinate Projection System]])),MAX($B$1:B2289)+1,0)</f>
        <v>2289</v>
      </c>
      <c r="C2290" t="str">
        <f t="shared" si="35"/>
        <v>NAD27 / Alberta 3TM ref merid 120 W</v>
      </c>
    </row>
    <row r="2291" spans="1:3" x14ac:dyDescent="0.3">
      <c r="A2291" t="s">
        <v>2349</v>
      </c>
      <c r="B2291">
        <f>IF(ISNUMBER(SEARCH(Form!$C$11,Tabel2[[#This Row],[Coordinate Projection System]])),MAX($B$1:B2290)+1,0)</f>
        <v>2290</v>
      </c>
      <c r="C2291" t="str">
        <f t="shared" si="35"/>
        <v>NAD83 / Alberta 3TM ref merid 120 W</v>
      </c>
    </row>
    <row r="2292" spans="1:3" x14ac:dyDescent="0.3">
      <c r="A2292" t="s">
        <v>2350</v>
      </c>
      <c r="B2292">
        <f>IF(ISNUMBER(SEARCH(Form!$C$11,Tabel2[[#This Row],[Coordinate Projection System]])),MAX($B$1:B2291)+1,0)</f>
        <v>2291</v>
      </c>
      <c r="C2292" t="str">
        <f t="shared" si="35"/>
        <v>NAD83(CSRS) / Alberta 3TM ref merid 120 W</v>
      </c>
    </row>
    <row r="2293" spans="1:3" x14ac:dyDescent="0.3">
      <c r="A2293" t="s">
        <v>2351</v>
      </c>
      <c r="B2293">
        <f>IF(ISNUMBER(SEARCH(Form!$C$11,Tabel2[[#This Row],[Coordinate Projection System]])),MAX($B$1:B2292)+1,0)</f>
        <v>2292</v>
      </c>
      <c r="C2293" t="str">
        <f t="shared" si="35"/>
        <v>ETRS89 / Belgian Lambert 2008</v>
      </c>
    </row>
    <row r="2294" spans="1:3" x14ac:dyDescent="0.3">
      <c r="A2294" t="s">
        <v>2352</v>
      </c>
      <c r="B2294">
        <f>IF(ISNUMBER(SEARCH(Form!$C$11,Tabel2[[#This Row],[Coordinate Projection System]])),MAX($B$1:B2293)+1,0)</f>
        <v>2293</v>
      </c>
      <c r="C2294" t="str">
        <f t="shared" si="35"/>
        <v>NAD83 / Mississippi TM</v>
      </c>
    </row>
    <row r="2295" spans="1:3" x14ac:dyDescent="0.3">
      <c r="A2295" t="s">
        <v>2353</v>
      </c>
      <c r="B2295">
        <f>IF(ISNUMBER(SEARCH(Form!$C$11,Tabel2[[#This Row],[Coordinate Projection System]])),MAX($B$1:B2294)+1,0)</f>
        <v>2294</v>
      </c>
      <c r="C2295" t="str">
        <f t="shared" si="35"/>
        <v>NAD83(HARN) / Mississippi TM</v>
      </c>
    </row>
    <row r="2296" spans="1:3" x14ac:dyDescent="0.3">
      <c r="A2296" t="s">
        <v>2354</v>
      </c>
      <c r="B2296">
        <f>IF(ISNUMBER(SEARCH(Form!$C$11,Tabel2[[#This Row],[Coordinate Projection System]])),MAX($B$1:B2295)+1,0)</f>
        <v>2295</v>
      </c>
      <c r="C2296" t="str">
        <f t="shared" si="35"/>
        <v>NAD83(NSRS2007) / Mississippi TM</v>
      </c>
    </row>
    <row r="2297" spans="1:3" x14ac:dyDescent="0.3">
      <c r="A2297" t="s">
        <v>2355</v>
      </c>
      <c r="B2297">
        <f>IF(ISNUMBER(SEARCH(Form!$C$11,Tabel2[[#This Row],[Coordinate Projection System]])),MAX($B$1:B2296)+1,0)</f>
        <v>2296</v>
      </c>
      <c r="C2297" t="str">
        <f t="shared" si="35"/>
        <v>TWD97 / TM2 zone 119</v>
      </c>
    </row>
    <row r="2298" spans="1:3" x14ac:dyDescent="0.3">
      <c r="A2298" t="s">
        <v>2356</v>
      </c>
      <c r="B2298">
        <f>IF(ISNUMBER(SEARCH(Form!$C$11,Tabel2[[#This Row],[Coordinate Projection System]])),MAX($B$1:B2297)+1,0)</f>
        <v>2297</v>
      </c>
      <c r="C2298" t="str">
        <f t="shared" si="35"/>
        <v>TWD97 / TM2 zone 121</v>
      </c>
    </row>
    <row r="2299" spans="1:3" x14ac:dyDescent="0.3">
      <c r="A2299" t="s">
        <v>2357</v>
      </c>
      <c r="B2299">
        <f>IF(ISNUMBER(SEARCH(Form!$C$11,Tabel2[[#This Row],[Coordinate Projection System]])),MAX($B$1:B2298)+1,0)</f>
        <v>2298</v>
      </c>
      <c r="C2299" t="str">
        <f t="shared" si="35"/>
        <v>TWD67 / TM2 zone 119</v>
      </c>
    </row>
    <row r="2300" spans="1:3" x14ac:dyDescent="0.3">
      <c r="A2300" t="s">
        <v>2358</v>
      </c>
      <c r="B2300">
        <f>IF(ISNUMBER(SEARCH(Form!$C$11,Tabel2[[#This Row],[Coordinate Projection System]])),MAX($B$1:B2299)+1,0)</f>
        <v>2299</v>
      </c>
      <c r="C2300" t="str">
        <f t="shared" si="35"/>
        <v>TWD67 / TM2 zone 121</v>
      </c>
    </row>
    <row r="2301" spans="1:3" x14ac:dyDescent="0.3">
      <c r="A2301" t="s">
        <v>2359</v>
      </c>
      <c r="B2301">
        <f>IF(ISNUMBER(SEARCH(Form!$C$11,Tabel2[[#This Row],[Coordinate Projection System]])),MAX($B$1:B2300)+1,0)</f>
        <v>2300</v>
      </c>
      <c r="C2301" t="str">
        <f t="shared" si="35"/>
        <v>Hu Tzu Shan 1950 / UTM zone 51N</v>
      </c>
    </row>
    <row r="2302" spans="1:3" x14ac:dyDescent="0.3">
      <c r="A2302" t="s">
        <v>2360</v>
      </c>
      <c r="B2302">
        <f>IF(ISNUMBER(SEARCH(Form!$C$11,Tabel2[[#This Row],[Coordinate Projection System]])),MAX($B$1:B2301)+1,0)</f>
        <v>2301</v>
      </c>
      <c r="C2302" t="str">
        <f t="shared" si="35"/>
        <v>WGS 84 / PDC Mercator</v>
      </c>
    </row>
    <row r="2303" spans="1:3" x14ac:dyDescent="0.3">
      <c r="A2303" t="s">
        <v>2361</v>
      </c>
      <c r="B2303">
        <f>IF(ISNUMBER(SEARCH(Form!$C$11,Tabel2[[#This Row],[Coordinate Projection System]])),MAX($B$1:B2302)+1,0)</f>
        <v>2302</v>
      </c>
      <c r="C2303" t="str">
        <f t="shared" si="35"/>
        <v>Pulkovo 1942(58) / Gauss-Kruger zone 2</v>
      </c>
    </row>
    <row r="2304" spans="1:3" x14ac:dyDescent="0.3">
      <c r="A2304" t="s">
        <v>2362</v>
      </c>
      <c r="B2304">
        <f>IF(ISNUMBER(SEARCH(Form!$C$11,Tabel2[[#This Row],[Coordinate Projection System]])),MAX($B$1:B2303)+1,0)</f>
        <v>2303</v>
      </c>
      <c r="C2304" t="str">
        <f t="shared" si="35"/>
        <v>Pulkovo 1942(83) / Gauss-Kruger zone 2</v>
      </c>
    </row>
    <row r="2305" spans="1:3" x14ac:dyDescent="0.3">
      <c r="A2305" t="s">
        <v>2363</v>
      </c>
      <c r="B2305">
        <f>IF(ISNUMBER(SEARCH(Form!$C$11,Tabel2[[#This Row],[Coordinate Projection System]])),MAX($B$1:B2304)+1,0)</f>
        <v>2304</v>
      </c>
      <c r="C2305" t="str">
        <f t="shared" si="35"/>
        <v>Pulkovo 1942(83) / Gauss-Kruger zone 3</v>
      </c>
    </row>
    <row r="2306" spans="1:3" x14ac:dyDescent="0.3">
      <c r="A2306" t="s">
        <v>2364</v>
      </c>
      <c r="B2306">
        <f>IF(ISNUMBER(SEARCH(Form!$C$11,Tabel2[[#This Row],[Coordinate Projection System]])),MAX($B$1:B2305)+1,0)</f>
        <v>2305</v>
      </c>
      <c r="C2306" t="str">
        <f t="shared" si="35"/>
        <v>Pulkovo 1942(83) / Gauss-Kruger zone 4</v>
      </c>
    </row>
    <row r="2307" spans="1:3" x14ac:dyDescent="0.3">
      <c r="A2307" t="s">
        <v>2365</v>
      </c>
      <c r="B2307">
        <f>IF(ISNUMBER(SEARCH(Form!$C$11,Tabel2[[#This Row],[Coordinate Projection System]])),MAX($B$1:B2306)+1,0)</f>
        <v>2306</v>
      </c>
      <c r="C2307" t="str">
        <f t="shared" ref="C2307:C2370" si="36">_xlfn.IFNA(INDEX(A2307:A7818,MATCH(ROW(C2306),B2307:B7818,0)),"")</f>
        <v>Pulkovo 1942(58) / 3-degree Gauss-Kruger zone 3</v>
      </c>
    </row>
    <row r="2308" spans="1:3" x14ac:dyDescent="0.3">
      <c r="A2308" t="s">
        <v>2366</v>
      </c>
      <c r="B2308">
        <f>IF(ISNUMBER(SEARCH(Form!$C$11,Tabel2[[#This Row],[Coordinate Projection System]])),MAX($B$1:B2307)+1,0)</f>
        <v>2307</v>
      </c>
      <c r="C2308" t="str">
        <f t="shared" si="36"/>
        <v>Pulkovo 1942(58) / 3-degree Gauss-Kruger zone 4</v>
      </c>
    </row>
    <row r="2309" spans="1:3" x14ac:dyDescent="0.3">
      <c r="A2309" t="s">
        <v>2367</v>
      </c>
      <c r="B2309">
        <f>IF(ISNUMBER(SEARCH(Form!$C$11,Tabel2[[#This Row],[Coordinate Projection System]])),MAX($B$1:B2308)+1,0)</f>
        <v>2308</v>
      </c>
      <c r="C2309" t="str">
        <f t="shared" si="36"/>
        <v>Pulkovo 1942(58) / 3-degree Gauss-Kruger zone 9</v>
      </c>
    </row>
    <row r="2310" spans="1:3" x14ac:dyDescent="0.3">
      <c r="A2310" t="s">
        <v>2368</v>
      </c>
      <c r="B2310">
        <f>IF(ISNUMBER(SEARCH(Form!$C$11,Tabel2[[#This Row],[Coordinate Projection System]])),MAX($B$1:B2309)+1,0)</f>
        <v>2309</v>
      </c>
      <c r="C2310" t="str">
        <f t="shared" si="36"/>
        <v>Pulkovo 1942(58) / 3-degree Gauss-Kruger zone 10</v>
      </c>
    </row>
    <row r="2311" spans="1:3" x14ac:dyDescent="0.3">
      <c r="A2311" t="s">
        <v>2369</v>
      </c>
      <c r="B2311">
        <f>IF(ISNUMBER(SEARCH(Form!$C$11,Tabel2[[#This Row],[Coordinate Projection System]])),MAX($B$1:B2310)+1,0)</f>
        <v>2310</v>
      </c>
      <c r="C2311" t="str">
        <f t="shared" si="36"/>
        <v>Pulkovo 1942(83) / 3-degree Gauss-Kruger zone 6</v>
      </c>
    </row>
    <row r="2312" spans="1:3" x14ac:dyDescent="0.3">
      <c r="A2312" t="s">
        <v>2370</v>
      </c>
      <c r="B2312">
        <f>IF(ISNUMBER(SEARCH(Form!$C$11,Tabel2[[#This Row],[Coordinate Projection System]])),MAX($B$1:B2311)+1,0)</f>
        <v>2311</v>
      </c>
      <c r="C2312" t="str">
        <f t="shared" si="36"/>
        <v>Pulkovo 1942(83) / 3-degree Gauss-Kruger zone 7 (deprecated)</v>
      </c>
    </row>
    <row r="2313" spans="1:3" x14ac:dyDescent="0.3">
      <c r="A2313" t="s">
        <v>2371</v>
      </c>
      <c r="B2313">
        <f>IF(ISNUMBER(SEARCH(Form!$C$11,Tabel2[[#This Row],[Coordinate Projection System]])),MAX($B$1:B2312)+1,0)</f>
        <v>2312</v>
      </c>
      <c r="C2313" t="str">
        <f t="shared" si="36"/>
        <v>Pulkovo 1942(83) / 3-degree Gauss-Kruger zone 8 (deprecated)</v>
      </c>
    </row>
    <row r="2314" spans="1:3" x14ac:dyDescent="0.3">
      <c r="A2314" t="s">
        <v>2372</v>
      </c>
      <c r="B2314">
        <f>IF(ISNUMBER(SEARCH(Form!$C$11,Tabel2[[#This Row],[Coordinate Projection System]])),MAX($B$1:B2313)+1,0)</f>
        <v>2313</v>
      </c>
      <c r="C2314" t="str">
        <f t="shared" si="36"/>
        <v>Pulkovo 1942(58) / Stereo70</v>
      </c>
    </row>
    <row r="2315" spans="1:3" x14ac:dyDescent="0.3">
      <c r="A2315" t="s">
        <v>2373</v>
      </c>
      <c r="B2315">
        <f>IF(ISNUMBER(SEARCH(Form!$C$11,Tabel2[[#This Row],[Coordinate Projection System]])),MAX($B$1:B2314)+1,0)</f>
        <v>2314</v>
      </c>
      <c r="C2315" t="str">
        <f t="shared" si="36"/>
        <v>SWEREF99 / RT90 7.5 gon V emulation</v>
      </c>
    </row>
    <row r="2316" spans="1:3" x14ac:dyDescent="0.3">
      <c r="A2316" t="s">
        <v>2374</v>
      </c>
      <c r="B2316">
        <f>IF(ISNUMBER(SEARCH(Form!$C$11,Tabel2[[#This Row],[Coordinate Projection System]])),MAX($B$1:B2315)+1,0)</f>
        <v>2315</v>
      </c>
      <c r="C2316" t="str">
        <f t="shared" si="36"/>
        <v>SWEREF99 / RT90 5 gon V emulation</v>
      </c>
    </row>
    <row r="2317" spans="1:3" x14ac:dyDescent="0.3">
      <c r="A2317" t="s">
        <v>2375</v>
      </c>
      <c r="B2317">
        <f>IF(ISNUMBER(SEARCH(Form!$C$11,Tabel2[[#This Row],[Coordinate Projection System]])),MAX($B$1:B2316)+1,0)</f>
        <v>2316</v>
      </c>
      <c r="C2317" t="str">
        <f t="shared" si="36"/>
        <v>SWEREF99 / RT90 2.5 gon V emulation</v>
      </c>
    </row>
    <row r="2318" spans="1:3" x14ac:dyDescent="0.3">
      <c r="A2318" t="s">
        <v>2376</v>
      </c>
      <c r="B2318">
        <f>IF(ISNUMBER(SEARCH(Form!$C$11,Tabel2[[#This Row],[Coordinate Projection System]])),MAX($B$1:B2317)+1,0)</f>
        <v>2317</v>
      </c>
      <c r="C2318" t="str">
        <f t="shared" si="36"/>
        <v>SWEREF99 / RT90 0 gon emulation</v>
      </c>
    </row>
    <row r="2319" spans="1:3" x14ac:dyDescent="0.3">
      <c r="A2319" t="s">
        <v>2377</v>
      </c>
      <c r="B2319">
        <f>IF(ISNUMBER(SEARCH(Form!$C$11,Tabel2[[#This Row],[Coordinate Projection System]])),MAX($B$1:B2318)+1,0)</f>
        <v>2318</v>
      </c>
      <c r="C2319" t="str">
        <f t="shared" si="36"/>
        <v>SWEREF99 / RT90 2.5 gon O emulation</v>
      </c>
    </row>
    <row r="2320" spans="1:3" x14ac:dyDescent="0.3">
      <c r="A2320" t="s">
        <v>2378</v>
      </c>
      <c r="B2320">
        <f>IF(ISNUMBER(SEARCH(Form!$C$11,Tabel2[[#This Row],[Coordinate Projection System]])),MAX($B$1:B2319)+1,0)</f>
        <v>2319</v>
      </c>
      <c r="C2320" t="str">
        <f t="shared" si="36"/>
        <v>SWEREF99 / RT90 5 gon O emulation</v>
      </c>
    </row>
    <row r="2321" spans="1:3" x14ac:dyDescent="0.3">
      <c r="A2321" t="s">
        <v>2379</v>
      </c>
      <c r="B2321">
        <f>IF(ISNUMBER(SEARCH(Form!$C$11,Tabel2[[#This Row],[Coordinate Projection System]])),MAX($B$1:B2320)+1,0)</f>
        <v>2320</v>
      </c>
      <c r="C2321" t="str">
        <f t="shared" si="36"/>
        <v>NZGD2000 / NZCS2000</v>
      </c>
    </row>
    <row r="2322" spans="1:3" x14ac:dyDescent="0.3">
      <c r="A2322" t="s">
        <v>2380</v>
      </c>
      <c r="B2322">
        <f>IF(ISNUMBER(SEARCH(Form!$C$11,Tabel2[[#This Row],[Coordinate Projection System]])),MAX($B$1:B2321)+1,0)</f>
        <v>2321</v>
      </c>
      <c r="C2322" t="str">
        <f t="shared" si="36"/>
        <v>RSRGD2000 / DGLC2000</v>
      </c>
    </row>
    <row r="2323" spans="1:3" x14ac:dyDescent="0.3">
      <c r="A2323" t="s">
        <v>2381</v>
      </c>
      <c r="B2323">
        <f>IF(ISNUMBER(SEARCH(Form!$C$11,Tabel2[[#This Row],[Coordinate Projection System]])),MAX($B$1:B2322)+1,0)</f>
        <v>2322</v>
      </c>
      <c r="C2323" t="str">
        <f t="shared" si="36"/>
        <v>County ST74</v>
      </c>
    </row>
    <row r="2324" spans="1:3" x14ac:dyDescent="0.3">
      <c r="A2324" t="s">
        <v>2382</v>
      </c>
      <c r="B2324">
        <f>IF(ISNUMBER(SEARCH(Form!$C$11,Tabel2[[#This Row],[Coordinate Projection System]])),MAX($B$1:B2323)+1,0)</f>
        <v>2323</v>
      </c>
      <c r="C2324" t="str">
        <f t="shared" si="36"/>
        <v>WGS 84 / Pseudo-Mercator</v>
      </c>
    </row>
    <row r="2325" spans="1:3" x14ac:dyDescent="0.3">
      <c r="A2325" t="s">
        <v>2383</v>
      </c>
      <c r="B2325">
        <f>IF(ISNUMBER(SEARCH(Form!$C$11,Tabel2[[#This Row],[Coordinate Projection System]])),MAX($B$1:B2324)+1,0)</f>
        <v>2324</v>
      </c>
      <c r="C2325" t="str">
        <f t="shared" si="36"/>
        <v>ETRS89 / GK19FIN</v>
      </c>
    </row>
    <row r="2326" spans="1:3" x14ac:dyDescent="0.3">
      <c r="A2326" t="s">
        <v>2384</v>
      </c>
      <c r="B2326">
        <f>IF(ISNUMBER(SEARCH(Form!$C$11,Tabel2[[#This Row],[Coordinate Projection System]])),MAX($B$1:B2325)+1,0)</f>
        <v>2325</v>
      </c>
      <c r="C2326" t="str">
        <f t="shared" si="36"/>
        <v>ETRS89 / GK20FIN</v>
      </c>
    </row>
    <row r="2327" spans="1:3" x14ac:dyDescent="0.3">
      <c r="A2327" t="s">
        <v>2385</v>
      </c>
      <c r="B2327">
        <f>IF(ISNUMBER(SEARCH(Form!$C$11,Tabel2[[#This Row],[Coordinate Projection System]])),MAX($B$1:B2326)+1,0)</f>
        <v>2326</v>
      </c>
      <c r="C2327" t="str">
        <f t="shared" si="36"/>
        <v>ETRS89 / GK21FIN</v>
      </c>
    </row>
    <row r="2328" spans="1:3" x14ac:dyDescent="0.3">
      <c r="A2328" t="s">
        <v>2386</v>
      </c>
      <c r="B2328">
        <f>IF(ISNUMBER(SEARCH(Form!$C$11,Tabel2[[#This Row],[Coordinate Projection System]])),MAX($B$1:B2327)+1,0)</f>
        <v>2327</v>
      </c>
      <c r="C2328" t="str">
        <f t="shared" si="36"/>
        <v>ETRS89 / GK22FIN</v>
      </c>
    </row>
    <row r="2329" spans="1:3" x14ac:dyDescent="0.3">
      <c r="A2329" t="s">
        <v>2387</v>
      </c>
      <c r="B2329">
        <f>IF(ISNUMBER(SEARCH(Form!$C$11,Tabel2[[#This Row],[Coordinate Projection System]])),MAX($B$1:B2328)+1,0)</f>
        <v>2328</v>
      </c>
      <c r="C2329" t="str">
        <f t="shared" si="36"/>
        <v>ETRS89 / GK23FIN</v>
      </c>
    </row>
    <row r="2330" spans="1:3" x14ac:dyDescent="0.3">
      <c r="A2330" t="s">
        <v>2388</v>
      </c>
      <c r="B2330">
        <f>IF(ISNUMBER(SEARCH(Form!$C$11,Tabel2[[#This Row],[Coordinate Projection System]])),MAX($B$1:B2329)+1,0)</f>
        <v>2329</v>
      </c>
      <c r="C2330" t="str">
        <f t="shared" si="36"/>
        <v>ETRS89 / GK24FIN</v>
      </c>
    </row>
    <row r="2331" spans="1:3" x14ac:dyDescent="0.3">
      <c r="A2331" t="s">
        <v>2389</v>
      </c>
      <c r="B2331">
        <f>IF(ISNUMBER(SEARCH(Form!$C$11,Tabel2[[#This Row],[Coordinate Projection System]])),MAX($B$1:B2330)+1,0)</f>
        <v>2330</v>
      </c>
      <c r="C2331" t="str">
        <f t="shared" si="36"/>
        <v>ETRS89 / GK25FIN</v>
      </c>
    </row>
    <row r="2332" spans="1:3" x14ac:dyDescent="0.3">
      <c r="A2332" t="s">
        <v>2390</v>
      </c>
      <c r="B2332">
        <f>IF(ISNUMBER(SEARCH(Form!$C$11,Tabel2[[#This Row],[Coordinate Projection System]])),MAX($B$1:B2331)+1,0)</f>
        <v>2331</v>
      </c>
      <c r="C2332" t="str">
        <f t="shared" si="36"/>
        <v>ETRS89 / GK26FIN</v>
      </c>
    </row>
    <row r="2333" spans="1:3" x14ac:dyDescent="0.3">
      <c r="A2333" t="s">
        <v>2391</v>
      </c>
      <c r="B2333">
        <f>IF(ISNUMBER(SEARCH(Form!$C$11,Tabel2[[#This Row],[Coordinate Projection System]])),MAX($B$1:B2332)+1,0)</f>
        <v>2332</v>
      </c>
      <c r="C2333" t="str">
        <f t="shared" si="36"/>
        <v>ETRS89 / GK27FIN</v>
      </c>
    </row>
    <row r="2334" spans="1:3" x14ac:dyDescent="0.3">
      <c r="A2334" t="s">
        <v>2392</v>
      </c>
      <c r="B2334">
        <f>IF(ISNUMBER(SEARCH(Form!$C$11,Tabel2[[#This Row],[Coordinate Projection System]])),MAX($B$1:B2333)+1,0)</f>
        <v>2333</v>
      </c>
      <c r="C2334" t="str">
        <f t="shared" si="36"/>
        <v>ETRS89 / GK28FIN</v>
      </c>
    </row>
    <row r="2335" spans="1:3" x14ac:dyDescent="0.3">
      <c r="A2335" t="s">
        <v>2393</v>
      </c>
      <c r="B2335">
        <f>IF(ISNUMBER(SEARCH(Form!$C$11,Tabel2[[#This Row],[Coordinate Projection System]])),MAX($B$1:B2334)+1,0)</f>
        <v>2334</v>
      </c>
      <c r="C2335" t="str">
        <f t="shared" si="36"/>
        <v>ETRS89 / GK29FIN</v>
      </c>
    </row>
    <row r="2336" spans="1:3" x14ac:dyDescent="0.3">
      <c r="A2336" t="s">
        <v>2394</v>
      </c>
      <c r="B2336">
        <f>IF(ISNUMBER(SEARCH(Form!$C$11,Tabel2[[#This Row],[Coordinate Projection System]])),MAX($B$1:B2335)+1,0)</f>
        <v>2335</v>
      </c>
      <c r="C2336" t="str">
        <f t="shared" si="36"/>
        <v>ETRS89 / GK30FIN</v>
      </c>
    </row>
    <row r="2337" spans="1:3" x14ac:dyDescent="0.3">
      <c r="A2337" t="s">
        <v>2395</v>
      </c>
      <c r="B2337">
        <f>IF(ISNUMBER(SEARCH(Form!$C$11,Tabel2[[#This Row],[Coordinate Projection System]])),MAX($B$1:B2336)+1,0)</f>
        <v>2336</v>
      </c>
      <c r="C2337" t="str">
        <f t="shared" si="36"/>
        <v>ETRS89 / GK31FIN</v>
      </c>
    </row>
    <row r="2338" spans="1:3" x14ac:dyDescent="0.3">
      <c r="A2338" t="s">
        <v>2396</v>
      </c>
      <c r="B2338">
        <f>IF(ISNUMBER(SEARCH(Form!$C$11,Tabel2[[#This Row],[Coordinate Projection System]])),MAX($B$1:B2337)+1,0)</f>
        <v>2337</v>
      </c>
      <c r="C2338" t="str">
        <f t="shared" si="36"/>
        <v>IGRS / UTM zone 37N</v>
      </c>
    </row>
    <row r="2339" spans="1:3" x14ac:dyDescent="0.3">
      <c r="A2339" t="s">
        <v>2397</v>
      </c>
      <c r="B2339">
        <f>IF(ISNUMBER(SEARCH(Form!$C$11,Tabel2[[#This Row],[Coordinate Projection System]])),MAX($B$1:B2338)+1,0)</f>
        <v>2338</v>
      </c>
      <c r="C2339" t="str">
        <f t="shared" si="36"/>
        <v>IGRS / UTM zone 38N</v>
      </c>
    </row>
    <row r="2340" spans="1:3" x14ac:dyDescent="0.3">
      <c r="A2340" t="s">
        <v>2398</v>
      </c>
      <c r="B2340">
        <f>IF(ISNUMBER(SEARCH(Form!$C$11,Tabel2[[#This Row],[Coordinate Projection System]])),MAX($B$1:B2339)+1,0)</f>
        <v>2339</v>
      </c>
      <c r="C2340" t="str">
        <f t="shared" si="36"/>
        <v>IGRS / UTM zone 39N</v>
      </c>
    </row>
    <row r="2341" spans="1:3" x14ac:dyDescent="0.3">
      <c r="A2341" t="s">
        <v>2399</v>
      </c>
      <c r="B2341">
        <f>IF(ISNUMBER(SEARCH(Form!$C$11,Tabel2[[#This Row],[Coordinate Projection System]])),MAX($B$1:B2340)+1,0)</f>
        <v>2340</v>
      </c>
      <c r="C2341" t="str">
        <f t="shared" si="36"/>
        <v>ED50 / Iraq National Grid</v>
      </c>
    </row>
    <row r="2342" spans="1:3" x14ac:dyDescent="0.3">
      <c r="A2342" t="s">
        <v>2400</v>
      </c>
      <c r="B2342">
        <f>IF(ISNUMBER(SEARCH(Form!$C$11,Tabel2[[#This Row],[Coordinate Projection System]])),MAX($B$1:B2341)+1,0)</f>
        <v>2341</v>
      </c>
      <c r="C2342" t="str">
        <f t="shared" si="36"/>
        <v>MGI 1901 / Balkans zone 5</v>
      </c>
    </row>
    <row r="2343" spans="1:3" x14ac:dyDescent="0.3">
      <c r="A2343" t="s">
        <v>2401</v>
      </c>
      <c r="B2343">
        <f>IF(ISNUMBER(SEARCH(Form!$C$11,Tabel2[[#This Row],[Coordinate Projection System]])),MAX($B$1:B2342)+1,0)</f>
        <v>2342</v>
      </c>
      <c r="C2343" t="str">
        <f t="shared" si="36"/>
        <v>MGI 1901 / Balkans zone 6</v>
      </c>
    </row>
    <row r="2344" spans="1:3" x14ac:dyDescent="0.3">
      <c r="A2344" t="s">
        <v>2402</v>
      </c>
      <c r="B2344">
        <f>IF(ISNUMBER(SEARCH(Form!$C$11,Tabel2[[#This Row],[Coordinate Projection System]])),MAX($B$1:B2343)+1,0)</f>
        <v>2343</v>
      </c>
      <c r="C2344" t="str">
        <f t="shared" si="36"/>
        <v>MGI 1901 / Balkans zone 7</v>
      </c>
    </row>
    <row r="2345" spans="1:3" x14ac:dyDescent="0.3">
      <c r="A2345" t="s">
        <v>2403</v>
      </c>
      <c r="B2345">
        <f>IF(ISNUMBER(SEARCH(Form!$C$11,Tabel2[[#This Row],[Coordinate Projection System]])),MAX($B$1:B2344)+1,0)</f>
        <v>2344</v>
      </c>
      <c r="C2345" t="str">
        <f t="shared" si="36"/>
        <v>MGI 1901 / Balkans zone 8</v>
      </c>
    </row>
    <row r="2346" spans="1:3" x14ac:dyDescent="0.3">
      <c r="A2346" t="s">
        <v>2404</v>
      </c>
      <c r="B2346">
        <f>IF(ISNUMBER(SEARCH(Form!$C$11,Tabel2[[#This Row],[Coordinate Projection System]])),MAX($B$1:B2345)+1,0)</f>
        <v>2345</v>
      </c>
      <c r="C2346" t="str">
        <f t="shared" si="36"/>
        <v>MGI 1901 / Slovenia Grid</v>
      </c>
    </row>
    <row r="2347" spans="1:3" x14ac:dyDescent="0.3">
      <c r="A2347" t="s">
        <v>2405</v>
      </c>
      <c r="B2347">
        <f>IF(ISNUMBER(SEARCH(Form!$C$11,Tabel2[[#This Row],[Coordinate Projection System]])),MAX($B$1:B2346)+1,0)</f>
        <v>2346</v>
      </c>
      <c r="C2347" t="str">
        <f t="shared" si="36"/>
        <v>MGI 1901 / Slovene National Grid</v>
      </c>
    </row>
    <row r="2348" spans="1:3" x14ac:dyDescent="0.3">
      <c r="A2348" t="s">
        <v>2406</v>
      </c>
      <c r="B2348">
        <f>IF(ISNUMBER(SEARCH(Form!$C$11,Tabel2[[#This Row],[Coordinate Projection System]])),MAX($B$1:B2347)+1,0)</f>
        <v>2347</v>
      </c>
      <c r="C2348" t="str">
        <f t="shared" si="36"/>
        <v>Puerto Rico / UTM zone 20N</v>
      </c>
    </row>
    <row r="2349" spans="1:3" x14ac:dyDescent="0.3">
      <c r="A2349" t="s">
        <v>2407</v>
      </c>
      <c r="B2349">
        <f>IF(ISNUMBER(SEARCH(Form!$C$11,Tabel2[[#This Row],[Coordinate Projection System]])),MAX($B$1:B2348)+1,0)</f>
        <v>2348</v>
      </c>
      <c r="C2349" t="str">
        <f t="shared" si="36"/>
        <v>RGF93 / CC42</v>
      </c>
    </row>
    <row r="2350" spans="1:3" x14ac:dyDescent="0.3">
      <c r="A2350" t="s">
        <v>2408</v>
      </c>
      <c r="B2350">
        <f>IF(ISNUMBER(SEARCH(Form!$C$11,Tabel2[[#This Row],[Coordinate Projection System]])),MAX($B$1:B2349)+1,0)</f>
        <v>2349</v>
      </c>
      <c r="C2350" t="str">
        <f t="shared" si="36"/>
        <v>RGF93 / CC43</v>
      </c>
    </row>
    <row r="2351" spans="1:3" x14ac:dyDescent="0.3">
      <c r="A2351" t="s">
        <v>2409</v>
      </c>
      <c r="B2351">
        <f>IF(ISNUMBER(SEARCH(Form!$C$11,Tabel2[[#This Row],[Coordinate Projection System]])),MAX($B$1:B2350)+1,0)</f>
        <v>2350</v>
      </c>
      <c r="C2351" t="str">
        <f t="shared" si="36"/>
        <v>RGF93 / CC44</v>
      </c>
    </row>
    <row r="2352" spans="1:3" x14ac:dyDescent="0.3">
      <c r="A2352" t="s">
        <v>2410</v>
      </c>
      <c r="B2352">
        <f>IF(ISNUMBER(SEARCH(Form!$C$11,Tabel2[[#This Row],[Coordinate Projection System]])),MAX($B$1:B2351)+1,0)</f>
        <v>2351</v>
      </c>
      <c r="C2352" t="str">
        <f t="shared" si="36"/>
        <v>RGF93 / CC45</v>
      </c>
    </row>
    <row r="2353" spans="1:3" x14ac:dyDescent="0.3">
      <c r="A2353" t="s">
        <v>2411</v>
      </c>
      <c r="B2353">
        <f>IF(ISNUMBER(SEARCH(Form!$C$11,Tabel2[[#This Row],[Coordinate Projection System]])),MAX($B$1:B2352)+1,0)</f>
        <v>2352</v>
      </c>
      <c r="C2353" t="str">
        <f t="shared" si="36"/>
        <v>RGF93 / CC46</v>
      </c>
    </row>
    <row r="2354" spans="1:3" x14ac:dyDescent="0.3">
      <c r="A2354" t="s">
        <v>2412</v>
      </c>
      <c r="B2354">
        <f>IF(ISNUMBER(SEARCH(Form!$C$11,Tabel2[[#This Row],[Coordinate Projection System]])),MAX($B$1:B2353)+1,0)</f>
        <v>2353</v>
      </c>
      <c r="C2354" t="str">
        <f t="shared" si="36"/>
        <v>RGF93 / CC47</v>
      </c>
    </row>
    <row r="2355" spans="1:3" x14ac:dyDescent="0.3">
      <c r="A2355" t="s">
        <v>2413</v>
      </c>
      <c r="B2355">
        <f>IF(ISNUMBER(SEARCH(Form!$C$11,Tabel2[[#This Row],[Coordinate Projection System]])),MAX($B$1:B2354)+1,0)</f>
        <v>2354</v>
      </c>
      <c r="C2355" t="str">
        <f t="shared" si="36"/>
        <v>RGF93 / CC48</v>
      </c>
    </row>
    <row r="2356" spans="1:3" x14ac:dyDescent="0.3">
      <c r="A2356" t="s">
        <v>2414</v>
      </c>
      <c r="B2356">
        <f>IF(ISNUMBER(SEARCH(Form!$C$11,Tabel2[[#This Row],[Coordinate Projection System]])),MAX($B$1:B2355)+1,0)</f>
        <v>2355</v>
      </c>
      <c r="C2356" t="str">
        <f t="shared" si="36"/>
        <v>RGF93 / CC49</v>
      </c>
    </row>
    <row r="2357" spans="1:3" x14ac:dyDescent="0.3">
      <c r="A2357" t="s">
        <v>2415</v>
      </c>
      <c r="B2357">
        <f>IF(ISNUMBER(SEARCH(Form!$C$11,Tabel2[[#This Row],[Coordinate Projection System]])),MAX($B$1:B2356)+1,0)</f>
        <v>2356</v>
      </c>
      <c r="C2357" t="str">
        <f t="shared" si="36"/>
        <v>RGF93 / CC50</v>
      </c>
    </row>
    <row r="2358" spans="1:3" x14ac:dyDescent="0.3">
      <c r="A2358" t="s">
        <v>2416</v>
      </c>
      <c r="B2358">
        <f>IF(ISNUMBER(SEARCH(Form!$C$11,Tabel2[[#This Row],[Coordinate Projection System]])),MAX($B$1:B2357)+1,0)</f>
        <v>2357</v>
      </c>
      <c r="C2358" t="str">
        <f t="shared" si="36"/>
        <v>NAD83 / Virginia Lambert</v>
      </c>
    </row>
    <row r="2359" spans="1:3" x14ac:dyDescent="0.3">
      <c r="A2359" t="s">
        <v>2417</v>
      </c>
      <c r="B2359">
        <f>IF(ISNUMBER(SEARCH(Form!$C$11,Tabel2[[#This Row],[Coordinate Projection System]])),MAX($B$1:B2358)+1,0)</f>
        <v>2358</v>
      </c>
      <c r="C2359" t="str">
        <f t="shared" si="36"/>
        <v>NAD83(HARN) / Virginia Lambert</v>
      </c>
    </row>
    <row r="2360" spans="1:3" x14ac:dyDescent="0.3">
      <c r="A2360" t="s">
        <v>2418</v>
      </c>
      <c r="B2360">
        <f>IF(ISNUMBER(SEARCH(Form!$C$11,Tabel2[[#This Row],[Coordinate Projection System]])),MAX($B$1:B2359)+1,0)</f>
        <v>2359</v>
      </c>
      <c r="C2360" t="str">
        <f t="shared" si="36"/>
        <v>NAD83(NSRS2007) / Virginia Lambert</v>
      </c>
    </row>
    <row r="2361" spans="1:3" x14ac:dyDescent="0.3">
      <c r="A2361" t="s">
        <v>2419</v>
      </c>
      <c r="B2361">
        <f>IF(ISNUMBER(SEARCH(Form!$C$11,Tabel2[[#This Row],[Coordinate Projection System]])),MAX($B$1:B2360)+1,0)</f>
        <v>2360</v>
      </c>
      <c r="C2361" t="str">
        <f t="shared" si="36"/>
        <v>WGS 84 / NSIDC EASE-Grid North (deprecated)</v>
      </c>
    </row>
    <row r="2362" spans="1:3" x14ac:dyDescent="0.3">
      <c r="A2362" t="s">
        <v>2420</v>
      </c>
      <c r="B2362">
        <f>IF(ISNUMBER(SEARCH(Form!$C$11,Tabel2[[#This Row],[Coordinate Projection System]])),MAX($B$1:B2361)+1,0)</f>
        <v>2361</v>
      </c>
      <c r="C2362" t="str">
        <f t="shared" si="36"/>
        <v>WGS 84 / NSIDC EASE-Grid South (deprecated)</v>
      </c>
    </row>
    <row r="2363" spans="1:3" x14ac:dyDescent="0.3">
      <c r="A2363" t="s">
        <v>2421</v>
      </c>
      <c r="B2363">
        <f>IF(ISNUMBER(SEARCH(Form!$C$11,Tabel2[[#This Row],[Coordinate Projection System]])),MAX($B$1:B2362)+1,0)</f>
        <v>2362</v>
      </c>
      <c r="C2363" t="str">
        <f t="shared" si="36"/>
        <v>WGS 84 / NSIDC EASE-Grid Global (deprecated)</v>
      </c>
    </row>
    <row r="2364" spans="1:3" x14ac:dyDescent="0.3">
      <c r="A2364" t="s">
        <v>2422</v>
      </c>
      <c r="B2364">
        <f>IF(ISNUMBER(SEARCH(Form!$C$11,Tabel2[[#This Row],[Coordinate Projection System]])),MAX($B$1:B2363)+1,0)</f>
        <v>2363</v>
      </c>
      <c r="C2364" t="str">
        <f t="shared" si="36"/>
        <v>WGS 84 / NSIDC Sea Ice Polar Stereographic South</v>
      </c>
    </row>
    <row r="2365" spans="1:3" x14ac:dyDescent="0.3">
      <c r="A2365" t="s">
        <v>2423</v>
      </c>
      <c r="B2365">
        <f>IF(ISNUMBER(SEARCH(Form!$C$11,Tabel2[[#This Row],[Coordinate Projection System]])),MAX($B$1:B2364)+1,0)</f>
        <v>2364</v>
      </c>
      <c r="C2365" t="str">
        <f t="shared" si="36"/>
        <v>NAD83 / Canada Atlas Lambert</v>
      </c>
    </row>
    <row r="2366" spans="1:3" x14ac:dyDescent="0.3">
      <c r="A2366" t="s">
        <v>2424</v>
      </c>
      <c r="B2366">
        <f>IF(ISNUMBER(SEARCH(Form!$C$11,Tabel2[[#This Row],[Coordinate Projection System]])),MAX($B$1:B2365)+1,0)</f>
        <v>2365</v>
      </c>
      <c r="C2366" t="str">
        <f t="shared" si="36"/>
        <v>NAD83(CSRS) / Canada Atlas Lambert</v>
      </c>
    </row>
    <row r="2367" spans="1:3" x14ac:dyDescent="0.3">
      <c r="A2367" t="s">
        <v>1863</v>
      </c>
      <c r="B2367">
        <f>IF(ISNUMBER(SEARCH(Form!$C$11,Tabel2[[#This Row],[Coordinate Projection System]])),MAX($B$1:B2366)+1,0)</f>
        <v>2366</v>
      </c>
      <c r="C2367" t="str">
        <f t="shared" si="36"/>
        <v>Katanga 1955 / Katanga Lambert (deprecated)</v>
      </c>
    </row>
    <row r="2368" spans="1:3" x14ac:dyDescent="0.3">
      <c r="A2368" t="s">
        <v>2425</v>
      </c>
      <c r="B2368">
        <f>IF(ISNUMBER(SEARCH(Form!$C$11,Tabel2[[#This Row],[Coordinate Projection System]])),MAX($B$1:B2367)+1,0)</f>
        <v>2367</v>
      </c>
      <c r="C2368" t="str">
        <f t="shared" si="36"/>
        <v>Katanga 1955 / Katanga Gauss zone A</v>
      </c>
    </row>
    <row r="2369" spans="1:3" x14ac:dyDescent="0.3">
      <c r="A2369" t="s">
        <v>2426</v>
      </c>
      <c r="B2369">
        <f>IF(ISNUMBER(SEARCH(Form!$C$11,Tabel2[[#This Row],[Coordinate Projection System]])),MAX($B$1:B2368)+1,0)</f>
        <v>2368</v>
      </c>
      <c r="C2369" t="str">
        <f t="shared" si="36"/>
        <v>Katanga 1955 / Katanga Gauss zone B</v>
      </c>
    </row>
    <row r="2370" spans="1:3" x14ac:dyDescent="0.3">
      <c r="A2370" t="s">
        <v>2427</v>
      </c>
      <c r="B2370">
        <f>IF(ISNUMBER(SEARCH(Form!$C$11,Tabel2[[#This Row],[Coordinate Projection System]])),MAX($B$1:B2369)+1,0)</f>
        <v>2369</v>
      </c>
      <c r="C2370" t="str">
        <f t="shared" si="36"/>
        <v>Katanga 1955 / Katanga Gauss zone C</v>
      </c>
    </row>
    <row r="2371" spans="1:3" x14ac:dyDescent="0.3">
      <c r="A2371" t="s">
        <v>2428</v>
      </c>
      <c r="B2371">
        <f>IF(ISNUMBER(SEARCH(Form!$C$11,Tabel2[[#This Row],[Coordinate Projection System]])),MAX($B$1:B2370)+1,0)</f>
        <v>2370</v>
      </c>
      <c r="C2371" t="str">
        <f t="shared" ref="C2371:C2434" si="37">_xlfn.IFNA(INDEX(A2371:A7882,MATCH(ROW(C2370),B2371:B7882,0)),"")</f>
        <v>Katanga 1955 / Katanga Gauss zone D</v>
      </c>
    </row>
    <row r="2372" spans="1:3" x14ac:dyDescent="0.3">
      <c r="A2372" t="s">
        <v>2429</v>
      </c>
      <c r="B2372">
        <f>IF(ISNUMBER(SEARCH(Form!$C$11,Tabel2[[#This Row],[Coordinate Projection System]])),MAX($B$1:B2371)+1,0)</f>
        <v>2371</v>
      </c>
      <c r="C2372" t="str">
        <f t="shared" si="37"/>
        <v>Puerto Rico State Plane CS of 1927</v>
      </c>
    </row>
    <row r="2373" spans="1:3" x14ac:dyDescent="0.3">
      <c r="A2373" t="s">
        <v>2430</v>
      </c>
      <c r="B2373">
        <f>IF(ISNUMBER(SEARCH(Form!$C$11,Tabel2[[#This Row],[Coordinate Projection System]])),MAX($B$1:B2372)+1,0)</f>
        <v>2372</v>
      </c>
      <c r="C2373" t="str">
        <f t="shared" si="37"/>
        <v>Puerto Rico / St. Croix</v>
      </c>
    </row>
    <row r="2374" spans="1:3" x14ac:dyDescent="0.3">
      <c r="A2374" t="s">
        <v>2431</v>
      </c>
      <c r="B2374">
        <f>IF(ISNUMBER(SEARCH(Form!$C$11,Tabel2[[#This Row],[Coordinate Projection System]])),MAX($B$1:B2373)+1,0)</f>
        <v>2373</v>
      </c>
      <c r="C2374" t="str">
        <f t="shared" si="37"/>
        <v>Guam 1963 / Guam SPCSUnable to translate coordinate system EPSG:3993 into PROJ.4 format.</v>
      </c>
    </row>
    <row r="2375" spans="1:3" x14ac:dyDescent="0.3">
      <c r="A2375" t="s">
        <v>2432</v>
      </c>
      <c r="B2375">
        <f>IF(ISNUMBER(SEARCH(Form!$C$11,Tabel2[[#This Row],[Coordinate Projection System]])),MAX($B$1:B2374)+1,0)</f>
        <v>2374</v>
      </c>
      <c r="C2375" t="str">
        <f t="shared" si="37"/>
        <v>WGS 84 / Mercator 41</v>
      </c>
    </row>
    <row r="2376" spans="1:3" x14ac:dyDescent="0.3">
      <c r="A2376" t="s">
        <v>2433</v>
      </c>
      <c r="B2376">
        <f>IF(ISNUMBER(SEARCH(Form!$C$11,Tabel2[[#This Row],[Coordinate Projection System]])),MAX($B$1:B2375)+1,0)</f>
        <v>2375</v>
      </c>
      <c r="C2376" t="str">
        <f t="shared" si="37"/>
        <v>WGS 84 / Arctic Polar Stereographic</v>
      </c>
    </row>
    <row r="2377" spans="1:3" x14ac:dyDescent="0.3">
      <c r="A2377" t="s">
        <v>2434</v>
      </c>
      <c r="B2377">
        <f>IF(ISNUMBER(SEARCH(Form!$C$11,Tabel2[[#This Row],[Coordinate Projection System]])),MAX($B$1:B2376)+1,0)</f>
        <v>2376</v>
      </c>
      <c r="C2377" t="str">
        <f t="shared" si="37"/>
        <v>WGS 84 / IBCAO Polar Stereographic</v>
      </c>
    </row>
    <row r="2378" spans="1:3" x14ac:dyDescent="0.3">
      <c r="A2378" t="s">
        <v>2435</v>
      </c>
      <c r="B2378">
        <f>IF(ISNUMBER(SEARCH(Form!$C$11,Tabel2[[#This Row],[Coordinate Projection System]])),MAX($B$1:B2377)+1,0)</f>
        <v>2377</v>
      </c>
      <c r="C2378" t="str">
        <f t="shared" si="37"/>
        <v>WGS 84 / Dubai Local TM</v>
      </c>
    </row>
    <row r="2379" spans="1:3" x14ac:dyDescent="0.3">
      <c r="A2379" t="s">
        <v>2436</v>
      </c>
      <c r="B2379">
        <f>IF(ISNUMBER(SEARCH(Form!$C$11,Tabel2[[#This Row],[Coordinate Projection System]])),MAX($B$1:B2378)+1,0)</f>
        <v>2378</v>
      </c>
      <c r="C2379" t="str">
        <f t="shared" si="37"/>
        <v>MOLDREF99 / Moldova TM</v>
      </c>
    </row>
    <row r="2380" spans="1:3" x14ac:dyDescent="0.3">
      <c r="A2380" t="s">
        <v>2437</v>
      </c>
      <c r="B2380">
        <f>IF(ISNUMBER(SEARCH(Form!$C$11,Tabel2[[#This Row],[Coordinate Projection System]])),MAX($B$1:B2379)+1,0)</f>
        <v>2379</v>
      </c>
      <c r="C2380" t="str">
        <f t="shared" si="37"/>
        <v>WGS 84 / TMzn35N</v>
      </c>
    </row>
    <row r="2381" spans="1:3" x14ac:dyDescent="0.3">
      <c r="A2381" t="s">
        <v>2438</v>
      </c>
      <c r="B2381">
        <f>IF(ISNUMBER(SEARCH(Form!$C$11,Tabel2[[#This Row],[Coordinate Projection System]])),MAX($B$1:B2380)+1,0)</f>
        <v>2380</v>
      </c>
      <c r="C2381" t="str">
        <f t="shared" si="37"/>
        <v>WGS 84 / TMzn36N</v>
      </c>
    </row>
    <row r="2382" spans="1:3" x14ac:dyDescent="0.3">
      <c r="A2382" t="s">
        <v>2439</v>
      </c>
      <c r="B2382">
        <f>IF(ISNUMBER(SEARCH(Form!$C$11,Tabel2[[#This Row],[Coordinate Projection System]])),MAX($B$1:B2381)+1,0)</f>
        <v>2381</v>
      </c>
      <c r="C2382" t="str">
        <f t="shared" si="37"/>
        <v>RGRDC 2005 / Congo TM zone 12</v>
      </c>
    </row>
    <row r="2383" spans="1:3" x14ac:dyDescent="0.3">
      <c r="A2383" t="s">
        <v>2440</v>
      </c>
      <c r="B2383">
        <f>IF(ISNUMBER(SEARCH(Form!$C$11,Tabel2[[#This Row],[Coordinate Projection System]])),MAX($B$1:B2382)+1,0)</f>
        <v>2382</v>
      </c>
      <c r="C2383" t="str">
        <f t="shared" si="37"/>
        <v>RGRDC 2005 / Congo TM zone 14</v>
      </c>
    </row>
    <row r="2384" spans="1:3" x14ac:dyDescent="0.3">
      <c r="A2384" t="s">
        <v>2441</v>
      </c>
      <c r="B2384">
        <f>IF(ISNUMBER(SEARCH(Form!$C$11,Tabel2[[#This Row],[Coordinate Projection System]])),MAX($B$1:B2383)+1,0)</f>
        <v>2383</v>
      </c>
      <c r="C2384" t="str">
        <f t="shared" si="37"/>
        <v>RGRDC 2005 / Congo TM zone 16</v>
      </c>
    </row>
    <row r="2385" spans="1:3" x14ac:dyDescent="0.3">
      <c r="A2385" t="s">
        <v>2442</v>
      </c>
      <c r="B2385">
        <f>IF(ISNUMBER(SEARCH(Form!$C$11,Tabel2[[#This Row],[Coordinate Projection System]])),MAX($B$1:B2384)+1,0)</f>
        <v>2384</v>
      </c>
      <c r="C2385" t="str">
        <f t="shared" si="37"/>
        <v>RGRDC 2005 / Congo TM zone 18</v>
      </c>
    </row>
    <row r="2386" spans="1:3" x14ac:dyDescent="0.3">
      <c r="A2386" t="s">
        <v>2443</v>
      </c>
      <c r="B2386">
        <f>IF(ISNUMBER(SEARCH(Form!$C$11,Tabel2[[#This Row],[Coordinate Projection System]])),MAX($B$1:B2385)+1,0)</f>
        <v>2385</v>
      </c>
      <c r="C2386" t="str">
        <f t="shared" si="37"/>
        <v>RGRDC 2005 / Congo TM zone 20</v>
      </c>
    </row>
    <row r="2387" spans="1:3" x14ac:dyDescent="0.3">
      <c r="A2387" t="s">
        <v>2444</v>
      </c>
      <c r="B2387">
        <f>IF(ISNUMBER(SEARCH(Form!$C$11,Tabel2[[#This Row],[Coordinate Projection System]])),MAX($B$1:B2386)+1,0)</f>
        <v>2386</v>
      </c>
      <c r="C2387" t="str">
        <f t="shared" si="37"/>
        <v>RGRDC 2005 / Congo TM zone 22</v>
      </c>
    </row>
    <row r="2388" spans="1:3" x14ac:dyDescent="0.3">
      <c r="A2388" t="s">
        <v>2445</v>
      </c>
      <c r="B2388">
        <f>IF(ISNUMBER(SEARCH(Form!$C$11,Tabel2[[#This Row],[Coordinate Projection System]])),MAX($B$1:B2387)+1,0)</f>
        <v>2387</v>
      </c>
      <c r="C2388" t="str">
        <f t="shared" si="37"/>
        <v>RGRDC 2005 / Congo TM zone 24</v>
      </c>
    </row>
    <row r="2389" spans="1:3" x14ac:dyDescent="0.3">
      <c r="A2389" t="s">
        <v>2446</v>
      </c>
      <c r="B2389">
        <f>IF(ISNUMBER(SEARCH(Form!$C$11,Tabel2[[#This Row],[Coordinate Projection System]])),MAX($B$1:B2388)+1,0)</f>
        <v>2388</v>
      </c>
      <c r="C2389" t="str">
        <f t="shared" si="37"/>
        <v>RGRDC 2005 / Congo TM zone 26</v>
      </c>
    </row>
    <row r="2390" spans="1:3" x14ac:dyDescent="0.3">
      <c r="A2390" t="s">
        <v>2447</v>
      </c>
      <c r="B2390">
        <f>IF(ISNUMBER(SEARCH(Form!$C$11,Tabel2[[#This Row],[Coordinate Projection System]])),MAX($B$1:B2389)+1,0)</f>
        <v>2389</v>
      </c>
      <c r="C2390" t="str">
        <f t="shared" si="37"/>
        <v>RGRDC 2005 / Congo TM zone 28</v>
      </c>
    </row>
    <row r="2391" spans="1:3" x14ac:dyDescent="0.3">
      <c r="A2391" t="s">
        <v>2448</v>
      </c>
      <c r="B2391">
        <f>IF(ISNUMBER(SEARCH(Form!$C$11,Tabel2[[#This Row],[Coordinate Projection System]])),MAX($B$1:B2390)+1,0)</f>
        <v>2390</v>
      </c>
      <c r="C2391" t="str">
        <f t="shared" si="37"/>
        <v>RGRDC 2005 / UTM zone 33S</v>
      </c>
    </row>
    <row r="2392" spans="1:3" x14ac:dyDescent="0.3">
      <c r="A2392" t="s">
        <v>2449</v>
      </c>
      <c r="B2392">
        <f>IF(ISNUMBER(SEARCH(Form!$C$11,Tabel2[[#This Row],[Coordinate Projection System]])),MAX($B$1:B2391)+1,0)</f>
        <v>2391</v>
      </c>
      <c r="C2392" t="str">
        <f t="shared" si="37"/>
        <v>RGRDC 2005 / UTM zone 34S</v>
      </c>
    </row>
    <row r="2393" spans="1:3" x14ac:dyDescent="0.3">
      <c r="A2393" t="s">
        <v>2450</v>
      </c>
      <c r="B2393">
        <f>IF(ISNUMBER(SEARCH(Form!$C$11,Tabel2[[#This Row],[Coordinate Projection System]])),MAX($B$1:B2392)+1,0)</f>
        <v>2392</v>
      </c>
      <c r="C2393" t="str">
        <f t="shared" si="37"/>
        <v>RGRDC 2005 / UTM zone 35S</v>
      </c>
    </row>
    <row r="2394" spans="1:3" x14ac:dyDescent="0.3">
      <c r="A2394" t="s">
        <v>2451</v>
      </c>
      <c r="B2394">
        <f>IF(ISNUMBER(SEARCH(Form!$C$11,Tabel2[[#This Row],[Coordinate Projection System]])),MAX($B$1:B2393)+1,0)</f>
        <v>2393</v>
      </c>
      <c r="C2394" t="str">
        <f t="shared" si="37"/>
        <v>Chua / UTM zone 23S</v>
      </c>
    </row>
    <row r="2395" spans="1:3" x14ac:dyDescent="0.3">
      <c r="A2395" t="s">
        <v>2452</v>
      </c>
      <c r="B2395">
        <f>IF(ISNUMBER(SEARCH(Form!$C$11,Tabel2[[#This Row],[Coordinate Projection System]])),MAX($B$1:B2394)+1,0)</f>
        <v>2394</v>
      </c>
      <c r="C2395" t="str">
        <f t="shared" si="37"/>
        <v>REGCAN95 / UTM zone 27N</v>
      </c>
    </row>
    <row r="2396" spans="1:3" x14ac:dyDescent="0.3">
      <c r="A2396" t="s">
        <v>2453</v>
      </c>
      <c r="B2396">
        <f>IF(ISNUMBER(SEARCH(Form!$C$11,Tabel2[[#This Row],[Coordinate Projection System]])),MAX($B$1:B2395)+1,0)</f>
        <v>2395</v>
      </c>
      <c r="C2396" t="str">
        <f t="shared" si="37"/>
        <v>REGCAN95 / UTM zone 28N</v>
      </c>
    </row>
    <row r="2397" spans="1:3" x14ac:dyDescent="0.3">
      <c r="A2397" t="s">
        <v>2454</v>
      </c>
      <c r="B2397">
        <f>IF(ISNUMBER(SEARCH(Form!$C$11,Tabel2[[#This Row],[Coordinate Projection System]])),MAX($B$1:B2396)+1,0)</f>
        <v>2396</v>
      </c>
      <c r="C2397" t="str">
        <f t="shared" si="37"/>
        <v>WGS 84 / World Equidistant Cylindrical</v>
      </c>
    </row>
    <row r="2398" spans="1:3" x14ac:dyDescent="0.3">
      <c r="A2398" t="s">
        <v>2455</v>
      </c>
      <c r="B2398">
        <f>IF(ISNUMBER(SEARCH(Form!$C$11,Tabel2[[#This Row],[Coordinate Projection System]])),MAX($B$1:B2397)+1,0)</f>
        <v>2397</v>
      </c>
      <c r="C2398" t="str">
        <f t="shared" si="37"/>
        <v>World Equidistant Cylindrical (Sphere)</v>
      </c>
    </row>
    <row r="2399" spans="1:3" x14ac:dyDescent="0.3">
      <c r="A2399" t="s">
        <v>2456</v>
      </c>
      <c r="B2399">
        <f>IF(ISNUMBER(SEARCH(Form!$C$11,Tabel2[[#This Row],[Coordinate Projection System]])),MAX($B$1:B2398)+1,0)</f>
        <v>2398</v>
      </c>
      <c r="C2399" t="str">
        <f t="shared" si="37"/>
        <v>ETRS89 / DKTM1</v>
      </c>
    </row>
    <row r="2400" spans="1:3" x14ac:dyDescent="0.3">
      <c r="A2400" t="s">
        <v>2457</v>
      </c>
      <c r="B2400">
        <f>IF(ISNUMBER(SEARCH(Form!$C$11,Tabel2[[#This Row],[Coordinate Projection System]])),MAX($B$1:B2399)+1,0)</f>
        <v>2399</v>
      </c>
      <c r="C2400" t="str">
        <f t="shared" si="37"/>
        <v>ETRS89 / DKTM2</v>
      </c>
    </row>
    <row r="2401" spans="1:3" x14ac:dyDescent="0.3">
      <c r="A2401" t="s">
        <v>2458</v>
      </c>
      <c r="B2401">
        <f>IF(ISNUMBER(SEARCH(Form!$C$11,Tabel2[[#This Row],[Coordinate Projection System]])),MAX($B$1:B2400)+1,0)</f>
        <v>2400</v>
      </c>
      <c r="C2401" t="str">
        <f t="shared" si="37"/>
        <v>ETRS89 / DKTM3</v>
      </c>
    </row>
    <row r="2402" spans="1:3" x14ac:dyDescent="0.3">
      <c r="A2402" t="s">
        <v>2459</v>
      </c>
      <c r="B2402">
        <f>IF(ISNUMBER(SEARCH(Form!$C$11,Tabel2[[#This Row],[Coordinate Projection System]])),MAX($B$1:B2401)+1,0)</f>
        <v>2401</v>
      </c>
      <c r="C2402" t="str">
        <f t="shared" si="37"/>
        <v>ETRS89 / DKTM4</v>
      </c>
    </row>
    <row r="2403" spans="1:3" x14ac:dyDescent="0.3">
      <c r="A2403" t="s">
        <v>2460</v>
      </c>
      <c r="B2403">
        <f>IF(ISNUMBER(SEARCH(Form!$C$11,Tabel2[[#This Row],[Coordinate Projection System]])),MAX($B$1:B2402)+1,0)</f>
        <v>2402</v>
      </c>
      <c r="C2403" t="str">
        <f t="shared" si="37"/>
        <v>NAD83 / BLM 59N (ftUS)</v>
      </c>
    </row>
    <row r="2404" spans="1:3" x14ac:dyDescent="0.3">
      <c r="A2404" t="s">
        <v>2461</v>
      </c>
      <c r="B2404">
        <f>IF(ISNUMBER(SEARCH(Form!$C$11,Tabel2[[#This Row],[Coordinate Projection System]])),MAX($B$1:B2403)+1,0)</f>
        <v>2403</v>
      </c>
      <c r="C2404" t="str">
        <f t="shared" si="37"/>
        <v>Kertau 1968 / Johor Grid</v>
      </c>
    </row>
    <row r="2405" spans="1:3" x14ac:dyDescent="0.3">
      <c r="A2405" t="s">
        <v>2462</v>
      </c>
      <c r="B2405">
        <f>IF(ISNUMBER(SEARCH(Form!$C$11,Tabel2[[#This Row],[Coordinate Projection System]])),MAX($B$1:B2404)+1,0)</f>
        <v>2404</v>
      </c>
      <c r="C2405" t="str">
        <f t="shared" si="37"/>
        <v>Kertau 1968 / Sembilan and Melaka Grid</v>
      </c>
    </row>
    <row r="2406" spans="1:3" x14ac:dyDescent="0.3">
      <c r="A2406" t="s">
        <v>2463</v>
      </c>
      <c r="B2406">
        <f>IF(ISNUMBER(SEARCH(Form!$C$11,Tabel2[[#This Row],[Coordinate Projection System]])),MAX($B$1:B2405)+1,0)</f>
        <v>2405</v>
      </c>
      <c r="C2406" t="str">
        <f t="shared" si="37"/>
        <v>Kertau 1968 / Pahang Grid</v>
      </c>
    </row>
    <row r="2407" spans="1:3" x14ac:dyDescent="0.3">
      <c r="A2407" t="s">
        <v>2464</v>
      </c>
      <c r="B2407">
        <f>IF(ISNUMBER(SEARCH(Form!$C$11,Tabel2[[#This Row],[Coordinate Projection System]])),MAX($B$1:B2406)+1,0)</f>
        <v>2406</v>
      </c>
      <c r="C2407" t="str">
        <f t="shared" si="37"/>
        <v>Kertau 1968 / Selangor Grid</v>
      </c>
    </row>
    <row r="2408" spans="1:3" x14ac:dyDescent="0.3">
      <c r="A2408" t="s">
        <v>2465</v>
      </c>
      <c r="B2408">
        <f>IF(ISNUMBER(SEARCH(Form!$C$11,Tabel2[[#This Row],[Coordinate Projection System]])),MAX($B$1:B2407)+1,0)</f>
        <v>2407</v>
      </c>
      <c r="C2408" t="str">
        <f t="shared" si="37"/>
        <v>Kertau 1968 / Terengganu Grid</v>
      </c>
    </row>
    <row r="2409" spans="1:3" x14ac:dyDescent="0.3">
      <c r="A2409" t="s">
        <v>2466</v>
      </c>
      <c r="B2409">
        <f>IF(ISNUMBER(SEARCH(Form!$C$11,Tabel2[[#This Row],[Coordinate Projection System]])),MAX($B$1:B2408)+1,0)</f>
        <v>2408</v>
      </c>
      <c r="C2409" t="str">
        <f t="shared" si="37"/>
        <v>Kertau 1968 / Pinang Grid</v>
      </c>
    </row>
    <row r="2410" spans="1:3" x14ac:dyDescent="0.3">
      <c r="A2410" t="s">
        <v>2467</v>
      </c>
      <c r="B2410">
        <f>IF(ISNUMBER(SEARCH(Form!$C$11,Tabel2[[#This Row],[Coordinate Projection System]])),MAX($B$1:B2409)+1,0)</f>
        <v>2409</v>
      </c>
      <c r="C2410" t="str">
        <f t="shared" si="37"/>
        <v>Kertau 1968 / Kedah and Perlis Grid</v>
      </c>
    </row>
    <row r="2411" spans="1:3" x14ac:dyDescent="0.3">
      <c r="A2411" t="s">
        <v>2468</v>
      </c>
      <c r="B2411">
        <f>IF(ISNUMBER(SEARCH(Form!$C$11,Tabel2[[#This Row],[Coordinate Projection System]])),MAX($B$1:B2410)+1,0)</f>
        <v>2410</v>
      </c>
      <c r="C2411" t="str">
        <f t="shared" si="37"/>
        <v>Kertau 1968 / Perak Revised Grid</v>
      </c>
    </row>
    <row r="2412" spans="1:3" x14ac:dyDescent="0.3">
      <c r="A2412" t="s">
        <v>2469</v>
      </c>
      <c r="B2412">
        <f>IF(ISNUMBER(SEARCH(Form!$C$11,Tabel2[[#This Row],[Coordinate Projection System]])),MAX($B$1:B2411)+1,0)</f>
        <v>2411</v>
      </c>
      <c r="C2412" t="str">
        <f t="shared" si="37"/>
        <v>Kertau 1968 / Kelantan Grid</v>
      </c>
    </row>
    <row r="2413" spans="1:3" x14ac:dyDescent="0.3">
      <c r="A2413" t="s">
        <v>2470</v>
      </c>
      <c r="B2413">
        <f>IF(ISNUMBER(SEARCH(Form!$C$11,Tabel2[[#This Row],[Coordinate Projection System]])),MAX($B$1:B2412)+1,0)</f>
        <v>2412</v>
      </c>
      <c r="C2413" t="str">
        <f t="shared" si="37"/>
        <v>NAD27 / BLM 59N (ftUS)</v>
      </c>
    </row>
    <row r="2414" spans="1:3" x14ac:dyDescent="0.3">
      <c r="A2414" t="s">
        <v>2471</v>
      </c>
      <c r="B2414">
        <f>IF(ISNUMBER(SEARCH(Form!$C$11,Tabel2[[#This Row],[Coordinate Projection System]])),MAX($B$1:B2413)+1,0)</f>
        <v>2413</v>
      </c>
      <c r="C2414" t="str">
        <f t="shared" si="37"/>
        <v>NAD27 / BLM 60N (ftUS)</v>
      </c>
    </row>
    <row r="2415" spans="1:3" x14ac:dyDescent="0.3">
      <c r="A2415" t="s">
        <v>2472</v>
      </c>
      <c r="B2415">
        <f>IF(ISNUMBER(SEARCH(Form!$C$11,Tabel2[[#This Row],[Coordinate Projection System]])),MAX($B$1:B2414)+1,0)</f>
        <v>2414</v>
      </c>
      <c r="C2415" t="str">
        <f t="shared" si="37"/>
        <v>NAD27 / BLM 1N (ftUS)</v>
      </c>
    </row>
    <row r="2416" spans="1:3" x14ac:dyDescent="0.3">
      <c r="A2416" t="s">
        <v>2473</v>
      </c>
      <c r="B2416">
        <f>IF(ISNUMBER(SEARCH(Form!$C$11,Tabel2[[#This Row],[Coordinate Projection System]])),MAX($B$1:B2415)+1,0)</f>
        <v>2415</v>
      </c>
      <c r="C2416" t="str">
        <f t="shared" si="37"/>
        <v>NAD27 / BLM 2N (ftUS)</v>
      </c>
    </row>
    <row r="2417" spans="1:3" x14ac:dyDescent="0.3">
      <c r="A2417" t="s">
        <v>2474</v>
      </c>
      <c r="B2417">
        <f>IF(ISNUMBER(SEARCH(Form!$C$11,Tabel2[[#This Row],[Coordinate Projection System]])),MAX($B$1:B2416)+1,0)</f>
        <v>2416</v>
      </c>
      <c r="C2417" t="str">
        <f t="shared" si="37"/>
        <v>NAD27 / BLM 3N (ftUS)</v>
      </c>
    </row>
    <row r="2418" spans="1:3" x14ac:dyDescent="0.3">
      <c r="A2418" t="s">
        <v>2475</v>
      </c>
      <c r="B2418">
        <f>IF(ISNUMBER(SEARCH(Form!$C$11,Tabel2[[#This Row],[Coordinate Projection System]])),MAX($B$1:B2417)+1,0)</f>
        <v>2417</v>
      </c>
      <c r="C2418" t="str">
        <f t="shared" si="37"/>
        <v>NAD27 / BLM 4N (ftUS)</v>
      </c>
    </row>
    <row r="2419" spans="1:3" x14ac:dyDescent="0.3">
      <c r="A2419" t="s">
        <v>2476</v>
      </c>
      <c r="B2419">
        <f>IF(ISNUMBER(SEARCH(Form!$C$11,Tabel2[[#This Row],[Coordinate Projection System]])),MAX($B$1:B2418)+1,0)</f>
        <v>2418</v>
      </c>
      <c r="C2419" t="str">
        <f t="shared" si="37"/>
        <v>NAD27 / BLM 5N (ftUS)</v>
      </c>
    </row>
    <row r="2420" spans="1:3" x14ac:dyDescent="0.3">
      <c r="A2420" t="s">
        <v>2477</v>
      </c>
      <c r="B2420">
        <f>IF(ISNUMBER(SEARCH(Form!$C$11,Tabel2[[#This Row],[Coordinate Projection System]])),MAX($B$1:B2419)+1,0)</f>
        <v>2419</v>
      </c>
      <c r="C2420" t="str">
        <f t="shared" si="37"/>
        <v>NAD27 / BLM 6N (ftUS)</v>
      </c>
    </row>
    <row r="2421" spans="1:3" x14ac:dyDescent="0.3">
      <c r="A2421" t="s">
        <v>2478</v>
      </c>
      <c r="B2421">
        <f>IF(ISNUMBER(SEARCH(Form!$C$11,Tabel2[[#This Row],[Coordinate Projection System]])),MAX($B$1:B2420)+1,0)</f>
        <v>2420</v>
      </c>
      <c r="C2421" t="str">
        <f t="shared" si="37"/>
        <v>NAD27 / BLM 7N (ftUS)</v>
      </c>
    </row>
    <row r="2422" spans="1:3" x14ac:dyDescent="0.3">
      <c r="A2422" t="s">
        <v>2479</v>
      </c>
      <c r="B2422">
        <f>IF(ISNUMBER(SEARCH(Form!$C$11,Tabel2[[#This Row],[Coordinate Projection System]])),MAX($B$1:B2421)+1,0)</f>
        <v>2421</v>
      </c>
      <c r="C2422" t="str">
        <f t="shared" si="37"/>
        <v>NAD27 / BLM 8N (ftUS)</v>
      </c>
    </row>
    <row r="2423" spans="1:3" x14ac:dyDescent="0.3">
      <c r="A2423" t="s">
        <v>2480</v>
      </c>
      <c r="B2423">
        <f>IF(ISNUMBER(SEARCH(Form!$C$11,Tabel2[[#This Row],[Coordinate Projection System]])),MAX($B$1:B2422)+1,0)</f>
        <v>2422</v>
      </c>
      <c r="C2423" t="str">
        <f t="shared" si="37"/>
        <v>NAD27 / BLM 9N (ftUS)</v>
      </c>
    </row>
    <row r="2424" spans="1:3" x14ac:dyDescent="0.3">
      <c r="A2424" t="s">
        <v>2481</v>
      </c>
      <c r="B2424">
        <f>IF(ISNUMBER(SEARCH(Form!$C$11,Tabel2[[#This Row],[Coordinate Projection System]])),MAX($B$1:B2423)+1,0)</f>
        <v>2423</v>
      </c>
      <c r="C2424" t="str">
        <f t="shared" si="37"/>
        <v>NAD27 / BLM 10N (ftUS)</v>
      </c>
    </row>
    <row r="2425" spans="1:3" x14ac:dyDescent="0.3">
      <c r="A2425" t="s">
        <v>2482</v>
      </c>
      <c r="B2425">
        <f>IF(ISNUMBER(SEARCH(Form!$C$11,Tabel2[[#This Row],[Coordinate Projection System]])),MAX($B$1:B2424)+1,0)</f>
        <v>2424</v>
      </c>
      <c r="C2425" t="str">
        <f t="shared" si="37"/>
        <v>NAD27 / BLM 11N (ftUS)</v>
      </c>
    </row>
    <row r="2426" spans="1:3" x14ac:dyDescent="0.3">
      <c r="A2426" t="s">
        <v>2483</v>
      </c>
      <c r="B2426">
        <f>IF(ISNUMBER(SEARCH(Form!$C$11,Tabel2[[#This Row],[Coordinate Projection System]])),MAX($B$1:B2425)+1,0)</f>
        <v>2425</v>
      </c>
      <c r="C2426" t="str">
        <f t="shared" si="37"/>
        <v>NAD27 / BLM 12N (ftUS)</v>
      </c>
    </row>
    <row r="2427" spans="1:3" x14ac:dyDescent="0.3">
      <c r="A2427" t="s">
        <v>2484</v>
      </c>
      <c r="B2427">
        <f>IF(ISNUMBER(SEARCH(Form!$C$11,Tabel2[[#This Row],[Coordinate Projection System]])),MAX($B$1:B2426)+1,0)</f>
        <v>2426</v>
      </c>
      <c r="C2427" t="str">
        <f t="shared" si="37"/>
        <v>NAD27 / BLM 13N (ftUS)</v>
      </c>
    </row>
    <row r="2428" spans="1:3" x14ac:dyDescent="0.3">
      <c r="A2428" t="s">
        <v>2485</v>
      </c>
      <c r="B2428">
        <f>IF(ISNUMBER(SEARCH(Form!$C$11,Tabel2[[#This Row],[Coordinate Projection System]])),MAX($B$1:B2427)+1,0)</f>
        <v>2427</v>
      </c>
      <c r="C2428" t="str">
        <f t="shared" si="37"/>
        <v>NAD83(HARN) / Guam Map Grid</v>
      </c>
    </row>
    <row r="2429" spans="1:3" x14ac:dyDescent="0.3">
      <c r="A2429" t="s">
        <v>2486</v>
      </c>
      <c r="B2429">
        <f>IF(ISNUMBER(SEARCH(Form!$C$11,Tabel2[[#This Row],[Coordinate Projection System]])),MAX($B$1:B2428)+1,0)</f>
        <v>2428</v>
      </c>
      <c r="C2429" t="str">
        <f t="shared" si="37"/>
        <v>Katanga 1955 / Katanga Lambert</v>
      </c>
    </row>
    <row r="2430" spans="1:3" x14ac:dyDescent="0.3">
      <c r="A2430" t="s">
        <v>2487</v>
      </c>
      <c r="B2430">
        <f>IF(ISNUMBER(SEARCH(Form!$C$11,Tabel2[[#This Row],[Coordinate Projection System]])),MAX($B$1:B2429)+1,0)</f>
        <v>2429</v>
      </c>
      <c r="C2430" t="str">
        <f t="shared" si="37"/>
        <v>Pulkovo 1942(83) / 3-degree Gauss-Kruger zone 7</v>
      </c>
    </row>
    <row r="2431" spans="1:3" x14ac:dyDescent="0.3">
      <c r="A2431" t="s">
        <v>2488</v>
      </c>
      <c r="B2431">
        <f>IF(ISNUMBER(SEARCH(Form!$C$11,Tabel2[[#This Row],[Coordinate Projection System]])),MAX($B$1:B2430)+1,0)</f>
        <v>2430</v>
      </c>
      <c r="C2431" t="str">
        <f t="shared" si="37"/>
        <v>NAD27 / BLM 18N (ftUS)</v>
      </c>
    </row>
    <row r="2432" spans="1:3" x14ac:dyDescent="0.3">
      <c r="A2432" t="s">
        <v>2489</v>
      </c>
      <c r="B2432">
        <f>IF(ISNUMBER(SEARCH(Form!$C$11,Tabel2[[#This Row],[Coordinate Projection System]])),MAX($B$1:B2431)+1,0)</f>
        <v>2431</v>
      </c>
      <c r="C2432" t="str">
        <f t="shared" si="37"/>
        <v>NAD27 / BLM 19N (ftUS)</v>
      </c>
    </row>
    <row r="2433" spans="1:3" x14ac:dyDescent="0.3">
      <c r="A2433" t="s">
        <v>2490</v>
      </c>
      <c r="B2433">
        <f>IF(ISNUMBER(SEARCH(Form!$C$11,Tabel2[[#This Row],[Coordinate Projection System]])),MAX($B$1:B2432)+1,0)</f>
        <v>2432</v>
      </c>
      <c r="C2433" t="str">
        <f t="shared" si="37"/>
        <v>NAD83 / BLM 60N (ftUS)</v>
      </c>
    </row>
    <row r="2434" spans="1:3" x14ac:dyDescent="0.3">
      <c r="A2434" t="s">
        <v>2491</v>
      </c>
      <c r="B2434">
        <f>IF(ISNUMBER(SEARCH(Form!$C$11,Tabel2[[#This Row],[Coordinate Projection System]])),MAX($B$1:B2433)+1,0)</f>
        <v>2433</v>
      </c>
      <c r="C2434" t="str">
        <f t="shared" si="37"/>
        <v>NAD83 / BLM 1N (ftUS)</v>
      </c>
    </row>
    <row r="2435" spans="1:3" x14ac:dyDescent="0.3">
      <c r="A2435" t="s">
        <v>2492</v>
      </c>
      <c r="B2435">
        <f>IF(ISNUMBER(SEARCH(Form!$C$11,Tabel2[[#This Row],[Coordinate Projection System]])),MAX($B$1:B2434)+1,0)</f>
        <v>2434</v>
      </c>
      <c r="C2435" t="str">
        <f t="shared" ref="C2435:C2498" si="38">_xlfn.IFNA(INDEX(A2435:A7946,MATCH(ROW(C2434),B2435:B7946,0)),"")</f>
        <v>NAD83 / BLM 2N (ftUS)</v>
      </c>
    </row>
    <row r="2436" spans="1:3" x14ac:dyDescent="0.3">
      <c r="A2436" t="s">
        <v>2493</v>
      </c>
      <c r="B2436">
        <f>IF(ISNUMBER(SEARCH(Form!$C$11,Tabel2[[#This Row],[Coordinate Projection System]])),MAX($B$1:B2435)+1,0)</f>
        <v>2435</v>
      </c>
      <c r="C2436" t="str">
        <f t="shared" si="38"/>
        <v>NAD83 / BLM 3N (ftUS)</v>
      </c>
    </row>
    <row r="2437" spans="1:3" x14ac:dyDescent="0.3">
      <c r="A2437" t="s">
        <v>2494</v>
      </c>
      <c r="B2437">
        <f>IF(ISNUMBER(SEARCH(Form!$C$11,Tabel2[[#This Row],[Coordinate Projection System]])),MAX($B$1:B2436)+1,0)</f>
        <v>2436</v>
      </c>
      <c r="C2437" t="str">
        <f t="shared" si="38"/>
        <v>NAD83 / BLM 4N (ftUS)</v>
      </c>
    </row>
    <row r="2438" spans="1:3" x14ac:dyDescent="0.3">
      <c r="A2438" t="s">
        <v>2495</v>
      </c>
      <c r="B2438">
        <f>IF(ISNUMBER(SEARCH(Form!$C$11,Tabel2[[#This Row],[Coordinate Projection System]])),MAX($B$1:B2437)+1,0)</f>
        <v>2437</v>
      </c>
      <c r="C2438" t="str">
        <f t="shared" si="38"/>
        <v>NAD83 / BLM 5N (ftUS)</v>
      </c>
    </row>
    <row r="2439" spans="1:3" x14ac:dyDescent="0.3">
      <c r="A2439" t="s">
        <v>2496</v>
      </c>
      <c r="B2439">
        <f>IF(ISNUMBER(SEARCH(Form!$C$11,Tabel2[[#This Row],[Coordinate Projection System]])),MAX($B$1:B2438)+1,0)</f>
        <v>2438</v>
      </c>
      <c r="C2439" t="str">
        <f t="shared" si="38"/>
        <v>NAD83 / BLM 6N (ftUS)</v>
      </c>
    </row>
    <row r="2440" spans="1:3" x14ac:dyDescent="0.3">
      <c r="A2440" t="s">
        <v>2497</v>
      </c>
      <c r="B2440">
        <f>IF(ISNUMBER(SEARCH(Form!$C$11,Tabel2[[#This Row],[Coordinate Projection System]])),MAX($B$1:B2439)+1,0)</f>
        <v>2439</v>
      </c>
      <c r="C2440" t="str">
        <f t="shared" si="38"/>
        <v>NAD83 / BLM 7N (ftUS)</v>
      </c>
    </row>
    <row r="2441" spans="1:3" x14ac:dyDescent="0.3">
      <c r="A2441" t="s">
        <v>2498</v>
      </c>
      <c r="B2441">
        <f>IF(ISNUMBER(SEARCH(Form!$C$11,Tabel2[[#This Row],[Coordinate Projection System]])),MAX($B$1:B2440)+1,0)</f>
        <v>2440</v>
      </c>
      <c r="C2441" t="str">
        <f t="shared" si="38"/>
        <v>NAD83 / BLM 8N (ftUS)</v>
      </c>
    </row>
    <row r="2442" spans="1:3" x14ac:dyDescent="0.3">
      <c r="A2442" t="s">
        <v>2499</v>
      </c>
      <c r="B2442">
        <f>IF(ISNUMBER(SEARCH(Form!$C$11,Tabel2[[#This Row],[Coordinate Projection System]])),MAX($B$1:B2441)+1,0)</f>
        <v>2441</v>
      </c>
      <c r="C2442" t="str">
        <f t="shared" si="38"/>
        <v>NAD83 / BLM 9N (ftUS)</v>
      </c>
    </row>
    <row r="2443" spans="1:3" x14ac:dyDescent="0.3">
      <c r="A2443" t="s">
        <v>2500</v>
      </c>
      <c r="B2443">
        <f>IF(ISNUMBER(SEARCH(Form!$C$11,Tabel2[[#This Row],[Coordinate Projection System]])),MAX($B$1:B2442)+1,0)</f>
        <v>2442</v>
      </c>
      <c r="C2443" t="str">
        <f t="shared" si="38"/>
        <v>NAD83 / BLM 10N (ftUS)</v>
      </c>
    </row>
    <row r="2444" spans="1:3" x14ac:dyDescent="0.3">
      <c r="A2444" t="s">
        <v>2501</v>
      </c>
      <c r="B2444">
        <f>IF(ISNUMBER(SEARCH(Form!$C$11,Tabel2[[#This Row],[Coordinate Projection System]])),MAX($B$1:B2443)+1,0)</f>
        <v>2443</v>
      </c>
      <c r="C2444" t="str">
        <f t="shared" si="38"/>
        <v>NAD83 / BLM 11N (ftUS)</v>
      </c>
    </row>
    <row r="2445" spans="1:3" x14ac:dyDescent="0.3">
      <c r="A2445" t="s">
        <v>2502</v>
      </c>
      <c r="B2445">
        <f>IF(ISNUMBER(SEARCH(Form!$C$11,Tabel2[[#This Row],[Coordinate Projection System]])),MAX($B$1:B2444)+1,0)</f>
        <v>2444</v>
      </c>
      <c r="C2445" t="str">
        <f t="shared" si="38"/>
        <v>NAD83 / BLM 12N (ftUS)</v>
      </c>
    </row>
    <row r="2446" spans="1:3" x14ac:dyDescent="0.3">
      <c r="A2446" t="s">
        <v>2503</v>
      </c>
      <c r="B2446">
        <f>IF(ISNUMBER(SEARCH(Form!$C$11,Tabel2[[#This Row],[Coordinate Projection System]])),MAX($B$1:B2445)+1,0)</f>
        <v>2445</v>
      </c>
      <c r="C2446" t="str">
        <f t="shared" si="38"/>
        <v>NAD83 / BLM 13N (ftUS)</v>
      </c>
    </row>
    <row r="2447" spans="1:3" x14ac:dyDescent="0.3">
      <c r="A2447" t="s">
        <v>2504</v>
      </c>
      <c r="B2447">
        <f>IF(ISNUMBER(SEARCH(Form!$C$11,Tabel2[[#This Row],[Coordinate Projection System]])),MAX($B$1:B2446)+1,0)</f>
        <v>2446</v>
      </c>
      <c r="C2447" t="str">
        <f t="shared" si="38"/>
        <v>Pulkovo 1942(83) / 3-degree Gauss-Kruger zone 8</v>
      </c>
    </row>
    <row r="2448" spans="1:3" x14ac:dyDescent="0.3">
      <c r="A2448" t="s">
        <v>2505</v>
      </c>
      <c r="B2448">
        <f>IF(ISNUMBER(SEARCH(Form!$C$11,Tabel2[[#This Row],[Coordinate Projection System]])),MAX($B$1:B2447)+1,0)</f>
        <v>2447</v>
      </c>
      <c r="C2448" t="str">
        <f t="shared" si="38"/>
        <v>NAD83(NSRS2007) / Puerto Rico and Virgin Is.</v>
      </c>
    </row>
    <row r="2449" spans="1:3" x14ac:dyDescent="0.3">
      <c r="A2449" t="s">
        <v>2506</v>
      </c>
      <c r="B2449">
        <f>IF(ISNUMBER(SEARCH(Form!$C$11,Tabel2[[#This Row],[Coordinate Projection System]])),MAX($B$1:B2448)+1,0)</f>
        <v>2448</v>
      </c>
      <c r="C2449" t="str">
        <f t="shared" si="38"/>
        <v>NAD83 / BLM 18N (ftUS)</v>
      </c>
    </row>
    <row r="2450" spans="1:3" x14ac:dyDescent="0.3">
      <c r="A2450" t="s">
        <v>2507</v>
      </c>
      <c r="B2450">
        <f>IF(ISNUMBER(SEARCH(Form!$C$11,Tabel2[[#This Row],[Coordinate Projection System]])),MAX($B$1:B2449)+1,0)</f>
        <v>2449</v>
      </c>
      <c r="C2450" t="str">
        <f t="shared" si="38"/>
        <v>NAD83 / BLM 19N (ftUS)</v>
      </c>
    </row>
    <row r="2451" spans="1:3" x14ac:dyDescent="0.3">
      <c r="A2451" t="s">
        <v>2508</v>
      </c>
      <c r="B2451">
        <f>IF(ISNUMBER(SEARCH(Form!$C$11,Tabel2[[#This Row],[Coordinate Projection System]])),MAX($B$1:B2450)+1,0)</f>
        <v>2450</v>
      </c>
      <c r="C2451" t="str">
        <f t="shared" si="38"/>
        <v>NAD27 / Pennsylvania South</v>
      </c>
    </row>
    <row r="2452" spans="1:3" x14ac:dyDescent="0.3">
      <c r="A2452" t="s">
        <v>2509</v>
      </c>
      <c r="B2452">
        <f>IF(ISNUMBER(SEARCH(Form!$C$11,Tabel2[[#This Row],[Coordinate Projection System]])),MAX($B$1:B2451)+1,0)</f>
        <v>2451</v>
      </c>
      <c r="C2452" t="str">
        <f t="shared" si="38"/>
        <v>NAD27 / New York Long Island</v>
      </c>
    </row>
    <row r="2453" spans="1:3" x14ac:dyDescent="0.3">
      <c r="A2453" t="s">
        <v>2510</v>
      </c>
      <c r="B2453">
        <f>IF(ISNUMBER(SEARCH(Form!$C$11,Tabel2[[#This Row],[Coordinate Projection System]])),MAX($B$1:B2452)+1,0)</f>
        <v>2452</v>
      </c>
      <c r="C2453" t="str">
        <f t="shared" si="38"/>
        <v>NAD83 / South Dakota North (ftUS)</v>
      </c>
    </row>
    <row r="2454" spans="1:3" x14ac:dyDescent="0.3">
      <c r="A2454" t="s">
        <v>2511</v>
      </c>
      <c r="B2454">
        <f>IF(ISNUMBER(SEARCH(Form!$C$11,Tabel2[[#This Row],[Coordinate Projection System]])),MAX($B$1:B2453)+1,0)</f>
        <v>2453</v>
      </c>
      <c r="C2454" t="str">
        <f t="shared" si="38"/>
        <v>WGS 84 / Australian Centre for Remote Sensing Lambert</v>
      </c>
    </row>
    <row r="2455" spans="1:3" x14ac:dyDescent="0.3">
      <c r="A2455" t="s">
        <v>2512</v>
      </c>
      <c r="B2455">
        <f>IF(ISNUMBER(SEARCH(Form!$C$11,Tabel2[[#This Row],[Coordinate Projection System]])),MAX($B$1:B2454)+1,0)</f>
        <v>2454</v>
      </c>
      <c r="C2455" t="str">
        <f t="shared" si="38"/>
        <v>RGSPM06 / UTM zone 21N</v>
      </c>
    </row>
    <row r="2456" spans="1:3" x14ac:dyDescent="0.3">
      <c r="A2456" t="s">
        <v>2513</v>
      </c>
      <c r="B2456">
        <f>IF(ISNUMBER(SEARCH(Form!$C$11,Tabel2[[#This Row],[Coordinate Projection System]])),MAX($B$1:B2455)+1,0)</f>
        <v>2455</v>
      </c>
      <c r="C2456" t="str">
        <f t="shared" si="38"/>
        <v>RGM04 / UTM zone 38S</v>
      </c>
    </row>
    <row r="2457" spans="1:3" x14ac:dyDescent="0.3">
      <c r="A2457" t="s">
        <v>2514</v>
      </c>
      <c r="B2457">
        <f>IF(ISNUMBER(SEARCH(Form!$C$11,Tabel2[[#This Row],[Coordinate Projection System]])),MAX($B$1:B2456)+1,0)</f>
        <v>2456</v>
      </c>
      <c r="C2457" t="str">
        <f t="shared" si="38"/>
        <v>Cadastre 1997 / UTM zone 38S (deprecated)</v>
      </c>
    </row>
    <row r="2458" spans="1:3" x14ac:dyDescent="0.3">
      <c r="A2458" t="s">
        <v>2515</v>
      </c>
      <c r="B2458">
        <f>IF(ISNUMBER(SEARCH(Form!$C$11,Tabel2[[#This Row],[Coordinate Projection System]])),MAX($B$1:B2457)+1,0)</f>
        <v>2457</v>
      </c>
      <c r="C2458" t="str">
        <f t="shared" si="38"/>
        <v>Mexico ITRF92 / UTM zone 11N</v>
      </c>
    </row>
    <row r="2459" spans="1:3" x14ac:dyDescent="0.3">
      <c r="A2459" t="s">
        <v>2516</v>
      </c>
      <c r="B2459">
        <f>IF(ISNUMBER(SEARCH(Form!$C$11,Tabel2[[#This Row],[Coordinate Projection System]])),MAX($B$1:B2458)+1,0)</f>
        <v>2458</v>
      </c>
      <c r="C2459" t="str">
        <f t="shared" si="38"/>
        <v>Mexico ITRF92 / UTM zone 12N</v>
      </c>
    </row>
    <row r="2460" spans="1:3" x14ac:dyDescent="0.3">
      <c r="A2460" t="s">
        <v>2517</v>
      </c>
      <c r="B2460">
        <f>IF(ISNUMBER(SEARCH(Form!$C$11,Tabel2[[#This Row],[Coordinate Projection System]])),MAX($B$1:B2459)+1,0)</f>
        <v>2459</v>
      </c>
      <c r="C2460" t="str">
        <f t="shared" si="38"/>
        <v>Mexico ITRF92 / UTM zone 13N</v>
      </c>
    </row>
    <row r="2461" spans="1:3" x14ac:dyDescent="0.3">
      <c r="A2461" t="s">
        <v>2518</v>
      </c>
      <c r="B2461">
        <f>IF(ISNUMBER(SEARCH(Form!$C$11,Tabel2[[#This Row],[Coordinate Projection System]])),MAX($B$1:B2460)+1,0)</f>
        <v>2460</v>
      </c>
      <c r="C2461" t="str">
        <f t="shared" si="38"/>
        <v>Mexico ITRF92 / UTM zone 14N</v>
      </c>
    </row>
    <row r="2462" spans="1:3" x14ac:dyDescent="0.3">
      <c r="A2462" t="s">
        <v>2519</v>
      </c>
      <c r="B2462">
        <f>IF(ISNUMBER(SEARCH(Form!$C$11,Tabel2[[#This Row],[Coordinate Projection System]])),MAX($B$1:B2461)+1,0)</f>
        <v>2461</v>
      </c>
      <c r="C2462" t="str">
        <f t="shared" si="38"/>
        <v>Mexico ITRF92 / UTM zone 15N</v>
      </c>
    </row>
    <row r="2463" spans="1:3" x14ac:dyDescent="0.3">
      <c r="A2463" t="s">
        <v>2520</v>
      </c>
      <c r="B2463">
        <f>IF(ISNUMBER(SEARCH(Form!$C$11,Tabel2[[#This Row],[Coordinate Projection System]])),MAX($B$1:B2462)+1,0)</f>
        <v>2462</v>
      </c>
      <c r="C2463" t="str">
        <f t="shared" si="38"/>
        <v>Mexico ITRF92 / UTM zone 16N</v>
      </c>
    </row>
    <row r="2464" spans="1:3" x14ac:dyDescent="0.3">
      <c r="A2464" t="s">
        <v>2521</v>
      </c>
      <c r="B2464">
        <f>IF(ISNUMBER(SEARCH(Form!$C$11,Tabel2[[#This Row],[Coordinate Projection System]])),MAX($B$1:B2463)+1,0)</f>
        <v>2463</v>
      </c>
      <c r="C2464" t="str">
        <f t="shared" si="38"/>
        <v>CGCS2000 / Gauss-Kruger zone 13</v>
      </c>
    </row>
    <row r="2465" spans="1:3" x14ac:dyDescent="0.3">
      <c r="A2465" t="s">
        <v>2522</v>
      </c>
      <c r="B2465">
        <f>IF(ISNUMBER(SEARCH(Form!$C$11,Tabel2[[#This Row],[Coordinate Projection System]])),MAX($B$1:B2464)+1,0)</f>
        <v>2464</v>
      </c>
      <c r="C2465" t="str">
        <f t="shared" si="38"/>
        <v>CGCS2000 / Gauss-Kruger zone 14</v>
      </c>
    </row>
    <row r="2466" spans="1:3" x14ac:dyDescent="0.3">
      <c r="A2466" t="s">
        <v>2523</v>
      </c>
      <c r="B2466">
        <f>IF(ISNUMBER(SEARCH(Form!$C$11,Tabel2[[#This Row],[Coordinate Projection System]])),MAX($B$1:B2465)+1,0)</f>
        <v>2465</v>
      </c>
      <c r="C2466" t="str">
        <f t="shared" si="38"/>
        <v>CGCS2000 / Gauss-Kruger zone 15</v>
      </c>
    </row>
    <row r="2467" spans="1:3" x14ac:dyDescent="0.3">
      <c r="A2467" t="s">
        <v>2524</v>
      </c>
      <c r="B2467">
        <f>IF(ISNUMBER(SEARCH(Form!$C$11,Tabel2[[#This Row],[Coordinate Projection System]])),MAX($B$1:B2466)+1,0)</f>
        <v>2466</v>
      </c>
      <c r="C2467" t="str">
        <f t="shared" si="38"/>
        <v>CGCS2000 / Gauss-Kruger zone 16</v>
      </c>
    </row>
    <row r="2468" spans="1:3" x14ac:dyDescent="0.3">
      <c r="A2468" t="s">
        <v>2525</v>
      </c>
      <c r="B2468">
        <f>IF(ISNUMBER(SEARCH(Form!$C$11,Tabel2[[#This Row],[Coordinate Projection System]])),MAX($B$1:B2467)+1,0)</f>
        <v>2467</v>
      </c>
      <c r="C2468" t="str">
        <f t="shared" si="38"/>
        <v>CGCS2000 / Gauss-Kruger zone 17</v>
      </c>
    </row>
    <row r="2469" spans="1:3" x14ac:dyDescent="0.3">
      <c r="A2469" t="s">
        <v>2526</v>
      </c>
      <c r="B2469">
        <f>IF(ISNUMBER(SEARCH(Form!$C$11,Tabel2[[#This Row],[Coordinate Projection System]])),MAX($B$1:B2468)+1,0)</f>
        <v>2468</v>
      </c>
      <c r="C2469" t="str">
        <f t="shared" si="38"/>
        <v>CGCS2000 / Gauss-Kruger zone 18</v>
      </c>
    </row>
    <row r="2470" spans="1:3" x14ac:dyDescent="0.3">
      <c r="A2470" t="s">
        <v>2527</v>
      </c>
      <c r="B2470">
        <f>IF(ISNUMBER(SEARCH(Form!$C$11,Tabel2[[#This Row],[Coordinate Projection System]])),MAX($B$1:B2469)+1,0)</f>
        <v>2469</v>
      </c>
      <c r="C2470" t="str">
        <f t="shared" si="38"/>
        <v>CGCS2000 / Gauss-Kruger zone 19</v>
      </c>
    </row>
    <row r="2471" spans="1:3" x14ac:dyDescent="0.3">
      <c r="A2471" t="s">
        <v>2528</v>
      </c>
      <c r="B2471">
        <f>IF(ISNUMBER(SEARCH(Form!$C$11,Tabel2[[#This Row],[Coordinate Projection System]])),MAX($B$1:B2470)+1,0)</f>
        <v>2470</v>
      </c>
      <c r="C2471" t="str">
        <f t="shared" si="38"/>
        <v>CGCS2000 / Gauss-Kruger zone 20</v>
      </c>
    </row>
    <row r="2472" spans="1:3" x14ac:dyDescent="0.3">
      <c r="A2472" t="s">
        <v>2529</v>
      </c>
      <c r="B2472">
        <f>IF(ISNUMBER(SEARCH(Form!$C$11,Tabel2[[#This Row],[Coordinate Projection System]])),MAX($B$1:B2471)+1,0)</f>
        <v>2471</v>
      </c>
      <c r="C2472" t="str">
        <f t="shared" si="38"/>
        <v>CGCS2000 / Gauss-Kruger zone 21</v>
      </c>
    </row>
    <row r="2473" spans="1:3" x14ac:dyDescent="0.3">
      <c r="A2473" t="s">
        <v>2530</v>
      </c>
      <c r="B2473">
        <f>IF(ISNUMBER(SEARCH(Form!$C$11,Tabel2[[#This Row],[Coordinate Projection System]])),MAX($B$1:B2472)+1,0)</f>
        <v>2472</v>
      </c>
      <c r="C2473" t="str">
        <f t="shared" si="38"/>
        <v>CGCS2000 / Gauss-Kruger zone 22</v>
      </c>
    </row>
    <row r="2474" spans="1:3" x14ac:dyDescent="0.3">
      <c r="A2474" t="s">
        <v>2531</v>
      </c>
      <c r="B2474">
        <f>IF(ISNUMBER(SEARCH(Form!$C$11,Tabel2[[#This Row],[Coordinate Projection System]])),MAX($B$1:B2473)+1,0)</f>
        <v>2473</v>
      </c>
      <c r="C2474" t="str">
        <f t="shared" si="38"/>
        <v>CGCS2000 / Gauss-Kruger zone 23</v>
      </c>
    </row>
    <row r="2475" spans="1:3" x14ac:dyDescent="0.3">
      <c r="A2475" t="s">
        <v>2532</v>
      </c>
      <c r="B2475">
        <f>IF(ISNUMBER(SEARCH(Form!$C$11,Tabel2[[#This Row],[Coordinate Projection System]])),MAX($B$1:B2474)+1,0)</f>
        <v>2474</v>
      </c>
      <c r="C2475" t="str">
        <f t="shared" si="38"/>
        <v>CGCS2000 / Gauss-Kruger CM 75E</v>
      </c>
    </row>
    <row r="2476" spans="1:3" x14ac:dyDescent="0.3">
      <c r="A2476" t="s">
        <v>2533</v>
      </c>
      <c r="B2476">
        <f>IF(ISNUMBER(SEARCH(Form!$C$11,Tabel2[[#This Row],[Coordinate Projection System]])),MAX($B$1:B2475)+1,0)</f>
        <v>2475</v>
      </c>
      <c r="C2476" t="str">
        <f t="shared" si="38"/>
        <v>CGCS2000 / Gauss-Kruger CM 81E</v>
      </c>
    </row>
    <row r="2477" spans="1:3" x14ac:dyDescent="0.3">
      <c r="A2477" t="s">
        <v>2534</v>
      </c>
      <c r="B2477">
        <f>IF(ISNUMBER(SEARCH(Form!$C$11,Tabel2[[#This Row],[Coordinate Projection System]])),MAX($B$1:B2476)+1,0)</f>
        <v>2476</v>
      </c>
      <c r="C2477" t="str">
        <f t="shared" si="38"/>
        <v>CGCS2000 / Gauss-Kruger CM 87E</v>
      </c>
    </row>
    <row r="2478" spans="1:3" x14ac:dyDescent="0.3">
      <c r="A2478" t="s">
        <v>2535</v>
      </c>
      <c r="B2478">
        <f>IF(ISNUMBER(SEARCH(Form!$C$11,Tabel2[[#This Row],[Coordinate Projection System]])),MAX($B$1:B2477)+1,0)</f>
        <v>2477</v>
      </c>
      <c r="C2478" t="str">
        <f t="shared" si="38"/>
        <v>CGCS2000 / Gauss-Kruger CM 93E</v>
      </c>
    </row>
    <row r="2479" spans="1:3" x14ac:dyDescent="0.3">
      <c r="A2479" t="s">
        <v>2536</v>
      </c>
      <c r="B2479">
        <f>IF(ISNUMBER(SEARCH(Form!$C$11,Tabel2[[#This Row],[Coordinate Projection System]])),MAX($B$1:B2478)+1,0)</f>
        <v>2478</v>
      </c>
      <c r="C2479" t="str">
        <f t="shared" si="38"/>
        <v>CGCS2000 / Gauss-Kruger CM 99E</v>
      </c>
    </row>
    <row r="2480" spans="1:3" x14ac:dyDescent="0.3">
      <c r="A2480" t="s">
        <v>2537</v>
      </c>
      <c r="B2480">
        <f>IF(ISNUMBER(SEARCH(Form!$C$11,Tabel2[[#This Row],[Coordinate Projection System]])),MAX($B$1:B2479)+1,0)</f>
        <v>2479</v>
      </c>
      <c r="C2480" t="str">
        <f t="shared" si="38"/>
        <v>CGCS2000 / Gauss-Kruger CM 105E</v>
      </c>
    </row>
    <row r="2481" spans="1:3" x14ac:dyDescent="0.3">
      <c r="A2481" t="s">
        <v>2538</v>
      </c>
      <c r="B2481">
        <f>IF(ISNUMBER(SEARCH(Form!$C$11,Tabel2[[#This Row],[Coordinate Projection System]])),MAX($B$1:B2480)+1,0)</f>
        <v>2480</v>
      </c>
      <c r="C2481" t="str">
        <f t="shared" si="38"/>
        <v>CGCS2000 / Gauss-Kruger CM 111E</v>
      </c>
    </row>
    <row r="2482" spans="1:3" x14ac:dyDescent="0.3">
      <c r="A2482" t="s">
        <v>2539</v>
      </c>
      <c r="B2482">
        <f>IF(ISNUMBER(SEARCH(Form!$C$11,Tabel2[[#This Row],[Coordinate Projection System]])),MAX($B$1:B2481)+1,0)</f>
        <v>2481</v>
      </c>
      <c r="C2482" t="str">
        <f t="shared" si="38"/>
        <v>CGCS2000 / Gauss-Kruger CM 117E</v>
      </c>
    </row>
    <row r="2483" spans="1:3" x14ac:dyDescent="0.3">
      <c r="A2483" t="s">
        <v>2540</v>
      </c>
      <c r="B2483">
        <f>IF(ISNUMBER(SEARCH(Form!$C$11,Tabel2[[#This Row],[Coordinate Projection System]])),MAX($B$1:B2482)+1,0)</f>
        <v>2482</v>
      </c>
      <c r="C2483" t="str">
        <f t="shared" si="38"/>
        <v>CGCS2000 / Gauss-Kruger CM 123E</v>
      </c>
    </row>
    <row r="2484" spans="1:3" x14ac:dyDescent="0.3">
      <c r="A2484" t="s">
        <v>2541</v>
      </c>
      <c r="B2484">
        <f>IF(ISNUMBER(SEARCH(Form!$C$11,Tabel2[[#This Row],[Coordinate Projection System]])),MAX($B$1:B2483)+1,0)</f>
        <v>2483</v>
      </c>
      <c r="C2484" t="str">
        <f t="shared" si="38"/>
        <v>CGCS2000 / Gauss-Kruger CM 129E</v>
      </c>
    </row>
    <row r="2485" spans="1:3" x14ac:dyDescent="0.3">
      <c r="A2485" t="s">
        <v>2542</v>
      </c>
      <c r="B2485">
        <f>IF(ISNUMBER(SEARCH(Form!$C$11,Tabel2[[#This Row],[Coordinate Projection System]])),MAX($B$1:B2484)+1,0)</f>
        <v>2484</v>
      </c>
      <c r="C2485" t="str">
        <f t="shared" si="38"/>
        <v>CGCS2000 / Gauss-Kruger CM 135E</v>
      </c>
    </row>
    <row r="2486" spans="1:3" x14ac:dyDescent="0.3">
      <c r="A2486" t="s">
        <v>2543</v>
      </c>
      <c r="B2486">
        <f>IF(ISNUMBER(SEARCH(Form!$C$11,Tabel2[[#This Row],[Coordinate Projection System]])),MAX($B$1:B2485)+1,0)</f>
        <v>2485</v>
      </c>
      <c r="C2486" t="str">
        <f t="shared" si="38"/>
        <v>CGCS2000 / 3-degree Gauss-Kruger zone 25</v>
      </c>
    </row>
    <row r="2487" spans="1:3" x14ac:dyDescent="0.3">
      <c r="A2487" t="s">
        <v>2544</v>
      </c>
      <c r="B2487">
        <f>IF(ISNUMBER(SEARCH(Form!$C$11,Tabel2[[#This Row],[Coordinate Projection System]])),MAX($B$1:B2486)+1,0)</f>
        <v>2486</v>
      </c>
      <c r="C2487" t="str">
        <f t="shared" si="38"/>
        <v>CGCS2000 / 3-degree Gauss-Kruger zone 26</v>
      </c>
    </row>
    <row r="2488" spans="1:3" x14ac:dyDescent="0.3">
      <c r="A2488" t="s">
        <v>2545</v>
      </c>
      <c r="B2488">
        <f>IF(ISNUMBER(SEARCH(Form!$C$11,Tabel2[[#This Row],[Coordinate Projection System]])),MAX($B$1:B2487)+1,0)</f>
        <v>2487</v>
      </c>
      <c r="C2488" t="str">
        <f t="shared" si="38"/>
        <v>CGCS2000 / 3-degree Gauss-Kruger zone 27</v>
      </c>
    </row>
    <row r="2489" spans="1:3" x14ac:dyDescent="0.3">
      <c r="A2489" t="s">
        <v>2546</v>
      </c>
      <c r="B2489">
        <f>IF(ISNUMBER(SEARCH(Form!$C$11,Tabel2[[#This Row],[Coordinate Projection System]])),MAX($B$1:B2488)+1,0)</f>
        <v>2488</v>
      </c>
      <c r="C2489" t="str">
        <f t="shared" si="38"/>
        <v>CGCS2000 / 3-degree Gauss-Kruger zone 28</v>
      </c>
    </row>
    <row r="2490" spans="1:3" x14ac:dyDescent="0.3">
      <c r="A2490" t="s">
        <v>2547</v>
      </c>
      <c r="B2490">
        <f>IF(ISNUMBER(SEARCH(Form!$C$11,Tabel2[[#This Row],[Coordinate Projection System]])),MAX($B$1:B2489)+1,0)</f>
        <v>2489</v>
      </c>
      <c r="C2490" t="str">
        <f t="shared" si="38"/>
        <v>CGCS2000 / 3-degree Gauss-Kruger zone 29</v>
      </c>
    </row>
    <row r="2491" spans="1:3" x14ac:dyDescent="0.3">
      <c r="A2491" t="s">
        <v>2548</v>
      </c>
      <c r="B2491">
        <f>IF(ISNUMBER(SEARCH(Form!$C$11,Tabel2[[#This Row],[Coordinate Projection System]])),MAX($B$1:B2490)+1,0)</f>
        <v>2490</v>
      </c>
      <c r="C2491" t="str">
        <f t="shared" si="38"/>
        <v>CGCS2000 / 3-degree Gauss-Kruger zone 30</v>
      </c>
    </row>
    <row r="2492" spans="1:3" x14ac:dyDescent="0.3">
      <c r="A2492" t="s">
        <v>2549</v>
      </c>
      <c r="B2492">
        <f>IF(ISNUMBER(SEARCH(Form!$C$11,Tabel2[[#This Row],[Coordinate Projection System]])),MAX($B$1:B2491)+1,0)</f>
        <v>2491</v>
      </c>
      <c r="C2492" t="str">
        <f t="shared" si="38"/>
        <v>CGCS2000 / 3-degree Gauss-Kruger zone 31</v>
      </c>
    </row>
    <row r="2493" spans="1:3" x14ac:dyDescent="0.3">
      <c r="A2493" t="s">
        <v>2550</v>
      </c>
      <c r="B2493">
        <f>IF(ISNUMBER(SEARCH(Form!$C$11,Tabel2[[#This Row],[Coordinate Projection System]])),MAX($B$1:B2492)+1,0)</f>
        <v>2492</v>
      </c>
      <c r="C2493" t="str">
        <f t="shared" si="38"/>
        <v>CGCS2000 / 3-degree Gauss-Kruger zone 32</v>
      </c>
    </row>
    <row r="2494" spans="1:3" x14ac:dyDescent="0.3">
      <c r="A2494" t="s">
        <v>2551</v>
      </c>
      <c r="B2494">
        <f>IF(ISNUMBER(SEARCH(Form!$C$11,Tabel2[[#This Row],[Coordinate Projection System]])),MAX($B$1:B2493)+1,0)</f>
        <v>2493</v>
      </c>
      <c r="C2494" t="str">
        <f t="shared" si="38"/>
        <v>CGCS2000 / 3-degree Gauss-Kruger zone 33</v>
      </c>
    </row>
    <row r="2495" spans="1:3" x14ac:dyDescent="0.3">
      <c r="A2495" t="s">
        <v>2552</v>
      </c>
      <c r="B2495">
        <f>IF(ISNUMBER(SEARCH(Form!$C$11,Tabel2[[#This Row],[Coordinate Projection System]])),MAX($B$1:B2494)+1,0)</f>
        <v>2494</v>
      </c>
      <c r="C2495" t="str">
        <f t="shared" si="38"/>
        <v>CGCS2000 / 3-degree Gauss-Kruger zone 34</v>
      </c>
    </row>
    <row r="2496" spans="1:3" x14ac:dyDescent="0.3">
      <c r="A2496" t="s">
        <v>2553</v>
      </c>
      <c r="B2496">
        <f>IF(ISNUMBER(SEARCH(Form!$C$11,Tabel2[[#This Row],[Coordinate Projection System]])),MAX($B$1:B2495)+1,0)</f>
        <v>2495</v>
      </c>
      <c r="C2496" t="str">
        <f t="shared" si="38"/>
        <v>CGCS2000 / 3-degree Gauss-Kruger zone 35</v>
      </c>
    </row>
    <row r="2497" spans="1:3" x14ac:dyDescent="0.3">
      <c r="A2497" t="s">
        <v>2554</v>
      </c>
      <c r="B2497">
        <f>IF(ISNUMBER(SEARCH(Form!$C$11,Tabel2[[#This Row],[Coordinate Projection System]])),MAX($B$1:B2496)+1,0)</f>
        <v>2496</v>
      </c>
      <c r="C2497" t="str">
        <f t="shared" si="38"/>
        <v>CGCS2000 / 3-degree Gauss-Kruger zone 36</v>
      </c>
    </row>
    <row r="2498" spans="1:3" x14ac:dyDescent="0.3">
      <c r="A2498" t="s">
        <v>2555</v>
      </c>
      <c r="B2498">
        <f>IF(ISNUMBER(SEARCH(Form!$C$11,Tabel2[[#This Row],[Coordinate Projection System]])),MAX($B$1:B2497)+1,0)</f>
        <v>2497</v>
      </c>
      <c r="C2498" t="str">
        <f t="shared" si="38"/>
        <v>CGCS2000 / 3-degree Gauss-Kruger zone 37</v>
      </c>
    </row>
    <row r="2499" spans="1:3" x14ac:dyDescent="0.3">
      <c r="A2499" t="s">
        <v>2556</v>
      </c>
      <c r="B2499">
        <f>IF(ISNUMBER(SEARCH(Form!$C$11,Tabel2[[#This Row],[Coordinate Projection System]])),MAX($B$1:B2498)+1,0)</f>
        <v>2498</v>
      </c>
      <c r="C2499" t="str">
        <f t="shared" ref="C2499:C2562" si="39">_xlfn.IFNA(INDEX(A2499:A8010,MATCH(ROW(C2498),B2499:B8010,0)),"")</f>
        <v>CGCS2000 / 3-degree Gauss-Kruger zone 38</v>
      </c>
    </row>
    <row r="2500" spans="1:3" x14ac:dyDescent="0.3">
      <c r="A2500" t="s">
        <v>2557</v>
      </c>
      <c r="B2500">
        <f>IF(ISNUMBER(SEARCH(Form!$C$11,Tabel2[[#This Row],[Coordinate Projection System]])),MAX($B$1:B2499)+1,0)</f>
        <v>2499</v>
      </c>
      <c r="C2500" t="str">
        <f t="shared" si="39"/>
        <v>CGCS2000 / 3-degree Gauss-Kruger zone 39</v>
      </c>
    </row>
    <row r="2501" spans="1:3" x14ac:dyDescent="0.3">
      <c r="A2501" t="s">
        <v>2558</v>
      </c>
      <c r="B2501">
        <f>IF(ISNUMBER(SEARCH(Form!$C$11,Tabel2[[#This Row],[Coordinate Projection System]])),MAX($B$1:B2500)+1,0)</f>
        <v>2500</v>
      </c>
      <c r="C2501" t="str">
        <f t="shared" si="39"/>
        <v>CGCS2000 / 3-degree Gauss-Kruger zone 40</v>
      </c>
    </row>
    <row r="2502" spans="1:3" x14ac:dyDescent="0.3">
      <c r="A2502" t="s">
        <v>2559</v>
      </c>
      <c r="B2502">
        <f>IF(ISNUMBER(SEARCH(Form!$C$11,Tabel2[[#This Row],[Coordinate Projection System]])),MAX($B$1:B2501)+1,0)</f>
        <v>2501</v>
      </c>
      <c r="C2502" t="str">
        <f t="shared" si="39"/>
        <v>CGCS2000 / 3-degree Gauss-Kruger zone 41</v>
      </c>
    </row>
    <row r="2503" spans="1:3" x14ac:dyDescent="0.3">
      <c r="A2503" t="s">
        <v>2560</v>
      </c>
      <c r="B2503">
        <f>IF(ISNUMBER(SEARCH(Form!$C$11,Tabel2[[#This Row],[Coordinate Projection System]])),MAX($B$1:B2502)+1,0)</f>
        <v>2502</v>
      </c>
      <c r="C2503" t="str">
        <f t="shared" si="39"/>
        <v>CGCS2000 / 3-degree Gauss-Kruger zone 42</v>
      </c>
    </row>
    <row r="2504" spans="1:3" x14ac:dyDescent="0.3">
      <c r="A2504" t="s">
        <v>2561</v>
      </c>
      <c r="B2504">
        <f>IF(ISNUMBER(SEARCH(Form!$C$11,Tabel2[[#This Row],[Coordinate Projection System]])),MAX($B$1:B2503)+1,0)</f>
        <v>2503</v>
      </c>
      <c r="C2504" t="str">
        <f t="shared" si="39"/>
        <v>CGCS2000 / 3-degree Gauss-Kruger zone 43</v>
      </c>
    </row>
    <row r="2505" spans="1:3" x14ac:dyDescent="0.3">
      <c r="A2505" t="s">
        <v>2562</v>
      </c>
      <c r="B2505">
        <f>IF(ISNUMBER(SEARCH(Form!$C$11,Tabel2[[#This Row],[Coordinate Projection System]])),MAX($B$1:B2504)+1,0)</f>
        <v>2504</v>
      </c>
      <c r="C2505" t="str">
        <f t="shared" si="39"/>
        <v>CGCS2000 / 3-degree Gauss-Kruger zone 44</v>
      </c>
    </row>
    <row r="2506" spans="1:3" x14ac:dyDescent="0.3">
      <c r="A2506" t="s">
        <v>2563</v>
      </c>
      <c r="B2506">
        <f>IF(ISNUMBER(SEARCH(Form!$C$11,Tabel2[[#This Row],[Coordinate Projection System]])),MAX($B$1:B2505)+1,0)</f>
        <v>2505</v>
      </c>
      <c r="C2506" t="str">
        <f t="shared" si="39"/>
        <v>CGCS2000 / 3-degree Gauss-Kruger zone 45</v>
      </c>
    </row>
    <row r="2507" spans="1:3" x14ac:dyDescent="0.3">
      <c r="A2507" t="s">
        <v>2564</v>
      </c>
      <c r="B2507">
        <f>IF(ISNUMBER(SEARCH(Form!$C$11,Tabel2[[#This Row],[Coordinate Projection System]])),MAX($B$1:B2506)+1,0)</f>
        <v>2506</v>
      </c>
      <c r="C2507" t="str">
        <f t="shared" si="39"/>
        <v>CGCS2000 / 3-degree Gauss-Kruger CM 75E</v>
      </c>
    </row>
    <row r="2508" spans="1:3" x14ac:dyDescent="0.3">
      <c r="A2508" t="s">
        <v>2565</v>
      </c>
      <c r="B2508">
        <f>IF(ISNUMBER(SEARCH(Form!$C$11,Tabel2[[#This Row],[Coordinate Projection System]])),MAX($B$1:B2507)+1,0)</f>
        <v>2507</v>
      </c>
      <c r="C2508" t="str">
        <f t="shared" si="39"/>
        <v>CGCS2000 / 3-degree Gauss-Kruger CM 78E</v>
      </c>
    </row>
    <row r="2509" spans="1:3" x14ac:dyDescent="0.3">
      <c r="A2509" t="s">
        <v>2566</v>
      </c>
      <c r="B2509">
        <f>IF(ISNUMBER(SEARCH(Form!$C$11,Tabel2[[#This Row],[Coordinate Projection System]])),MAX($B$1:B2508)+1,0)</f>
        <v>2508</v>
      </c>
      <c r="C2509" t="str">
        <f t="shared" si="39"/>
        <v>CGCS2000 / 3-degree Gauss-Kruger CM 81E</v>
      </c>
    </row>
    <row r="2510" spans="1:3" x14ac:dyDescent="0.3">
      <c r="A2510" t="s">
        <v>2567</v>
      </c>
      <c r="B2510">
        <f>IF(ISNUMBER(SEARCH(Form!$C$11,Tabel2[[#This Row],[Coordinate Projection System]])),MAX($B$1:B2509)+1,0)</f>
        <v>2509</v>
      </c>
      <c r="C2510" t="str">
        <f t="shared" si="39"/>
        <v>CGCS2000 / 3-degree Gauss-Kruger CM 84E</v>
      </c>
    </row>
    <row r="2511" spans="1:3" x14ac:dyDescent="0.3">
      <c r="A2511" t="s">
        <v>2568</v>
      </c>
      <c r="B2511">
        <f>IF(ISNUMBER(SEARCH(Form!$C$11,Tabel2[[#This Row],[Coordinate Projection System]])),MAX($B$1:B2510)+1,0)</f>
        <v>2510</v>
      </c>
      <c r="C2511" t="str">
        <f t="shared" si="39"/>
        <v>CGCS2000 / 3-degree Gauss-Kruger CM 87E</v>
      </c>
    </row>
    <row r="2512" spans="1:3" x14ac:dyDescent="0.3">
      <c r="A2512" t="s">
        <v>2569</v>
      </c>
      <c r="B2512">
        <f>IF(ISNUMBER(SEARCH(Form!$C$11,Tabel2[[#This Row],[Coordinate Projection System]])),MAX($B$1:B2511)+1,0)</f>
        <v>2511</v>
      </c>
      <c r="C2512" t="str">
        <f t="shared" si="39"/>
        <v>CGCS2000 / 3-degree Gauss-Kruger CM 90E</v>
      </c>
    </row>
    <row r="2513" spans="1:3" x14ac:dyDescent="0.3">
      <c r="A2513" t="s">
        <v>2570</v>
      </c>
      <c r="B2513">
        <f>IF(ISNUMBER(SEARCH(Form!$C$11,Tabel2[[#This Row],[Coordinate Projection System]])),MAX($B$1:B2512)+1,0)</f>
        <v>2512</v>
      </c>
      <c r="C2513" t="str">
        <f t="shared" si="39"/>
        <v>CGCS2000 / 3-degree Gauss-Kruger CM 93E</v>
      </c>
    </row>
    <row r="2514" spans="1:3" x14ac:dyDescent="0.3">
      <c r="A2514" t="s">
        <v>2571</v>
      </c>
      <c r="B2514">
        <f>IF(ISNUMBER(SEARCH(Form!$C$11,Tabel2[[#This Row],[Coordinate Projection System]])),MAX($B$1:B2513)+1,0)</f>
        <v>2513</v>
      </c>
      <c r="C2514" t="str">
        <f t="shared" si="39"/>
        <v>CGCS2000 / 3-degree Gauss-Kruger CM 96E</v>
      </c>
    </row>
    <row r="2515" spans="1:3" x14ac:dyDescent="0.3">
      <c r="A2515" t="s">
        <v>2572</v>
      </c>
      <c r="B2515">
        <f>IF(ISNUMBER(SEARCH(Form!$C$11,Tabel2[[#This Row],[Coordinate Projection System]])),MAX($B$1:B2514)+1,0)</f>
        <v>2514</v>
      </c>
      <c r="C2515" t="str">
        <f t="shared" si="39"/>
        <v>CGCS2000 / 3-degree Gauss-Kruger CM 99E</v>
      </c>
    </row>
    <row r="2516" spans="1:3" x14ac:dyDescent="0.3">
      <c r="A2516" t="s">
        <v>2573</v>
      </c>
      <c r="B2516">
        <f>IF(ISNUMBER(SEARCH(Form!$C$11,Tabel2[[#This Row],[Coordinate Projection System]])),MAX($B$1:B2515)+1,0)</f>
        <v>2515</v>
      </c>
      <c r="C2516" t="str">
        <f t="shared" si="39"/>
        <v>CGCS2000 / 3-degree Gauss-Kruger CM 102E</v>
      </c>
    </row>
    <row r="2517" spans="1:3" x14ac:dyDescent="0.3">
      <c r="A2517" t="s">
        <v>2574</v>
      </c>
      <c r="B2517">
        <f>IF(ISNUMBER(SEARCH(Form!$C$11,Tabel2[[#This Row],[Coordinate Projection System]])),MAX($B$1:B2516)+1,0)</f>
        <v>2516</v>
      </c>
      <c r="C2517" t="str">
        <f t="shared" si="39"/>
        <v>CGCS2000 / 3-degree Gauss-Kruger CM 105E</v>
      </c>
    </row>
    <row r="2518" spans="1:3" x14ac:dyDescent="0.3">
      <c r="A2518" t="s">
        <v>2575</v>
      </c>
      <c r="B2518">
        <f>IF(ISNUMBER(SEARCH(Form!$C$11,Tabel2[[#This Row],[Coordinate Projection System]])),MAX($B$1:B2517)+1,0)</f>
        <v>2517</v>
      </c>
      <c r="C2518" t="str">
        <f t="shared" si="39"/>
        <v>CGCS2000 / 3-degree Gauss-Kruger CM 108E</v>
      </c>
    </row>
    <row r="2519" spans="1:3" x14ac:dyDescent="0.3">
      <c r="A2519" t="s">
        <v>2576</v>
      </c>
      <c r="B2519">
        <f>IF(ISNUMBER(SEARCH(Form!$C$11,Tabel2[[#This Row],[Coordinate Projection System]])),MAX($B$1:B2518)+1,0)</f>
        <v>2518</v>
      </c>
      <c r="C2519" t="str">
        <f t="shared" si="39"/>
        <v>CGCS2000 / 3-degree Gauss-Kruger CM 111E</v>
      </c>
    </row>
    <row r="2520" spans="1:3" x14ac:dyDescent="0.3">
      <c r="A2520" t="s">
        <v>2577</v>
      </c>
      <c r="B2520">
        <f>IF(ISNUMBER(SEARCH(Form!$C$11,Tabel2[[#This Row],[Coordinate Projection System]])),MAX($B$1:B2519)+1,0)</f>
        <v>2519</v>
      </c>
      <c r="C2520" t="str">
        <f t="shared" si="39"/>
        <v>CGCS2000 / 3-degree Gauss-Kruger CM 114E</v>
      </c>
    </row>
    <row r="2521" spans="1:3" x14ac:dyDescent="0.3">
      <c r="A2521" t="s">
        <v>2578</v>
      </c>
      <c r="B2521">
        <f>IF(ISNUMBER(SEARCH(Form!$C$11,Tabel2[[#This Row],[Coordinate Projection System]])),MAX($B$1:B2520)+1,0)</f>
        <v>2520</v>
      </c>
      <c r="C2521" t="str">
        <f t="shared" si="39"/>
        <v>CGCS2000 / 3-degree Gauss-Kruger CM 117E</v>
      </c>
    </row>
    <row r="2522" spans="1:3" x14ac:dyDescent="0.3">
      <c r="A2522" t="s">
        <v>2579</v>
      </c>
      <c r="B2522">
        <f>IF(ISNUMBER(SEARCH(Form!$C$11,Tabel2[[#This Row],[Coordinate Projection System]])),MAX($B$1:B2521)+1,0)</f>
        <v>2521</v>
      </c>
      <c r="C2522" t="str">
        <f t="shared" si="39"/>
        <v>CGCS2000 / 3-degree Gauss-Kruger CM 120E</v>
      </c>
    </row>
    <row r="2523" spans="1:3" x14ac:dyDescent="0.3">
      <c r="A2523" t="s">
        <v>2580</v>
      </c>
      <c r="B2523">
        <f>IF(ISNUMBER(SEARCH(Form!$C$11,Tabel2[[#This Row],[Coordinate Projection System]])),MAX($B$1:B2522)+1,0)</f>
        <v>2522</v>
      </c>
      <c r="C2523" t="str">
        <f t="shared" si="39"/>
        <v>CGCS2000 / 3-degree Gauss-Kruger CM 123E</v>
      </c>
    </row>
    <row r="2524" spans="1:3" x14ac:dyDescent="0.3">
      <c r="A2524" t="s">
        <v>2581</v>
      </c>
      <c r="B2524">
        <f>IF(ISNUMBER(SEARCH(Form!$C$11,Tabel2[[#This Row],[Coordinate Projection System]])),MAX($B$1:B2523)+1,0)</f>
        <v>2523</v>
      </c>
      <c r="C2524" t="str">
        <f t="shared" si="39"/>
        <v>CGCS2000 / 3-degree Gauss-Kruger CM 126E</v>
      </c>
    </row>
    <row r="2525" spans="1:3" x14ac:dyDescent="0.3">
      <c r="A2525" t="s">
        <v>2582</v>
      </c>
      <c r="B2525">
        <f>IF(ISNUMBER(SEARCH(Form!$C$11,Tabel2[[#This Row],[Coordinate Projection System]])),MAX($B$1:B2524)+1,0)</f>
        <v>2524</v>
      </c>
      <c r="C2525" t="str">
        <f t="shared" si="39"/>
        <v>CGCS2000 / 3-degree Gauss-Kruger CM 129E</v>
      </c>
    </row>
    <row r="2526" spans="1:3" x14ac:dyDescent="0.3">
      <c r="A2526" t="s">
        <v>2583</v>
      </c>
      <c r="B2526">
        <f>IF(ISNUMBER(SEARCH(Form!$C$11,Tabel2[[#This Row],[Coordinate Projection System]])),MAX($B$1:B2525)+1,0)</f>
        <v>2525</v>
      </c>
      <c r="C2526" t="str">
        <f t="shared" si="39"/>
        <v>CGCS2000 / 3-degree Gauss-Kruger CM 132E</v>
      </c>
    </row>
    <row r="2527" spans="1:3" x14ac:dyDescent="0.3">
      <c r="A2527" t="s">
        <v>2584</v>
      </c>
      <c r="B2527">
        <f>IF(ISNUMBER(SEARCH(Form!$C$11,Tabel2[[#This Row],[Coordinate Projection System]])),MAX($B$1:B2526)+1,0)</f>
        <v>2526</v>
      </c>
      <c r="C2527" t="str">
        <f t="shared" si="39"/>
        <v>CGCS2000 / 3-degree Gauss-Kruger CM 135E</v>
      </c>
    </row>
    <row r="2528" spans="1:3" x14ac:dyDescent="0.3">
      <c r="A2528" t="s">
        <v>2585</v>
      </c>
      <c r="B2528">
        <f>IF(ISNUMBER(SEARCH(Form!$C$11,Tabel2[[#This Row],[Coordinate Projection System]])),MAX($B$1:B2527)+1,0)</f>
        <v>2527</v>
      </c>
      <c r="C2528" t="str">
        <f t="shared" si="39"/>
        <v>RRAF 1991 / UTM zone 20N</v>
      </c>
    </row>
    <row r="2529" spans="1:3" x14ac:dyDescent="0.3">
      <c r="A2529" t="s">
        <v>2586</v>
      </c>
      <c r="B2529">
        <f>IF(ISNUMBER(SEARCH(Form!$C$11,Tabel2[[#This Row],[Coordinate Projection System]])),MAX($B$1:B2528)+1,0)</f>
        <v>2528</v>
      </c>
      <c r="C2529" t="str">
        <f t="shared" si="39"/>
        <v>New Beijing / Gauss-Kruger zone 13</v>
      </c>
    </row>
    <row r="2530" spans="1:3" x14ac:dyDescent="0.3">
      <c r="A2530" t="s">
        <v>2587</v>
      </c>
      <c r="B2530">
        <f>IF(ISNUMBER(SEARCH(Form!$C$11,Tabel2[[#This Row],[Coordinate Projection System]])),MAX($B$1:B2529)+1,0)</f>
        <v>2529</v>
      </c>
      <c r="C2530" t="str">
        <f t="shared" si="39"/>
        <v>New Beijing / Gauss-Kruger zone 14</v>
      </c>
    </row>
    <row r="2531" spans="1:3" x14ac:dyDescent="0.3">
      <c r="A2531" t="s">
        <v>2588</v>
      </c>
      <c r="B2531">
        <f>IF(ISNUMBER(SEARCH(Form!$C$11,Tabel2[[#This Row],[Coordinate Projection System]])),MAX($B$1:B2530)+1,0)</f>
        <v>2530</v>
      </c>
      <c r="C2531" t="str">
        <f t="shared" si="39"/>
        <v>New Beijing / Gauss-Kruger zone 15</v>
      </c>
    </row>
    <row r="2532" spans="1:3" x14ac:dyDescent="0.3">
      <c r="A2532" t="s">
        <v>2589</v>
      </c>
      <c r="B2532">
        <f>IF(ISNUMBER(SEARCH(Form!$C$11,Tabel2[[#This Row],[Coordinate Projection System]])),MAX($B$1:B2531)+1,0)</f>
        <v>2531</v>
      </c>
      <c r="C2532" t="str">
        <f t="shared" si="39"/>
        <v>New Beijing / Gauss-Kruger zone 16</v>
      </c>
    </row>
    <row r="2533" spans="1:3" x14ac:dyDescent="0.3">
      <c r="A2533" t="s">
        <v>2590</v>
      </c>
      <c r="B2533">
        <f>IF(ISNUMBER(SEARCH(Form!$C$11,Tabel2[[#This Row],[Coordinate Projection System]])),MAX($B$1:B2532)+1,0)</f>
        <v>2532</v>
      </c>
      <c r="C2533" t="str">
        <f t="shared" si="39"/>
        <v>New Beijing / Gauss-Kruger zone 17</v>
      </c>
    </row>
    <row r="2534" spans="1:3" x14ac:dyDescent="0.3">
      <c r="A2534" t="s">
        <v>2591</v>
      </c>
      <c r="B2534">
        <f>IF(ISNUMBER(SEARCH(Form!$C$11,Tabel2[[#This Row],[Coordinate Projection System]])),MAX($B$1:B2533)+1,0)</f>
        <v>2533</v>
      </c>
      <c r="C2534" t="str">
        <f t="shared" si="39"/>
        <v>New Beijing / Gauss-Kruger zone 18</v>
      </c>
    </row>
    <row r="2535" spans="1:3" x14ac:dyDescent="0.3">
      <c r="A2535" t="s">
        <v>2592</v>
      </c>
      <c r="B2535">
        <f>IF(ISNUMBER(SEARCH(Form!$C$11,Tabel2[[#This Row],[Coordinate Projection System]])),MAX($B$1:B2534)+1,0)</f>
        <v>2534</v>
      </c>
      <c r="C2535" t="str">
        <f t="shared" si="39"/>
        <v>New Beijing / Gauss-Kruger zone 19</v>
      </c>
    </row>
    <row r="2536" spans="1:3" x14ac:dyDescent="0.3">
      <c r="A2536" t="s">
        <v>2593</v>
      </c>
      <c r="B2536">
        <f>IF(ISNUMBER(SEARCH(Form!$C$11,Tabel2[[#This Row],[Coordinate Projection System]])),MAX($B$1:B2535)+1,0)</f>
        <v>2535</v>
      </c>
      <c r="C2536" t="str">
        <f t="shared" si="39"/>
        <v>New Beijing / Gauss-Kruger zone 20</v>
      </c>
    </row>
    <row r="2537" spans="1:3" x14ac:dyDescent="0.3">
      <c r="A2537" t="s">
        <v>2594</v>
      </c>
      <c r="B2537">
        <f>IF(ISNUMBER(SEARCH(Form!$C$11,Tabel2[[#This Row],[Coordinate Projection System]])),MAX($B$1:B2536)+1,0)</f>
        <v>2536</v>
      </c>
      <c r="C2537" t="str">
        <f t="shared" si="39"/>
        <v>New Beijing / Gauss-Kruger zone 21</v>
      </c>
    </row>
    <row r="2538" spans="1:3" x14ac:dyDescent="0.3">
      <c r="A2538" t="s">
        <v>2595</v>
      </c>
      <c r="B2538">
        <f>IF(ISNUMBER(SEARCH(Form!$C$11,Tabel2[[#This Row],[Coordinate Projection System]])),MAX($B$1:B2537)+1,0)</f>
        <v>2537</v>
      </c>
      <c r="C2538" t="str">
        <f t="shared" si="39"/>
        <v>New Beijing / Gauss-Kruger zone 22</v>
      </c>
    </row>
    <row r="2539" spans="1:3" x14ac:dyDescent="0.3">
      <c r="A2539" t="s">
        <v>2596</v>
      </c>
      <c r="B2539">
        <f>IF(ISNUMBER(SEARCH(Form!$C$11,Tabel2[[#This Row],[Coordinate Projection System]])),MAX($B$1:B2538)+1,0)</f>
        <v>2538</v>
      </c>
      <c r="C2539" t="str">
        <f t="shared" si="39"/>
        <v>New Beijing / Gauss-Kruger zone 23</v>
      </c>
    </row>
    <row r="2540" spans="1:3" x14ac:dyDescent="0.3">
      <c r="A2540" t="s">
        <v>2597</v>
      </c>
      <c r="B2540">
        <f>IF(ISNUMBER(SEARCH(Form!$C$11,Tabel2[[#This Row],[Coordinate Projection System]])),MAX($B$1:B2539)+1,0)</f>
        <v>2539</v>
      </c>
      <c r="C2540" t="str">
        <f t="shared" si="39"/>
        <v>New Beijing / Gauss-Kruger CM 75E</v>
      </c>
    </row>
    <row r="2541" spans="1:3" x14ac:dyDescent="0.3">
      <c r="A2541" t="s">
        <v>2598</v>
      </c>
      <c r="B2541">
        <f>IF(ISNUMBER(SEARCH(Form!$C$11,Tabel2[[#This Row],[Coordinate Projection System]])),MAX($B$1:B2540)+1,0)</f>
        <v>2540</v>
      </c>
      <c r="C2541" t="str">
        <f t="shared" si="39"/>
        <v>New Beijing / Gauss-Kruger CM 81E</v>
      </c>
    </row>
    <row r="2542" spans="1:3" x14ac:dyDescent="0.3">
      <c r="A2542" t="s">
        <v>2599</v>
      </c>
      <c r="B2542">
        <f>IF(ISNUMBER(SEARCH(Form!$C$11,Tabel2[[#This Row],[Coordinate Projection System]])),MAX($B$1:B2541)+1,0)</f>
        <v>2541</v>
      </c>
      <c r="C2542" t="str">
        <f t="shared" si="39"/>
        <v>New Beijing / Gauss-Kruger CM 87E</v>
      </c>
    </row>
    <row r="2543" spans="1:3" x14ac:dyDescent="0.3">
      <c r="A2543" t="s">
        <v>2600</v>
      </c>
      <c r="B2543">
        <f>IF(ISNUMBER(SEARCH(Form!$C$11,Tabel2[[#This Row],[Coordinate Projection System]])),MAX($B$1:B2542)+1,0)</f>
        <v>2542</v>
      </c>
      <c r="C2543" t="str">
        <f t="shared" si="39"/>
        <v>New Beijing / Gauss-Kruger CM 93E</v>
      </c>
    </row>
    <row r="2544" spans="1:3" x14ac:dyDescent="0.3">
      <c r="A2544" t="s">
        <v>2601</v>
      </c>
      <c r="B2544">
        <f>IF(ISNUMBER(SEARCH(Form!$C$11,Tabel2[[#This Row],[Coordinate Projection System]])),MAX($B$1:B2543)+1,0)</f>
        <v>2543</v>
      </c>
      <c r="C2544" t="str">
        <f t="shared" si="39"/>
        <v>New Beijing / Gauss-Kruger CM 99E</v>
      </c>
    </row>
    <row r="2545" spans="1:3" x14ac:dyDescent="0.3">
      <c r="A2545" t="s">
        <v>2602</v>
      </c>
      <c r="B2545">
        <f>IF(ISNUMBER(SEARCH(Form!$C$11,Tabel2[[#This Row],[Coordinate Projection System]])),MAX($B$1:B2544)+1,0)</f>
        <v>2544</v>
      </c>
      <c r="C2545" t="str">
        <f t="shared" si="39"/>
        <v>New Beijing / Gauss-Kruger CM 105E</v>
      </c>
    </row>
    <row r="2546" spans="1:3" x14ac:dyDescent="0.3">
      <c r="A2546" t="s">
        <v>2603</v>
      </c>
      <c r="B2546">
        <f>IF(ISNUMBER(SEARCH(Form!$C$11,Tabel2[[#This Row],[Coordinate Projection System]])),MAX($B$1:B2545)+1,0)</f>
        <v>2545</v>
      </c>
      <c r="C2546" t="str">
        <f t="shared" si="39"/>
        <v>New Beijing / Gauss-Kruger CM 111E</v>
      </c>
    </row>
    <row r="2547" spans="1:3" x14ac:dyDescent="0.3">
      <c r="A2547" t="s">
        <v>2604</v>
      </c>
      <c r="B2547">
        <f>IF(ISNUMBER(SEARCH(Form!$C$11,Tabel2[[#This Row],[Coordinate Projection System]])),MAX($B$1:B2546)+1,0)</f>
        <v>2546</v>
      </c>
      <c r="C2547" t="str">
        <f t="shared" si="39"/>
        <v>New Beijing / Gauss-Kruger CM 117E</v>
      </c>
    </row>
    <row r="2548" spans="1:3" x14ac:dyDescent="0.3">
      <c r="A2548" t="s">
        <v>2605</v>
      </c>
      <c r="B2548">
        <f>IF(ISNUMBER(SEARCH(Form!$C$11,Tabel2[[#This Row],[Coordinate Projection System]])),MAX($B$1:B2547)+1,0)</f>
        <v>2547</v>
      </c>
      <c r="C2548" t="str">
        <f t="shared" si="39"/>
        <v>New Beijing / Gauss-Kruger CM 123E</v>
      </c>
    </row>
    <row r="2549" spans="1:3" x14ac:dyDescent="0.3">
      <c r="A2549" t="s">
        <v>2606</v>
      </c>
      <c r="B2549">
        <f>IF(ISNUMBER(SEARCH(Form!$C$11,Tabel2[[#This Row],[Coordinate Projection System]])),MAX($B$1:B2548)+1,0)</f>
        <v>2548</v>
      </c>
      <c r="C2549" t="str">
        <f t="shared" si="39"/>
        <v>New Beijing / Gauss-Kruger CM 129E</v>
      </c>
    </row>
    <row r="2550" spans="1:3" x14ac:dyDescent="0.3">
      <c r="A2550" t="s">
        <v>2607</v>
      </c>
      <c r="B2550">
        <f>IF(ISNUMBER(SEARCH(Form!$C$11,Tabel2[[#This Row],[Coordinate Projection System]])),MAX($B$1:B2549)+1,0)</f>
        <v>2549</v>
      </c>
      <c r="C2550" t="str">
        <f t="shared" si="39"/>
        <v>New Beijing / Gauss-Kruger CM 135E</v>
      </c>
    </row>
    <row r="2551" spans="1:3" x14ac:dyDescent="0.3">
      <c r="A2551" t="s">
        <v>2608</v>
      </c>
      <c r="B2551">
        <f>IF(ISNUMBER(SEARCH(Form!$C$11,Tabel2[[#This Row],[Coordinate Projection System]])),MAX($B$1:B2550)+1,0)</f>
        <v>2550</v>
      </c>
      <c r="C2551" t="str">
        <f t="shared" si="39"/>
        <v>ETRS89 / UTM zone 32N (zE-N)</v>
      </c>
    </row>
    <row r="2552" spans="1:3" x14ac:dyDescent="0.3">
      <c r="A2552" t="s">
        <v>2609</v>
      </c>
      <c r="B2552">
        <f>IF(ISNUMBER(SEARCH(Form!$C$11,Tabel2[[#This Row],[Coordinate Projection System]])),MAX($B$1:B2551)+1,0)</f>
        <v>2551</v>
      </c>
      <c r="C2552" t="str">
        <f t="shared" si="39"/>
        <v>New Beijing / 3-degree Gauss-Kruger zone 25</v>
      </c>
    </row>
    <row r="2553" spans="1:3" x14ac:dyDescent="0.3">
      <c r="A2553" t="s">
        <v>2610</v>
      </c>
      <c r="B2553">
        <f>IF(ISNUMBER(SEARCH(Form!$C$11,Tabel2[[#This Row],[Coordinate Projection System]])),MAX($B$1:B2552)+1,0)</f>
        <v>2552</v>
      </c>
      <c r="C2553" t="str">
        <f t="shared" si="39"/>
        <v>New Beijing / 3-degree Gauss-Kruger zone 26</v>
      </c>
    </row>
    <row r="2554" spans="1:3" x14ac:dyDescent="0.3">
      <c r="A2554" t="s">
        <v>2611</v>
      </c>
      <c r="B2554">
        <f>IF(ISNUMBER(SEARCH(Form!$C$11,Tabel2[[#This Row],[Coordinate Projection System]])),MAX($B$1:B2553)+1,0)</f>
        <v>2553</v>
      </c>
      <c r="C2554" t="str">
        <f t="shared" si="39"/>
        <v>New Beijing / 3-degree Gauss-Kruger zone 27</v>
      </c>
    </row>
    <row r="2555" spans="1:3" x14ac:dyDescent="0.3">
      <c r="A2555" t="s">
        <v>2612</v>
      </c>
      <c r="B2555">
        <f>IF(ISNUMBER(SEARCH(Form!$C$11,Tabel2[[#This Row],[Coordinate Projection System]])),MAX($B$1:B2554)+1,0)</f>
        <v>2554</v>
      </c>
      <c r="C2555" t="str">
        <f t="shared" si="39"/>
        <v>New Beijing / 3-degree Gauss-Kruger zone 28</v>
      </c>
    </row>
    <row r="2556" spans="1:3" x14ac:dyDescent="0.3">
      <c r="A2556" t="s">
        <v>2613</v>
      </c>
      <c r="B2556">
        <f>IF(ISNUMBER(SEARCH(Form!$C$11,Tabel2[[#This Row],[Coordinate Projection System]])),MAX($B$1:B2555)+1,0)</f>
        <v>2555</v>
      </c>
      <c r="C2556" t="str">
        <f t="shared" si="39"/>
        <v>New Beijing / 3-degree Gauss-Kruger zone 29</v>
      </c>
    </row>
    <row r="2557" spans="1:3" x14ac:dyDescent="0.3">
      <c r="A2557" t="s">
        <v>2614</v>
      </c>
      <c r="B2557">
        <f>IF(ISNUMBER(SEARCH(Form!$C$11,Tabel2[[#This Row],[Coordinate Projection System]])),MAX($B$1:B2556)+1,0)</f>
        <v>2556</v>
      </c>
      <c r="C2557" t="str">
        <f t="shared" si="39"/>
        <v>New Beijing / 3-degree Gauss-Kruger zone 30</v>
      </c>
    </row>
    <row r="2558" spans="1:3" x14ac:dyDescent="0.3">
      <c r="A2558" t="s">
        <v>2615</v>
      </c>
      <c r="B2558">
        <f>IF(ISNUMBER(SEARCH(Form!$C$11,Tabel2[[#This Row],[Coordinate Projection System]])),MAX($B$1:B2557)+1,0)</f>
        <v>2557</v>
      </c>
      <c r="C2558" t="str">
        <f t="shared" si="39"/>
        <v>New Beijing / 3-degree Gauss-Kruger zone 31</v>
      </c>
    </row>
    <row r="2559" spans="1:3" x14ac:dyDescent="0.3">
      <c r="A2559" t="s">
        <v>2616</v>
      </c>
      <c r="B2559">
        <f>IF(ISNUMBER(SEARCH(Form!$C$11,Tabel2[[#This Row],[Coordinate Projection System]])),MAX($B$1:B2558)+1,0)</f>
        <v>2558</v>
      </c>
      <c r="C2559" t="str">
        <f t="shared" si="39"/>
        <v>New Beijing / 3-degree Gauss-Kruger zone 32</v>
      </c>
    </row>
    <row r="2560" spans="1:3" x14ac:dyDescent="0.3">
      <c r="A2560" t="s">
        <v>2617</v>
      </c>
      <c r="B2560">
        <f>IF(ISNUMBER(SEARCH(Form!$C$11,Tabel2[[#This Row],[Coordinate Projection System]])),MAX($B$1:B2559)+1,0)</f>
        <v>2559</v>
      </c>
      <c r="C2560" t="str">
        <f t="shared" si="39"/>
        <v>New Beijing / 3-degree Gauss-Kruger zone 33</v>
      </c>
    </row>
    <row r="2561" spans="1:3" x14ac:dyDescent="0.3">
      <c r="A2561" t="s">
        <v>2618</v>
      </c>
      <c r="B2561">
        <f>IF(ISNUMBER(SEARCH(Form!$C$11,Tabel2[[#This Row],[Coordinate Projection System]])),MAX($B$1:B2560)+1,0)</f>
        <v>2560</v>
      </c>
      <c r="C2561" t="str">
        <f t="shared" si="39"/>
        <v>New Beijing / 3-degree Gauss-Kruger zone 34</v>
      </c>
    </row>
    <row r="2562" spans="1:3" x14ac:dyDescent="0.3">
      <c r="A2562" t="s">
        <v>2619</v>
      </c>
      <c r="B2562">
        <f>IF(ISNUMBER(SEARCH(Form!$C$11,Tabel2[[#This Row],[Coordinate Projection System]])),MAX($B$1:B2561)+1,0)</f>
        <v>2561</v>
      </c>
      <c r="C2562" t="str">
        <f t="shared" si="39"/>
        <v>New Beijing / 3-degree Gauss-Kruger zone 35</v>
      </c>
    </row>
    <row r="2563" spans="1:3" x14ac:dyDescent="0.3">
      <c r="A2563" t="s">
        <v>2620</v>
      </c>
      <c r="B2563">
        <f>IF(ISNUMBER(SEARCH(Form!$C$11,Tabel2[[#This Row],[Coordinate Projection System]])),MAX($B$1:B2562)+1,0)</f>
        <v>2562</v>
      </c>
      <c r="C2563" t="str">
        <f t="shared" ref="C2563:C2626" si="40">_xlfn.IFNA(INDEX(A2563:A8074,MATCH(ROW(C2562),B2563:B8074,0)),"")</f>
        <v>New Beijing / 3-degree Gauss-Kruger zone 36</v>
      </c>
    </row>
    <row r="2564" spans="1:3" x14ac:dyDescent="0.3">
      <c r="A2564" t="s">
        <v>2621</v>
      </c>
      <c r="B2564">
        <f>IF(ISNUMBER(SEARCH(Form!$C$11,Tabel2[[#This Row],[Coordinate Projection System]])),MAX($B$1:B2563)+1,0)</f>
        <v>2563</v>
      </c>
      <c r="C2564" t="str">
        <f t="shared" si="40"/>
        <v>New Beijing / 3-degree Gauss-Kruger zone 37</v>
      </c>
    </row>
    <row r="2565" spans="1:3" x14ac:dyDescent="0.3">
      <c r="A2565" t="s">
        <v>2622</v>
      </c>
      <c r="B2565">
        <f>IF(ISNUMBER(SEARCH(Form!$C$11,Tabel2[[#This Row],[Coordinate Projection System]])),MAX($B$1:B2564)+1,0)</f>
        <v>2564</v>
      </c>
      <c r="C2565" t="str">
        <f t="shared" si="40"/>
        <v>New Beijing / 3-degree Gauss-Kruger zone 38</v>
      </c>
    </row>
    <row r="2566" spans="1:3" x14ac:dyDescent="0.3">
      <c r="A2566" t="s">
        <v>2623</v>
      </c>
      <c r="B2566">
        <f>IF(ISNUMBER(SEARCH(Form!$C$11,Tabel2[[#This Row],[Coordinate Projection System]])),MAX($B$1:B2565)+1,0)</f>
        <v>2565</v>
      </c>
      <c r="C2566" t="str">
        <f t="shared" si="40"/>
        <v>New Beijing / 3-degree Gauss-Kruger zone 39</v>
      </c>
    </row>
    <row r="2567" spans="1:3" x14ac:dyDescent="0.3">
      <c r="A2567" t="s">
        <v>2624</v>
      </c>
      <c r="B2567">
        <f>IF(ISNUMBER(SEARCH(Form!$C$11,Tabel2[[#This Row],[Coordinate Projection System]])),MAX($B$1:B2566)+1,0)</f>
        <v>2566</v>
      </c>
      <c r="C2567" t="str">
        <f t="shared" si="40"/>
        <v>New Beijing / 3-degree Gauss-Kruger zone 40</v>
      </c>
    </row>
    <row r="2568" spans="1:3" x14ac:dyDescent="0.3">
      <c r="A2568" t="s">
        <v>2625</v>
      </c>
      <c r="B2568">
        <f>IF(ISNUMBER(SEARCH(Form!$C$11,Tabel2[[#This Row],[Coordinate Projection System]])),MAX($B$1:B2567)+1,0)</f>
        <v>2567</v>
      </c>
      <c r="C2568" t="str">
        <f t="shared" si="40"/>
        <v>New Beijing / 3-degree Gauss-Kruger zone 41</v>
      </c>
    </row>
    <row r="2569" spans="1:3" x14ac:dyDescent="0.3">
      <c r="A2569" t="s">
        <v>2626</v>
      </c>
      <c r="B2569">
        <f>IF(ISNUMBER(SEARCH(Form!$C$11,Tabel2[[#This Row],[Coordinate Projection System]])),MAX($B$1:B2568)+1,0)</f>
        <v>2568</v>
      </c>
      <c r="C2569" t="str">
        <f t="shared" si="40"/>
        <v>New Beijing / 3-degree Gauss-Kruger zone 42</v>
      </c>
    </row>
    <row r="2570" spans="1:3" x14ac:dyDescent="0.3">
      <c r="A2570" t="s">
        <v>2627</v>
      </c>
      <c r="B2570">
        <f>IF(ISNUMBER(SEARCH(Form!$C$11,Tabel2[[#This Row],[Coordinate Projection System]])),MAX($B$1:B2569)+1,0)</f>
        <v>2569</v>
      </c>
      <c r="C2570" t="str">
        <f t="shared" si="40"/>
        <v>New Beijing / 3-degree Gauss-Kruger zone 43</v>
      </c>
    </row>
    <row r="2571" spans="1:3" x14ac:dyDescent="0.3">
      <c r="A2571" t="s">
        <v>2628</v>
      </c>
      <c r="B2571">
        <f>IF(ISNUMBER(SEARCH(Form!$C$11,Tabel2[[#This Row],[Coordinate Projection System]])),MAX($B$1:B2570)+1,0)</f>
        <v>2570</v>
      </c>
      <c r="C2571" t="str">
        <f t="shared" si="40"/>
        <v>New Beijing / 3-degree Gauss-Kruger zone 44</v>
      </c>
    </row>
    <row r="2572" spans="1:3" x14ac:dyDescent="0.3">
      <c r="A2572" t="s">
        <v>2629</v>
      </c>
      <c r="B2572">
        <f>IF(ISNUMBER(SEARCH(Form!$C$11,Tabel2[[#This Row],[Coordinate Projection System]])),MAX($B$1:B2571)+1,0)</f>
        <v>2571</v>
      </c>
      <c r="C2572" t="str">
        <f t="shared" si="40"/>
        <v>New Beijing / 3-degree Gauss-Kruger zone 45</v>
      </c>
    </row>
    <row r="2573" spans="1:3" x14ac:dyDescent="0.3">
      <c r="A2573" t="s">
        <v>2630</v>
      </c>
      <c r="B2573">
        <f>IF(ISNUMBER(SEARCH(Form!$C$11,Tabel2[[#This Row],[Coordinate Projection System]])),MAX($B$1:B2572)+1,0)</f>
        <v>2572</v>
      </c>
      <c r="C2573" t="str">
        <f t="shared" si="40"/>
        <v>New Beijing / 3-degree Gauss-Kruger CM 75E</v>
      </c>
    </row>
    <row r="2574" spans="1:3" x14ac:dyDescent="0.3">
      <c r="A2574" t="s">
        <v>2631</v>
      </c>
      <c r="B2574">
        <f>IF(ISNUMBER(SEARCH(Form!$C$11,Tabel2[[#This Row],[Coordinate Projection System]])),MAX($B$1:B2573)+1,0)</f>
        <v>2573</v>
      </c>
      <c r="C2574" t="str">
        <f t="shared" si="40"/>
        <v>New Beijing / 3-degree Gauss-Kruger CM 78E</v>
      </c>
    </row>
    <row r="2575" spans="1:3" x14ac:dyDescent="0.3">
      <c r="A2575" t="s">
        <v>2632</v>
      </c>
      <c r="B2575">
        <f>IF(ISNUMBER(SEARCH(Form!$C$11,Tabel2[[#This Row],[Coordinate Projection System]])),MAX($B$1:B2574)+1,0)</f>
        <v>2574</v>
      </c>
      <c r="C2575" t="str">
        <f t="shared" si="40"/>
        <v>New Beijing / 3-degree Gauss-Kruger CM 81E</v>
      </c>
    </row>
    <row r="2576" spans="1:3" x14ac:dyDescent="0.3">
      <c r="A2576" t="s">
        <v>2633</v>
      </c>
      <c r="B2576">
        <f>IF(ISNUMBER(SEARCH(Form!$C$11,Tabel2[[#This Row],[Coordinate Projection System]])),MAX($B$1:B2575)+1,0)</f>
        <v>2575</v>
      </c>
      <c r="C2576" t="str">
        <f t="shared" si="40"/>
        <v>New Beijing / 3-degree Gauss-Kruger CM 84E</v>
      </c>
    </row>
    <row r="2577" spans="1:3" x14ac:dyDescent="0.3">
      <c r="A2577" t="s">
        <v>2634</v>
      </c>
      <c r="B2577">
        <f>IF(ISNUMBER(SEARCH(Form!$C$11,Tabel2[[#This Row],[Coordinate Projection System]])),MAX($B$1:B2576)+1,0)</f>
        <v>2576</v>
      </c>
      <c r="C2577" t="str">
        <f t="shared" si="40"/>
        <v>New Beijing / 3-degree Gauss-Kruger CM 87E</v>
      </c>
    </row>
    <row r="2578" spans="1:3" x14ac:dyDescent="0.3">
      <c r="A2578" t="s">
        <v>2635</v>
      </c>
      <c r="B2578">
        <f>IF(ISNUMBER(SEARCH(Form!$C$11,Tabel2[[#This Row],[Coordinate Projection System]])),MAX($B$1:B2577)+1,0)</f>
        <v>2577</v>
      </c>
      <c r="C2578" t="str">
        <f t="shared" si="40"/>
        <v>New Beijing / 3-degree Gauss-Kruger CM 90E</v>
      </c>
    </row>
    <row r="2579" spans="1:3" x14ac:dyDescent="0.3">
      <c r="A2579" t="s">
        <v>2636</v>
      </c>
      <c r="B2579">
        <f>IF(ISNUMBER(SEARCH(Form!$C$11,Tabel2[[#This Row],[Coordinate Projection System]])),MAX($B$1:B2578)+1,0)</f>
        <v>2578</v>
      </c>
      <c r="C2579" t="str">
        <f t="shared" si="40"/>
        <v>New Beijing / 3-degree Gauss-Kruger CM 93E</v>
      </c>
    </row>
    <row r="2580" spans="1:3" x14ac:dyDescent="0.3">
      <c r="A2580" t="s">
        <v>2637</v>
      </c>
      <c r="B2580">
        <f>IF(ISNUMBER(SEARCH(Form!$C$11,Tabel2[[#This Row],[Coordinate Projection System]])),MAX($B$1:B2579)+1,0)</f>
        <v>2579</v>
      </c>
      <c r="C2580" t="str">
        <f t="shared" si="40"/>
        <v>New Beijing / 3-degree Gauss-Kruger CM 96E</v>
      </c>
    </row>
    <row r="2581" spans="1:3" x14ac:dyDescent="0.3">
      <c r="A2581" t="s">
        <v>2638</v>
      </c>
      <c r="B2581">
        <f>IF(ISNUMBER(SEARCH(Form!$C$11,Tabel2[[#This Row],[Coordinate Projection System]])),MAX($B$1:B2580)+1,0)</f>
        <v>2580</v>
      </c>
      <c r="C2581" t="str">
        <f t="shared" si="40"/>
        <v>New Beijing / 3-degree Gauss-Kruger CM 99E</v>
      </c>
    </row>
    <row r="2582" spans="1:3" x14ac:dyDescent="0.3">
      <c r="A2582" t="s">
        <v>2639</v>
      </c>
      <c r="B2582">
        <f>IF(ISNUMBER(SEARCH(Form!$C$11,Tabel2[[#This Row],[Coordinate Projection System]])),MAX($B$1:B2581)+1,0)</f>
        <v>2581</v>
      </c>
      <c r="C2582" t="str">
        <f t="shared" si="40"/>
        <v>New Beijing / 3-degree Gauss-Kruger CM 102E</v>
      </c>
    </row>
    <row r="2583" spans="1:3" x14ac:dyDescent="0.3">
      <c r="A2583" t="s">
        <v>2640</v>
      </c>
      <c r="B2583">
        <f>IF(ISNUMBER(SEARCH(Form!$C$11,Tabel2[[#This Row],[Coordinate Projection System]])),MAX($B$1:B2582)+1,0)</f>
        <v>2582</v>
      </c>
      <c r="C2583" t="str">
        <f t="shared" si="40"/>
        <v>New Beijing / 3-degree Gauss-Kruger CM 105E</v>
      </c>
    </row>
    <row r="2584" spans="1:3" x14ac:dyDescent="0.3">
      <c r="A2584" t="s">
        <v>2641</v>
      </c>
      <c r="B2584">
        <f>IF(ISNUMBER(SEARCH(Form!$C$11,Tabel2[[#This Row],[Coordinate Projection System]])),MAX($B$1:B2583)+1,0)</f>
        <v>2583</v>
      </c>
      <c r="C2584" t="str">
        <f t="shared" si="40"/>
        <v>New Beijing / 3-degree Gauss-Kruger CM 108E</v>
      </c>
    </row>
    <row r="2585" spans="1:3" x14ac:dyDescent="0.3">
      <c r="A2585" t="s">
        <v>2642</v>
      </c>
      <c r="B2585">
        <f>IF(ISNUMBER(SEARCH(Form!$C$11,Tabel2[[#This Row],[Coordinate Projection System]])),MAX($B$1:B2584)+1,0)</f>
        <v>2584</v>
      </c>
      <c r="C2585" t="str">
        <f t="shared" si="40"/>
        <v>New Beijing / 3-degree Gauss-Kruger CM 111E</v>
      </c>
    </row>
    <row r="2586" spans="1:3" x14ac:dyDescent="0.3">
      <c r="A2586" t="s">
        <v>2643</v>
      </c>
      <c r="B2586">
        <f>IF(ISNUMBER(SEARCH(Form!$C$11,Tabel2[[#This Row],[Coordinate Projection System]])),MAX($B$1:B2585)+1,0)</f>
        <v>2585</v>
      </c>
      <c r="C2586" t="str">
        <f t="shared" si="40"/>
        <v>New Beijing / 3-degree Gauss-Kruger CM 114E</v>
      </c>
    </row>
    <row r="2587" spans="1:3" x14ac:dyDescent="0.3">
      <c r="A2587" t="s">
        <v>2644</v>
      </c>
      <c r="B2587">
        <f>IF(ISNUMBER(SEARCH(Form!$C$11,Tabel2[[#This Row],[Coordinate Projection System]])),MAX($B$1:B2586)+1,0)</f>
        <v>2586</v>
      </c>
      <c r="C2587" t="str">
        <f t="shared" si="40"/>
        <v>New Beijing / 3-degree Gauss-Kruger CM 117E</v>
      </c>
    </row>
    <row r="2588" spans="1:3" x14ac:dyDescent="0.3">
      <c r="A2588" t="s">
        <v>2645</v>
      </c>
      <c r="B2588">
        <f>IF(ISNUMBER(SEARCH(Form!$C$11,Tabel2[[#This Row],[Coordinate Projection System]])),MAX($B$1:B2587)+1,0)</f>
        <v>2587</v>
      </c>
      <c r="C2588" t="str">
        <f t="shared" si="40"/>
        <v>New Beijing / 3-degree Gauss-Kruger CM 120E</v>
      </c>
    </row>
    <row r="2589" spans="1:3" x14ac:dyDescent="0.3">
      <c r="A2589" t="s">
        <v>2646</v>
      </c>
      <c r="B2589">
        <f>IF(ISNUMBER(SEARCH(Form!$C$11,Tabel2[[#This Row],[Coordinate Projection System]])),MAX($B$1:B2588)+1,0)</f>
        <v>2588</v>
      </c>
      <c r="C2589" t="str">
        <f t="shared" si="40"/>
        <v>New Beijing / 3-degree Gauss-Kruger CM 123E</v>
      </c>
    </row>
    <row r="2590" spans="1:3" x14ac:dyDescent="0.3">
      <c r="A2590" t="s">
        <v>2647</v>
      </c>
      <c r="B2590">
        <f>IF(ISNUMBER(SEARCH(Form!$C$11,Tabel2[[#This Row],[Coordinate Projection System]])),MAX($B$1:B2589)+1,0)</f>
        <v>2589</v>
      </c>
      <c r="C2590" t="str">
        <f t="shared" si="40"/>
        <v>New Beijing / 3-degree Gauss-Kruger CM 126E</v>
      </c>
    </row>
    <row r="2591" spans="1:3" x14ac:dyDescent="0.3">
      <c r="A2591" t="s">
        <v>2648</v>
      </c>
      <c r="B2591">
        <f>IF(ISNUMBER(SEARCH(Form!$C$11,Tabel2[[#This Row],[Coordinate Projection System]])),MAX($B$1:B2590)+1,0)</f>
        <v>2590</v>
      </c>
      <c r="C2591" t="str">
        <f t="shared" si="40"/>
        <v>New Beijing / 3-degree Gauss-Kruger CM 129E</v>
      </c>
    </row>
    <row r="2592" spans="1:3" x14ac:dyDescent="0.3">
      <c r="A2592" t="s">
        <v>2649</v>
      </c>
      <c r="B2592">
        <f>IF(ISNUMBER(SEARCH(Form!$C$11,Tabel2[[#This Row],[Coordinate Projection System]])),MAX($B$1:B2591)+1,0)</f>
        <v>2591</v>
      </c>
      <c r="C2592" t="str">
        <f t="shared" si="40"/>
        <v>New Beijing / 3-degree Gauss-Kruger CM 132E</v>
      </c>
    </row>
    <row r="2593" spans="1:3" x14ac:dyDescent="0.3">
      <c r="A2593" t="s">
        <v>2650</v>
      </c>
      <c r="B2593">
        <f>IF(ISNUMBER(SEARCH(Form!$C$11,Tabel2[[#This Row],[Coordinate Projection System]])),MAX($B$1:B2592)+1,0)</f>
        <v>2592</v>
      </c>
      <c r="C2593" t="str">
        <f t="shared" si="40"/>
        <v>New Beijing / 3-degree Gauss-Kruger CM 135E</v>
      </c>
    </row>
    <row r="2594" spans="1:3" x14ac:dyDescent="0.3">
      <c r="A2594" t="s">
        <v>2651</v>
      </c>
      <c r="B2594">
        <f>IF(ISNUMBER(SEARCH(Form!$C$11,Tabel2[[#This Row],[Coordinate Projection System]])),MAX($B$1:B2593)+1,0)</f>
        <v>2593</v>
      </c>
      <c r="C2594" t="str">
        <f t="shared" si="40"/>
        <v>WGS 84 / Cape Verde National</v>
      </c>
    </row>
    <row r="2595" spans="1:3" x14ac:dyDescent="0.3">
      <c r="A2595" t="s">
        <v>2652</v>
      </c>
      <c r="B2595">
        <f>IF(ISNUMBER(SEARCH(Form!$C$11,Tabel2[[#This Row],[Coordinate Projection System]])),MAX($B$1:B2594)+1,0)</f>
        <v>2594</v>
      </c>
      <c r="C2595" t="str">
        <f t="shared" si="40"/>
        <v>ETRS89 / LCC Germany (N-E)</v>
      </c>
    </row>
    <row r="2596" spans="1:3" x14ac:dyDescent="0.3">
      <c r="A2596" t="s">
        <v>2653</v>
      </c>
      <c r="B2596">
        <f>IF(ISNUMBER(SEARCH(Form!$C$11,Tabel2[[#This Row],[Coordinate Projection System]])),MAX($B$1:B2595)+1,0)</f>
        <v>2595</v>
      </c>
      <c r="C2596" t="str">
        <f t="shared" si="40"/>
        <v>ETRS89 / NTM zone 5 (deprecated)</v>
      </c>
    </row>
    <row r="2597" spans="1:3" x14ac:dyDescent="0.3">
      <c r="A2597" t="s">
        <v>2654</v>
      </c>
      <c r="B2597">
        <f>IF(ISNUMBER(SEARCH(Form!$C$11,Tabel2[[#This Row],[Coordinate Projection System]])),MAX($B$1:B2596)+1,0)</f>
        <v>2596</v>
      </c>
      <c r="C2597" t="str">
        <f t="shared" si="40"/>
        <v>ETRS89 / NTM zone 6 (deprecated)</v>
      </c>
    </row>
    <row r="2598" spans="1:3" x14ac:dyDescent="0.3">
      <c r="A2598" t="s">
        <v>2655</v>
      </c>
      <c r="B2598">
        <f>IF(ISNUMBER(SEARCH(Form!$C$11,Tabel2[[#This Row],[Coordinate Projection System]])),MAX($B$1:B2597)+1,0)</f>
        <v>2597</v>
      </c>
      <c r="C2598" t="str">
        <f t="shared" si="40"/>
        <v>ETRS89 / NTM zone 7 (deprecated)</v>
      </c>
    </row>
    <row r="2599" spans="1:3" x14ac:dyDescent="0.3">
      <c r="A2599" t="s">
        <v>2656</v>
      </c>
      <c r="B2599">
        <f>IF(ISNUMBER(SEARCH(Form!$C$11,Tabel2[[#This Row],[Coordinate Projection System]])),MAX($B$1:B2598)+1,0)</f>
        <v>2598</v>
      </c>
      <c r="C2599" t="str">
        <f t="shared" si="40"/>
        <v>ETRS89 / NTM zone 8 (deprecated)</v>
      </c>
    </row>
    <row r="2600" spans="1:3" x14ac:dyDescent="0.3">
      <c r="A2600" t="s">
        <v>2657</v>
      </c>
      <c r="B2600">
        <f>IF(ISNUMBER(SEARCH(Form!$C$11,Tabel2[[#This Row],[Coordinate Projection System]])),MAX($B$1:B2599)+1,0)</f>
        <v>2599</v>
      </c>
      <c r="C2600" t="str">
        <f t="shared" si="40"/>
        <v>ETRS89 / NTM zone 9 (deprecated)</v>
      </c>
    </row>
    <row r="2601" spans="1:3" x14ac:dyDescent="0.3">
      <c r="A2601" t="s">
        <v>2658</v>
      </c>
      <c r="B2601">
        <f>IF(ISNUMBER(SEARCH(Form!$C$11,Tabel2[[#This Row],[Coordinate Projection System]])),MAX($B$1:B2600)+1,0)</f>
        <v>2600</v>
      </c>
      <c r="C2601" t="str">
        <f t="shared" si="40"/>
        <v>ETRS89 / NTM zone 10 (deprecated)</v>
      </c>
    </row>
    <row r="2602" spans="1:3" x14ac:dyDescent="0.3">
      <c r="A2602" t="s">
        <v>2659</v>
      </c>
      <c r="B2602">
        <f>IF(ISNUMBER(SEARCH(Form!$C$11,Tabel2[[#This Row],[Coordinate Projection System]])),MAX($B$1:B2601)+1,0)</f>
        <v>2601</v>
      </c>
      <c r="C2602" t="str">
        <f t="shared" si="40"/>
        <v>ETRS89 / NTM zone 11 (deprecated)</v>
      </c>
    </row>
    <row r="2603" spans="1:3" x14ac:dyDescent="0.3">
      <c r="A2603" t="s">
        <v>2660</v>
      </c>
      <c r="B2603">
        <f>IF(ISNUMBER(SEARCH(Form!$C$11,Tabel2[[#This Row],[Coordinate Projection System]])),MAX($B$1:B2602)+1,0)</f>
        <v>2602</v>
      </c>
      <c r="C2603" t="str">
        <f t="shared" si="40"/>
        <v>ETRS89 / NTM zone 12 (deprecated)</v>
      </c>
    </row>
    <row r="2604" spans="1:3" x14ac:dyDescent="0.3">
      <c r="A2604" t="s">
        <v>2661</v>
      </c>
      <c r="B2604">
        <f>IF(ISNUMBER(SEARCH(Form!$C$11,Tabel2[[#This Row],[Coordinate Projection System]])),MAX($B$1:B2603)+1,0)</f>
        <v>2603</v>
      </c>
      <c r="C2604" t="str">
        <f t="shared" si="40"/>
        <v>ETRS89 / NTM zone 13 (deprecated)</v>
      </c>
    </row>
    <row r="2605" spans="1:3" x14ac:dyDescent="0.3">
      <c r="A2605" t="s">
        <v>2662</v>
      </c>
      <c r="B2605">
        <f>IF(ISNUMBER(SEARCH(Form!$C$11,Tabel2[[#This Row],[Coordinate Projection System]])),MAX($B$1:B2604)+1,0)</f>
        <v>2604</v>
      </c>
      <c r="C2605" t="str">
        <f t="shared" si="40"/>
        <v>ETRS89 / NTM zone 14 (deprecated)</v>
      </c>
    </row>
    <row r="2606" spans="1:3" x14ac:dyDescent="0.3">
      <c r="A2606" t="s">
        <v>2663</v>
      </c>
      <c r="B2606">
        <f>IF(ISNUMBER(SEARCH(Form!$C$11,Tabel2[[#This Row],[Coordinate Projection System]])),MAX($B$1:B2605)+1,0)</f>
        <v>2605</v>
      </c>
      <c r="C2606" t="str">
        <f t="shared" si="40"/>
        <v>ETRS89 / NTM zone 15 (deprecated)</v>
      </c>
    </row>
    <row r="2607" spans="1:3" x14ac:dyDescent="0.3">
      <c r="A2607" t="s">
        <v>2664</v>
      </c>
      <c r="B2607">
        <f>IF(ISNUMBER(SEARCH(Form!$C$11,Tabel2[[#This Row],[Coordinate Projection System]])),MAX($B$1:B2606)+1,0)</f>
        <v>2606</v>
      </c>
      <c r="C2607" t="str">
        <f t="shared" si="40"/>
        <v>ETRS89 / NTM zone 16 (deprecated)</v>
      </c>
    </row>
    <row r="2608" spans="1:3" x14ac:dyDescent="0.3">
      <c r="A2608" t="s">
        <v>2665</v>
      </c>
      <c r="B2608">
        <f>IF(ISNUMBER(SEARCH(Form!$C$11,Tabel2[[#This Row],[Coordinate Projection System]])),MAX($B$1:B2607)+1,0)</f>
        <v>2607</v>
      </c>
      <c r="C2608" t="str">
        <f t="shared" si="40"/>
        <v>ETRS89 / NTM zone 17 (deprecated)</v>
      </c>
    </row>
    <row r="2609" spans="1:3" x14ac:dyDescent="0.3">
      <c r="A2609" t="s">
        <v>2666</v>
      </c>
      <c r="B2609">
        <f>IF(ISNUMBER(SEARCH(Form!$C$11,Tabel2[[#This Row],[Coordinate Projection System]])),MAX($B$1:B2608)+1,0)</f>
        <v>2608</v>
      </c>
      <c r="C2609" t="str">
        <f t="shared" si="40"/>
        <v>ETRS89 / NTM zone 18 (deprecated)</v>
      </c>
    </row>
    <row r="2610" spans="1:3" x14ac:dyDescent="0.3">
      <c r="A2610" t="s">
        <v>2667</v>
      </c>
      <c r="B2610">
        <f>IF(ISNUMBER(SEARCH(Form!$C$11,Tabel2[[#This Row],[Coordinate Projection System]])),MAX($B$1:B2609)+1,0)</f>
        <v>2609</v>
      </c>
      <c r="C2610" t="str">
        <f t="shared" si="40"/>
        <v>ETRS89 / NTM zone 19 (deprecated)</v>
      </c>
    </row>
    <row r="2611" spans="1:3" x14ac:dyDescent="0.3">
      <c r="A2611" t="s">
        <v>2668</v>
      </c>
      <c r="B2611">
        <f>IF(ISNUMBER(SEARCH(Form!$C$11,Tabel2[[#This Row],[Coordinate Projection System]])),MAX($B$1:B2610)+1,0)</f>
        <v>2610</v>
      </c>
      <c r="C2611" t="str">
        <f t="shared" si="40"/>
        <v>ETRS89 / NTM zone 20 (deprecated)</v>
      </c>
    </row>
    <row r="2612" spans="1:3" x14ac:dyDescent="0.3">
      <c r="A2612" t="s">
        <v>2669</v>
      </c>
      <c r="B2612">
        <f>IF(ISNUMBER(SEARCH(Form!$C$11,Tabel2[[#This Row],[Coordinate Projection System]])),MAX($B$1:B2611)+1,0)</f>
        <v>2611</v>
      </c>
      <c r="C2612" t="str">
        <f t="shared" si="40"/>
        <v>ETRS89 / NTM zone 21 (deprecated)</v>
      </c>
    </row>
    <row r="2613" spans="1:3" x14ac:dyDescent="0.3">
      <c r="A2613" t="s">
        <v>2670</v>
      </c>
      <c r="B2613">
        <f>IF(ISNUMBER(SEARCH(Form!$C$11,Tabel2[[#This Row],[Coordinate Projection System]])),MAX($B$1:B2612)+1,0)</f>
        <v>2612</v>
      </c>
      <c r="C2613" t="str">
        <f t="shared" si="40"/>
        <v>ETRS89 / NTM zone 22 (deprecated)</v>
      </c>
    </row>
    <row r="2614" spans="1:3" x14ac:dyDescent="0.3">
      <c r="A2614" t="s">
        <v>2671</v>
      </c>
      <c r="B2614">
        <f>IF(ISNUMBER(SEARCH(Form!$C$11,Tabel2[[#This Row],[Coordinate Projection System]])),MAX($B$1:B2613)+1,0)</f>
        <v>2613</v>
      </c>
      <c r="C2614" t="str">
        <f t="shared" si="40"/>
        <v>ETRS89 / NTM zone 23 (deprecated)</v>
      </c>
    </row>
    <row r="2615" spans="1:3" x14ac:dyDescent="0.3">
      <c r="A2615" t="s">
        <v>2672</v>
      </c>
      <c r="B2615">
        <f>IF(ISNUMBER(SEARCH(Form!$C$11,Tabel2[[#This Row],[Coordinate Projection System]])),MAX($B$1:B2614)+1,0)</f>
        <v>2614</v>
      </c>
      <c r="C2615" t="str">
        <f t="shared" si="40"/>
        <v>ETRS89 / NTM zone 24 (deprecated)</v>
      </c>
    </row>
    <row r="2616" spans="1:3" x14ac:dyDescent="0.3">
      <c r="A2616" t="s">
        <v>2673</v>
      </c>
      <c r="B2616">
        <f>IF(ISNUMBER(SEARCH(Form!$C$11,Tabel2[[#This Row],[Coordinate Projection System]])),MAX($B$1:B2615)+1,0)</f>
        <v>2615</v>
      </c>
      <c r="C2616" t="str">
        <f t="shared" si="40"/>
        <v>ETRS89 / NTM zone 25 (deprecated)</v>
      </c>
    </row>
    <row r="2617" spans="1:3" x14ac:dyDescent="0.3">
      <c r="A2617" t="s">
        <v>2674</v>
      </c>
      <c r="B2617">
        <f>IF(ISNUMBER(SEARCH(Form!$C$11,Tabel2[[#This Row],[Coordinate Projection System]])),MAX($B$1:B2616)+1,0)</f>
        <v>2616</v>
      </c>
      <c r="C2617" t="str">
        <f t="shared" si="40"/>
        <v>ETRS89 / NTM zone 26 (deprecated)</v>
      </c>
    </row>
    <row r="2618" spans="1:3" x14ac:dyDescent="0.3">
      <c r="A2618" t="s">
        <v>2675</v>
      </c>
      <c r="B2618">
        <f>IF(ISNUMBER(SEARCH(Form!$C$11,Tabel2[[#This Row],[Coordinate Projection System]])),MAX($B$1:B2617)+1,0)</f>
        <v>2617</v>
      </c>
      <c r="C2618" t="str">
        <f t="shared" si="40"/>
        <v>ETRS89 / NTM zone 27 (deprecated)</v>
      </c>
    </row>
    <row r="2619" spans="1:3" x14ac:dyDescent="0.3">
      <c r="A2619" t="s">
        <v>2676</v>
      </c>
      <c r="B2619">
        <f>IF(ISNUMBER(SEARCH(Form!$C$11,Tabel2[[#This Row],[Coordinate Projection System]])),MAX($B$1:B2618)+1,0)</f>
        <v>2618</v>
      </c>
      <c r="C2619" t="str">
        <f t="shared" si="40"/>
        <v>ETRS89 / NTM zone 28 (deprecated)</v>
      </c>
    </row>
    <row r="2620" spans="1:3" x14ac:dyDescent="0.3">
      <c r="A2620" t="s">
        <v>2677</v>
      </c>
      <c r="B2620">
        <f>IF(ISNUMBER(SEARCH(Form!$C$11,Tabel2[[#This Row],[Coordinate Projection System]])),MAX($B$1:B2619)+1,0)</f>
        <v>2619</v>
      </c>
      <c r="C2620" t="str">
        <f t="shared" si="40"/>
        <v>ETRS89 / NTM zone 29 (deprecated)</v>
      </c>
    </row>
    <row r="2621" spans="1:3" x14ac:dyDescent="0.3">
      <c r="A2621" t="s">
        <v>2678</v>
      </c>
      <c r="B2621">
        <f>IF(ISNUMBER(SEARCH(Form!$C$11,Tabel2[[#This Row],[Coordinate Projection System]])),MAX($B$1:B2620)+1,0)</f>
        <v>2620</v>
      </c>
      <c r="C2621" t="str">
        <f t="shared" si="40"/>
        <v>ETRS89 / NTM zone 30 (deprecated)</v>
      </c>
    </row>
    <row r="2622" spans="1:3" x14ac:dyDescent="0.3">
      <c r="A2622" t="s">
        <v>2679</v>
      </c>
      <c r="B2622">
        <f>IF(ISNUMBER(SEARCH(Form!$C$11,Tabel2[[#This Row],[Coordinate Projection System]])),MAX($B$1:B2621)+1,0)</f>
        <v>2621</v>
      </c>
      <c r="C2622" t="str">
        <f t="shared" si="40"/>
        <v>PTRA08 / UTM zone 25N</v>
      </c>
    </row>
    <row r="2623" spans="1:3" x14ac:dyDescent="0.3">
      <c r="A2623" t="s">
        <v>2680</v>
      </c>
      <c r="B2623">
        <f>IF(ISNUMBER(SEARCH(Form!$C$11,Tabel2[[#This Row],[Coordinate Projection System]])),MAX($B$1:B2622)+1,0)</f>
        <v>2622</v>
      </c>
      <c r="C2623" t="str">
        <f t="shared" si="40"/>
        <v>PTRA08 / UTM zone 26N</v>
      </c>
    </row>
    <row r="2624" spans="1:3" x14ac:dyDescent="0.3">
      <c r="A2624" t="s">
        <v>2681</v>
      </c>
      <c r="B2624">
        <f>IF(ISNUMBER(SEARCH(Form!$C$11,Tabel2[[#This Row],[Coordinate Projection System]])),MAX($B$1:B2623)+1,0)</f>
        <v>2623</v>
      </c>
      <c r="C2624" t="str">
        <f t="shared" si="40"/>
        <v>PTRA08 / UTM zone 28N</v>
      </c>
    </row>
    <row r="2625" spans="1:3" x14ac:dyDescent="0.3">
      <c r="A2625" t="s">
        <v>2682</v>
      </c>
      <c r="B2625">
        <f>IF(ISNUMBER(SEARCH(Form!$C$11,Tabel2[[#This Row],[Coordinate Projection System]])),MAX($B$1:B2624)+1,0)</f>
        <v>2624</v>
      </c>
      <c r="C2625" t="str">
        <f t="shared" si="40"/>
        <v>Lisbon 1890 / Portugal Bonne NewUnable to translate coordinate system EPSG:5017 into PROJ.4 format.</v>
      </c>
    </row>
    <row r="2626" spans="1:3" x14ac:dyDescent="0.3">
      <c r="A2626" t="s">
        <v>2683</v>
      </c>
      <c r="B2626">
        <f>IF(ISNUMBER(SEARCH(Form!$C$11,Tabel2[[#This Row],[Coordinate Projection System]])),MAX($B$1:B2625)+1,0)</f>
        <v>2625</v>
      </c>
      <c r="C2626" t="str">
        <f t="shared" si="40"/>
        <v>Lisbon / Portuguese Grid New</v>
      </c>
    </row>
    <row r="2627" spans="1:3" x14ac:dyDescent="0.3">
      <c r="A2627" t="s">
        <v>2684</v>
      </c>
      <c r="B2627">
        <f>IF(ISNUMBER(SEARCH(Form!$C$11,Tabel2[[#This Row],[Coordinate Projection System]])),MAX($B$1:B2626)+1,0)</f>
        <v>2626</v>
      </c>
      <c r="C2627" t="str">
        <f t="shared" ref="C2627:C2690" si="41">_xlfn.IFNA(INDEX(A2627:A8138,MATCH(ROW(C2626),B2627:B8138,0)),"")</f>
        <v>WGS 84 / UPS North (E,N)</v>
      </c>
    </row>
    <row r="2628" spans="1:3" x14ac:dyDescent="0.3">
      <c r="A2628" t="s">
        <v>2685</v>
      </c>
      <c r="B2628">
        <f>IF(ISNUMBER(SEARCH(Form!$C$11,Tabel2[[#This Row],[Coordinate Projection System]])),MAX($B$1:B2627)+1,0)</f>
        <v>2627</v>
      </c>
      <c r="C2628" t="str">
        <f t="shared" si="41"/>
        <v>WGS 84 / UPS South (E,N)</v>
      </c>
    </row>
    <row r="2629" spans="1:3" x14ac:dyDescent="0.3">
      <c r="A2629" t="s">
        <v>2686</v>
      </c>
      <c r="B2629">
        <f>IF(ISNUMBER(SEARCH(Form!$C$11,Tabel2[[#This Row],[Coordinate Projection System]])),MAX($B$1:B2628)+1,0)</f>
        <v>2628</v>
      </c>
      <c r="C2629" t="str">
        <f t="shared" si="41"/>
        <v>ETRS89 / TM35FIN(N,E)</v>
      </c>
    </row>
    <row r="2630" spans="1:3" x14ac:dyDescent="0.3">
      <c r="A2630" t="s">
        <v>2687</v>
      </c>
      <c r="B2630">
        <f>IF(ISNUMBER(SEARCH(Form!$C$11,Tabel2[[#This Row],[Coordinate Projection System]])),MAX($B$1:B2629)+1,0)</f>
        <v>2629</v>
      </c>
      <c r="C2630" t="str">
        <f t="shared" si="41"/>
        <v>NAD27 / Conus Albers</v>
      </c>
    </row>
    <row r="2631" spans="1:3" x14ac:dyDescent="0.3">
      <c r="A2631" t="s">
        <v>2688</v>
      </c>
      <c r="B2631">
        <f>IF(ISNUMBER(SEARCH(Form!$C$11,Tabel2[[#This Row],[Coordinate Projection System]])),MAX($B$1:B2630)+1,0)</f>
        <v>2630</v>
      </c>
      <c r="C2631" t="str">
        <f t="shared" si="41"/>
        <v>NAD83 / Conus Albers</v>
      </c>
    </row>
    <row r="2632" spans="1:3" x14ac:dyDescent="0.3">
      <c r="A2632" t="s">
        <v>2689</v>
      </c>
      <c r="B2632">
        <f>IF(ISNUMBER(SEARCH(Form!$C$11,Tabel2[[#This Row],[Coordinate Projection System]])),MAX($B$1:B2631)+1,0)</f>
        <v>2631</v>
      </c>
      <c r="C2632" t="str">
        <f t="shared" si="41"/>
        <v>NAD83(HARN) / Conus Albers</v>
      </c>
    </row>
    <row r="2633" spans="1:3" x14ac:dyDescent="0.3">
      <c r="A2633" t="s">
        <v>2690</v>
      </c>
      <c r="B2633">
        <f>IF(ISNUMBER(SEARCH(Form!$C$11,Tabel2[[#This Row],[Coordinate Projection System]])),MAX($B$1:B2632)+1,0)</f>
        <v>2632</v>
      </c>
      <c r="C2633" t="str">
        <f t="shared" si="41"/>
        <v>NAD83(NSRS2007) / Conus Albers</v>
      </c>
    </row>
    <row r="2634" spans="1:3" x14ac:dyDescent="0.3">
      <c r="A2634" t="s">
        <v>2691</v>
      </c>
      <c r="B2634">
        <f>IF(ISNUMBER(SEARCH(Form!$C$11,Tabel2[[#This Row],[Coordinate Projection System]])),MAX($B$1:B2633)+1,0)</f>
        <v>2633</v>
      </c>
      <c r="C2634" t="str">
        <f t="shared" si="41"/>
        <v>ETRS89 / NTM zone 5</v>
      </c>
    </row>
    <row r="2635" spans="1:3" x14ac:dyDescent="0.3">
      <c r="A2635" t="s">
        <v>2692</v>
      </c>
      <c r="B2635">
        <f>IF(ISNUMBER(SEARCH(Form!$C$11,Tabel2[[#This Row],[Coordinate Projection System]])),MAX($B$1:B2634)+1,0)</f>
        <v>2634</v>
      </c>
      <c r="C2635" t="str">
        <f t="shared" si="41"/>
        <v>ETRS89 / NTM zone 6</v>
      </c>
    </row>
    <row r="2636" spans="1:3" x14ac:dyDescent="0.3">
      <c r="A2636" t="s">
        <v>2693</v>
      </c>
      <c r="B2636">
        <f>IF(ISNUMBER(SEARCH(Form!$C$11,Tabel2[[#This Row],[Coordinate Projection System]])),MAX($B$1:B2635)+1,0)</f>
        <v>2635</v>
      </c>
      <c r="C2636" t="str">
        <f t="shared" si="41"/>
        <v>ETRS89 / NTM zone 7</v>
      </c>
    </row>
    <row r="2637" spans="1:3" x14ac:dyDescent="0.3">
      <c r="A2637" t="s">
        <v>2694</v>
      </c>
      <c r="B2637">
        <f>IF(ISNUMBER(SEARCH(Form!$C$11,Tabel2[[#This Row],[Coordinate Projection System]])),MAX($B$1:B2636)+1,0)</f>
        <v>2636</v>
      </c>
      <c r="C2637" t="str">
        <f t="shared" si="41"/>
        <v>ETRS89 / NTM zone 8</v>
      </c>
    </row>
    <row r="2638" spans="1:3" x14ac:dyDescent="0.3">
      <c r="A2638" t="s">
        <v>2695</v>
      </c>
      <c r="B2638">
        <f>IF(ISNUMBER(SEARCH(Form!$C$11,Tabel2[[#This Row],[Coordinate Projection System]])),MAX($B$1:B2637)+1,0)</f>
        <v>2637</v>
      </c>
      <c r="C2638" t="str">
        <f t="shared" si="41"/>
        <v>ETRS89 / NTM zone 9</v>
      </c>
    </row>
    <row r="2639" spans="1:3" x14ac:dyDescent="0.3">
      <c r="A2639" t="s">
        <v>2696</v>
      </c>
      <c r="B2639">
        <f>IF(ISNUMBER(SEARCH(Form!$C$11,Tabel2[[#This Row],[Coordinate Projection System]])),MAX($B$1:B2638)+1,0)</f>
        <v>2638</v>
      </c>
      <c r="C2639" t="str">
        <f t="shared" si="41"/>
        <v>ETRS89 / NTM zone 10</v>
      </c>
    </row>
    <row r="2640" spans="1:3" x14ac:dyDescent="0.3">
      <c r="A2640" t="s">
        <v>2697</v>
      </c>
      <c r="B2640">
        <f>IF(ISNUMBER(SEARCH(Form!$C$11,Tabel2[[#This Row],[Coordinate Projection System]])),MAX($B$1:B2639)+1,0)</f>
        <v>2639</v>
      </c>
      <c r="C2640" t="str">
        <f t="shared" si="41"/>
        <v>ETRS89 / NTM zone 11</v>
      </c>
    </row>
    <row r="2641" spans="1:3" x14ac:dyDescent="0.3">
      <c r="A2641" t="s">
        <v>2698</v>
      </c>
      <c r="B2641">
        <f>IF(ISNUMBER(SEARCH(Form!$C$11,Tabel2[[#This Row],[Coordinate Projection System]])),MAX($B$1:B2640)+1,0)</f>
        <v>2640</v>
      </c>
      <c r="C2641" t="str">
        <f t="shared" si="41"/>
        <v>ETRS89 / NTM zone 12</v>
      </c>
    </row>
    <row r="2642" spans="1:3" x14ac:dyDescent="0.3">
      <c r="A2642" t="s">
        <v>2699</v>
      </c>
      <c r="B2642">
        <f>IF(ISNUMBER(SEARCH(Form!$C$11,Tabel2[[#This Row],[Coordinate Projection System]])),MAX($B$1:B2641)+1,0)</f>
        <v>2641</v>
      </c>
      <c r="C2642" t="str">
        <f t="shared" si="41"/>
        <v>ETRS89 / NTM zone 13</v>
      </c>
    </row>
    <row r="2643" spans="1:3" x14ac:dyDescent="0.3">
      <c r="A2643" t="s">
        <v>2700</v>
      </c>
      <c r="B2643">
        <f>IF(ISNUMBER(SEARCH(Form!$C$11,Tabel2[[#This Row],[Coordinate Projection System]])),MAX($B$1:B2642)+1,0)</f>
        <v>2642</v>
      </c>
      <c r="C2643" t="str">
        <f t="shared" si="41"/>
        <v>ETRS89 / NTM zone 14</v>
      </c>
    </row>
    <row r="2644" spans="1:3" x14ac:dyDescent="0.3">
      <c r="A2644" t="s">
        <v>2701</v>
      </c>
      <c r="B2644">
        <f>IF(ISNUMBER(SEARCH(Form!$C$11,Tabel2[[#This Row],[Coordinate Projection System]])),MAX($B$1:B2643)+1,0)</f>
        <v>2643</v>
      </c>
      <c r="C2644" t="str">
        <f t="shared" si="41"/>
        <v>ETRS89 / NTM zone 15</v>
      </c>
    </row>
    <row r="2645" spans="1:3" x14ac:dyDescent="0.3">
      <c r="A2645" t="s">
        <v>2702</v>
      </c>
      <c r="B2645">
        <f>IF(ISNUMBER(SEARCH(Form!$C$11,Tabel2[[#This Row],[Coordinate Projection System]])),MAX($B$1:B2644)+1,0)</f>
        <v>2644</v>
      </c>
      <c r="C2645" t="str">
        <f t="shared" si="41"/>
        <v>ETRS89 / NTM zone 16</v>
      </c>
    </row>
    <row r="2646" spans="1:3" x14ac:dyDescent="0.3">
      <c r="A2646" t="s">
        <v>2703</v>
      </c>
      <c r="B2646">
        <f>IF(ISNUMBER(SEARCH(Form!$C$11,Tabel2[[#This Row],[Coordinate Projection System]])),MAX($B$1:B2645)+1,0)</f>
        <v>2645</v>
      </c>
      <c r="C2646" t="str">
        <f t="shared" si="41"/>
        <v>ETRS89 / NTM zone 17</v>
      </c>
    </row>
    <row r="2647" spans="1:3" x14ac:dyDescent="0.3">
      <c r="A2647" t="s">
        <v>2704</v>
      </c>
      <c r="B2647">
        <f>IF(ISNUMBER(SEARCH(Form!$C$11,Tabel2[[#This Row],[Coordinate Projection System]])),MAX($B$1:B2646)+1,0)</f>
        <v>2646</v>
      </c>
      <c r="C2647" t="str">
        <f t="shared" si="41"/>
        <v>ETRS89 / NTM zone 18</v>
      </c>
    </row>
    <row r="2648" spans="1:3" x14ac:dyDescent="0.3">
      <c r="A2648" t="s">
        <v>2705</v>
      </c>
      <c r="B2648">
        <f>IF(ISNUMBER(SEARCH(Form!$C$11,Tabel2[[#This Row],[Coordinate Projection System]])),MAX($B$1:B2647)+1,0)</f>
        <v>2647</v>
      </c>
      <c r="C2648" t="str">
        <f t="shared" si="41"/>
        <v>ETRS89 / NTM zone 19</v>
      </c>
    </row>
    <row r="2649" spans="1:3" x14ac:dyDescent="0.3">
      <c r="A2649" t="s">
        <v>2706</v>
      </c>
      <c r="B2649">
        <f>IF(ISNUMBER(SEARCH(Form!$C$11,Tabel2[[#This Row],[Coordinate Projection System]])),MAX($B$1:B2648)+1,0)</f>
        <v>2648</v>
      </c>
      <c r="C2649" t="str">
        <f t="shared" si="41"/>
        <v>ETRS89 / NTM zone 20</v>
      </c>
    </row>
    <row r="2650" spans="1:3" x14ac:dyDescent="0.3">
      <c r="A2650" t="s">
        <v>2707</v>
      </c>
      <c r="B2650">
        <f>IF(ISNUMBER(SEARCH(Form!$C$11,Tabel2[[#This Row],[Coordinate Projection System]])),MAX($B$1:B2649)+1,0)</f>
        <v>2649</v>
      </c>
      <c r="C2650" t="str">
        <f t="shared" si="41"/>
        <v>ETRS89 / NTM zone 21</v>
      </c>
    </row>
    <row r="2651" spans="1:3" x14ac:dyDescent="0.3">
      <c r="A2651" t="s">
        <v>2708</v>
      </c>
      <c r="B2651">
        <f>IF(ISNUMBER(SEARCH(Form!$C$11,Tabel2[[#This Row],[Coordinate Projection System]])),MAX($B$1:B2650)+1,0)</f>
        <v>2650</v>
      </c>
      <c r="C2651" t="str">
        <f t="shared" si="41"/>
        <v>ETRS89 / NTM zone 22</v>
      </c>
    </row>
    <row r="2652" spans="1:3" x14ac:dyDescent="0.3">
      <c r="A2652" t="s">
        <v>2709</v>
      </c>
      <c r="B2652">
        <f>IF(ISNUMBER(SEARCH(Form!$C$11,Tabel2[[#This Row],[Coordinate Projection System]])),MAX($B$1:B2651)+1,0)</f>
        <v>2651</v>
      </c>
      <c r="C2652" t="str">
        <f t="shared" si="41"/>
        <v>ETRS89 / NTM zone 23</v>
      </c>
    </row>
    <row r="2653" spans="1:3" x14ac:dyDescent="0.3">
      <c r="A2653" t="s">
        <v>2710</v>
      </c>
      <c r="B2653">
        <f>IF(ISNUMBER(SEARCH(Form!$C$11,Tabel2[[#This Row],[Coordinate Projection System]])),MAX($B$1:B2652)+1,0)</f>
        <v>2652</v>
      </c>
      <c r="C2653" t="str">
        <f t="shared" si="41"/>
        <v>ETRS89 / NTM zone 24</v>
      </c>
    </row>
    <row r="2654" spans="1:3" x14ac:dyDescent="0.3">
      <c r="A2654" t="s">
        <v>2711</v>
      </c>
      <c r="B2654">
        <f>IF(ISNUMBER(SEARCH(Form!$C$11,Tabel2[[#This Row],[Coordinate Projection System]])),MAX($B$1:B2653)+1,0)</f>
        <v>2653</v>
      </c>
      <c r="C2654" t="str">
        <f t="shared" si="41"/>
        <v>ETRS89 / NTM zone 25</v>
      </c>
    </row>
    <row r="2655" spans="1:3" x14ac:dyDescent="0.3">
      <c r="A2655" t="s">
        <v>2712</v>
      </c>
      <c r="B2655">
        <f>IF(ISNUMBER(SEARCH(Form!$C$11,Tabel2[[#This Row],[Coordinate Projection System]])),MAX($B$1:B2654)+1,0)</f>
        <v>2654</v>
      </c>
      <c r="C2655" t="str">
        <f t="shared" si="41"/>
        <v>ETRS89 / NTM zone 26</v>
      </c>
    </row>
    <row r="2656" spans="1:3" x14ac:dyDescent="0.3">
      <c r="A2656" t="s">
        <v>2713</v>
      </c>
      <c r="B2656">
        <f>IF(ISNUMBER(SEARCH(Form!$C$11,Tabel2[[#This Row],[Coordinate Projection System]])),MAX($B$1:B2655)+1,0)</f>
        <v>2655</v>
      </c>
      <c r="C2656" t="str">
        <f t="shared" si="41"/>
        <v>ETRS89 / NTM zone 27</v>
      </c>
    </row>
    <row r="2657" spans="1:3" x14ac:dyDescent="0.3">
      <c r="A2657" t="s">
        <v>2714</v>
      </c>
      <c r="B2657">
        <f>IF(ISNUMBER(SEARCH(Form!$C$11,Tabel2[[#This Row],[Coordinate Projection System]])),MAX($B$1:B2656)+1,0)</f>
        <v>2656</v>
      </c>
      <c r="C2657" t="str">
        <f t="shared" si="41"/>
        <v>ETRS89 / NTM zone 28</v>
      </c>
    </row>
    <row r="2658" spans="1:3" x14ac:dyDescent="0.3">
      <c r="A2658" t="s">
        <v>2715</v>
      </c>
      <c r="B2658">
        <f>IF(ISNUMBER(SEARCH(Form!$C$11,Tabel2[[#This Row],[Coordinate Projection System]])),MAX($B$1:B2657)+1,0)</f>
        <v>2657</v>
      </c>
      <c r="C2658" t="str">
        <f t="shared" si="41"/>
        <v>ETRS89 / NTM zone 29</v>
      </c>
    </row>
    <row r="2659" spans="1:3" x14ac:dyDescent="0.3">
      <c r="A2659" t="s">
        <v>2716</v>
      </c>
      <c r="B2659">
        <f>IF(ISNUMBER(SEARCH(Form!$C$11,Tabel2[[#This Row],[Coordinate Projection System]])),MAX($B$1:B2658)+1,0)</f>
        <v>2658</v>
      </c>
      <c r="C2659" t="str">
        <f t="shared" si="41"/>
        <v>ETRS89 / NTM zone 30</v>
      </c>
    </row>
    <row r="2660" spans="1:3" x14ac:dyDescent="0.3">
      <c r="A2660" t="s">
        <v>2717</v>
      </c>
      <c r="B2660">
        <f>IF(ISNUMBER(SEARCH(Form!$C$11,Tabel2[[#This Row],[Coordinate Projection System]])),MAX($B$1:B2659)+1,0)</f>
        <v>2659</v>
      </c>
      <c r="C2660" t="str">
        <f t="shared" si="41"/>
        <v>Korean 1985 / East Sea Belt</v>
      </c>
    </row>
    <row r="2661" spans="1:3" x14ac:dyDescent="0.3">
      <c r="A2661" t="s">
        <v>2718</v>
      </c>
      <c r="B2661">
        <f>IF(ISNUMBER(SEARCH(Form!$C$11,Tabel2[[#This Row],[Coordinate Projection System]])),MAX($B$1:B2660)+1,0)</f>
        <v>2660</v>
      </c>
      <c r="C2661" t="str">
        <f t="shared" si="41"/>
        <v>Korean 1985 / Central Belt Jeju</v>
      </c>
    </row>
    <row r="2662" spans="1:3" x14ac:dyDescent="0.3">
      <c r="A2662" t="s">
        <v>2719</v>
      </c>
      <c r="B2662">
        <f>IF(ISNUMBER(SEARCH(Form!$C$11,Tabel2[[#This Row],[Coordinate Projection System]])),MAX($B$1:B2661)+1,0)</f>
        <v>2661</v>
      </c>
      <c r="C2662" t="str">
        <f t="shared" si="41"/>
        <v>Tokyo 1892 / Korea West Belt</v>
      </c>
    </row>
    <row r="2663" spans="1:3" x14ac:dyDescent="0.3">
      <c r="A2663" t="s">
        <v>2720</v>
      </c>
      <c r="B2663">
        <f>IF(ISNUMBER(SEARCH(Form!$C$11,Tabel2[[#This Row],[Coordinate Projection System]])),MAX($B$1:B2662)+1,0)</f>
        <v>2662</v>
      </c>
      <c r="C2663" t="str">
        <f t="shared" si="41"/>
        <v>Tokyo 1892 / Korea Central Belt</v>
      </c>
    </row>
    <row r="2664" spans="1:3" x14ac:dyDescent="0.3">
      <c r="A2664" t="s">
        <v>2721</v>
      </c>
      <c r="B2664">
        <f>IF(ISNUMBER(SEARCH(Form!$C$11,Tabel2[[#This Row],[Coordinate Projection System]])),MAX($B$1:B2663)+1,0)</f>
        <v>2663</v>
      </c>
      <c r="C2664" t="str">
        <f t="shared" si="41"/>
        <v>Tokyo 1892 / Korea East Belt</v>
      </c>
    </row>
    <row r="2665" spans="1:3" x14ac:dyDescent="0.3">
      <c r="A2665" t="s">
        <v>2722</v>
      </c>
      <c r="B2665">
        <f>IF(ISNUMBER(SEARCH(Form!$C$11,Tabel2[[#This Row],[Coordinate Projection System]])),MAX($B$1:B2664)+1,0)</f>
        <v>2664</v>
      </c>
      <c r="C2665" t="str">
        <f t="shared" si="41"/>
        <v>Tokyo 1892 / Korea East Sea Belt</v>
      </c>
    </row>
    <row r="2666" spans="1:3" x14ac:dyDescent="0.3">
      <c r="A2666" t="s">
        <v>2723</v>
      </c>
      <c r="B2666">
        <f>IF(ISNUMBER(SEARCH(Form!$C$11,Tabel2[[#This Row],[Coordinate Projection System]])),MAX($B$1:B2665)+1,0)</f>
        <v>2665</v>
      </c>
      <c r="C2666" t="str">
        <f t="shared" si="41"/>
        <v>Korean 1985 / Modified West Belt</v>
      </c>
    </row>
    <row r="2667" spans="1:3" x14ac:dyDescent="0.3">
      <c r="A2667" t="s">
        <v>2724</v>
      </c>
      <c r="B2667">
        <f>IF(ISNUMBER(SEARCH(Form!$C$11,Tabel2[[#This Row],[Coordinate Projection System]])),MAX($B$1:B2666)+1,0)</f>
        <v>2666</v>
      </c>
      <c r="C2667" t="str">
        <f t="shared" si="41"/>
        <v>Korean 1985 / Modified Central Belt</v>
      </c>
    </row>
    <row r="2668" spans="1:3" x14ac:dyDescent="0.3">
      <c r="A2668" t="s">
        <v>2725</v>
      </c>
      <c r="B2668">
        <f>IF(ISNUMBER(SEARCH(Form!$C$11,Tabel2[[#This Row],[Coordinate Projection System]])),MAX($B$1:B2667)+1,0)</f>
        <v>2667</v>
      </c>
      <c r="C2668" t="str">
        <f t="shared" si="41"/>
        <v>Korean 1985 / Modified Central Belt Jeju</v>
      </c>
    </row>
    <row r="2669" spans="1:3" x14ac:dyDescent="0.3">
      <c r="A2669" t="s">
        <v>2726</v>
      </c>
      <c r="B2669">
        <f>IF(ISNUMBER(SEARCH(Form!$C$11,Tabel2[[#This Row],[Coordinate Projection System]])),MAX($B$1:B2668)+1,0)</f>
        <v>2668</v>
      </c>
      <c r="C2669" t="str">
        <f t="shared" si="41"/>
        <v>Korean 1985 / Modified East Belt</v>
      </c>
    </row>
    <row r="2670" spans="1:3" x14ac:dyDescent="0.3">
      <c r="A2670" t="s">
        <v>2727</v>
      </c>
      <c r="B2670">
        <f>IF(ISNUMBER(SEARCH(Form!$C$11,Tabel2[[#This Row],[Coordinate Projection System]])),MAX($B$1:B2669)+1,0)</f>
        <v>2669</v>
      </c>
      <c r="C2670" t="str">
        <f t="shared" si="41"/>
        <v>Korean 1985 / Modified East Sea Belt</v>
      </c>
    </row>
    <row r="2671" spans="1:3" x14ac:dyDescent="0.3">
      <c r="A2671" t="s">
        <v>2728</v>
      </c>
      <c r="B2671">
        <f>IF(ISNUMBER(SEARCH(Form!$C$11,Tabel2[[#This Row],[Coordinate Projection System]])),MAX($B$1:B2670)+1,0)</f>
        <v>2670</v>
      </c>
      <c r="C2671" t="str">
        <f t="shared" si="41"/>
        <v>Korean 1985 / Unified CS</v>
      </c>
    </row>
    <row r="2672" spans="1:3" x14ac:dyDescent="0.3">
      <c r="A2672" t="s">
        <v>2729</v>
      </c>
      <c r="B2672">
        <f>IF(ISNUMBER(SEARCH(Form!$C$11,Tabel2[[#This Row],[Coordinate Projection System]])),MAX($B$1:B2671)+1,0)</f>
        <v>2671</v>
      </c>
      <c r="C2672" t="str">
        <f t="shared" si="41"/>
        <v>Korea 2000 / Unified CS</v>
      </c>
    </row>
    <row r="2673" spans="1:3" x14ac:dyDescent="0.3">
      <c r="A2673" t="s">
        <v>2730</v>
      </c>
      <c r="B2673">
        <f>IF(ISNUMBER(SEARCH(Form!$C$11,Tabel2[[#This Row],[Coordinate Projection System]])),MAX($B$1:B2672)+1,0)</f>
        <v>2672</v>
      </c>
      <c r="C2673" t="str">
        <f t="shared" si="41"/>
        <v>Korea 2000 / West Belt</v>
      </c>
    </row>
    <row r="2674" spans="1:3" x14ac:dyDescent="0.3">
      <c r="A2674" t="s">
        <v>2731</v>
      </c>
      <c r="B2674">
        <f>IF(ISNUMBER(SEARCH(Form!$C$11,Tabel2[[#This Row],[Coordinate Projection System]])),MAX($B$1:B2673)+1,0)</f>
        <v>2673</v>
      </c>
      <c r="C2674" t="str">
        <f t="shared" si="41"/>
        <v>Korea 2000 / Central Belt</v>
      </c>
    </row>
    <row r="2675" spans="1:3" x14ac:dyDescent="0.3">
      <c r="A2675" t="s">
        <v>2732</v>
      </c>
      <c r="B2675">
        <f>IF(ISNUMBER(SEARCH(Form!$C$11,Tabel2[[#This Row],[Coordinate Projection System]])),MAX($B$1:B2674)+1,0)</f>
        <v>2674</v>
      </c>
      <c r="C2675" t="str">
        <f t="shared" si="41"/>
        <v>Korea 2000 / Central Belt Jeju</v>
      </c>
    </row>
    <row r="2676" spans="1:3" x14ac:dyDescent="0.3">
      <c r="A2676" t="s">
        <v>2733</v>
      </c>
      <c r="B2676">
        <f>IF(ISNUMBER(SEARCH(Form!$C$11,Tabel2[[#This Row],[Coordinate Projection System]])),MAX($B$1:B2675)+1,0)</f>
        <v>2675</v>
      </c>
      <c r="C2676" t="str">
        <f t="shared" si="41"/>
        <v>Korea 2000 / East Belt</v>
      </c>
    </row>
    <row r="2677" spans="1:3" x14ac:dyDescent="0.3">
      <c r="A2677" t="s">
        <v>2734</v>
      </c>
      <c r="B2677">
        <f>IF(ISNUMBER(SEARCH(Form!$C$11,Tabel2[[#This Row],[Coordinate Projection System]])),MAX($B$1:B2676)+1,0)</f>
        <v>2676</v>
      </c>
      <c r="C2677" t="str">
        <f t="shared" si="41"/>
        <v>Korea 2000 / East Sea Belt</v>
      </c>
    </row>
    <row r="2678" spans="1:3" x14ac:dyDescent="0.3">
      <c r="A2678" t="s">
        <v>2735</v>
      </c>
      <c r="B2678">
        <f>IF(ISNUMBER(SEARCH(Form!$C$11,Tabel2[[#This Row],[Coordinate Projection System]])),MAX($B$1:B2677)+1,0)</f>
        <v>2677</v>
      </c>
      <c r="C2678" t="str">
        <f t="shared" si="41"/>
        <v>Korea 2000 / West Belt 2010</v>
      </c>
    </row>
    <row r="2679" spans="1:3" x14ac:dyDescent="0.3">
      <c r="A2679" t="s">
        <v>2736</v>
      </c>
      <c r="B2679">
        <f>IF(ISNUMBER(SEARCH(Form!$C$11,Tabel2[[#This Row],[Coordinate Projection System]])),MAX($B$1:B2678)+1,0)</f>
        <v>2678</v>
      </c>
      <c r="C2679" t="str">
        <f t="shared" si="41"/>
        <v>Korea 2000 / Central Belt 2010</v>
      </c>
    </row>
    <row r="2680" spans="1:3" x14ac:dyDescent="0.3">
      <c r="A2680" t="s">
        <v>2737</v>
      </c>
      <c r="B2680">
        <f>IF(ISNUMBER(SEARCH(Form!$C$11,Tabel2[[#This Row],[Coordinate Projection System]])),MAX($B$1:B2679)+1,0)</f>
        <v>2679</v>
      </c>
      <c r="C2680" t="str">
        <f t="shared" si="41"/>
        <v>Korea 2000 / East Belt 2010</v>
      </c>
    </row>
    <row r="2681" spans="1:3" x14ac:dyDescent="0.3">
      <c r="A2681" t="s">
        <v>2738</v>
      </c>
      <c r="B2681">
        <f>IF(ISNUMBER(SEARCH(Form!$C$11,Tabel2[[#This Row],[Coordinate Projection System]])),MAX($B$1:B2680)+1,0)</f>
        <v>2680</v>
      </c>
      <c r="C2681" t="str">
        <f t="shared" si="41"/>
        <v>Korea 2000 / East Sea Belt 2010</v>
      </c>
    </row>
    <row r="2682" spans="1:3" x14ac:dyDescent="0.3">
      <c r="A2682" t="s">
        <v>2739</v>
      </c>
      <c r="B2682">
        <f>IF(ISNUMBER(SEARCH(Form!$C$11,Tabel2[[#This Row],[Coordinate Projection System]])),MAX($B$1:B2681)+1,0)</f>
        <v>2681</v>
      </c>
      <c r="C2682" t="str">
        <f t="shared" si="41"/>
        <v>S-JTSK (Ferro) / Krovak East North</v>
      </c>
    </row>
    <row r="2683" spans="1:3" x14ac:dyDescent="0.3">
      <c r="A2683" t="s">
        <v>2740</v>
      </c>
      <c r="B2683">
        <f>IF(ISNUMBER(SEARCH(Form!$C$11,Tabel2[[#This Row],[Coordinate Projection System]])),MAX($B$1:B2682)+1,0)</f>
        <v>2682</v>
      </c>
      <c r="C2683" t="str">
        <f t="shared" si="41"/>
        <v>WGS 84 / Gabon TM</v>
      </c>
    </row>
    <row r="2684" spans="1:3" x14ac:dyDescent="0.3">
      <c r="A2684" t="s">
        <v>2741</v>
      </c>
      <c r="B2684">
        <f>IF(ISNUMBER(SEARCH(Form!$C$11,Tabel2[[#This Row],[Coordinate Projection System]])),MAX($B$1:B2683)+1,0)</f>
        <v>2683</v>
      </c>
      <c r="C2684" t="str">
        <f t="shared" si="41"/>
        <v>S-JTSK/05 (Ferro) / Modified KrovakUnable to translate coordinate system EPSG:5224 into PROJ.4 format.</v>
      </c>
    </row>
    <row r="2685" spans="1:3" x14ac:dyDescent="0.3">
      <c r="A2685" t="s">
        <v>2742</v>
      </c>
      <c r="B2685">
        <f>IF(ISNUMBER(SEARCH(Form!$C$11,Tabel2[[#This Row],[Coordinate Projection System]])),MAX($B$1:B2684)+1,0)</f>
        <v>2684</v>
      </c>
      <c r="C2685" t="str">
        <f t="shared" si="41"/>
        <v>S-JTSK/05 (Ferro) / Modified Krovak East NorthUnable to translate coordinate system EPSG:5225 into PROJ.4 format.</v>
      </c>
    </row>
    <row r="2686" spans="1:3" x14ac:dyDescent="0.3">
      <c r="A2686" t="s">
        <v>2743</v>
      </c>
      <c r="B2686">
        <f>IF(ISNUMBER(SEARCH(Form!$C$11,Tabel2[[#This Row],[Coordinate Projection System]])),MAX($B$1:B2685)+1,0)</f>
        <v>2685</v>
      </c>
      <c r="C2686" t="str">
        <f t="shared" si="41"/>
        <v>Kandawala / Sri Lanka Grid</v>
      </c>
    </row>
    <row r="2687" spans="1:3" x14ac:dyDescent="0.3">
      <c r="A2687" t="s">
        <v>2744</v>
      </c>
      <c r="B2687">
        <f>IF(ISNUMBER(SEARCH(Form!$C$11,Tabel2[[#This Row],[Coordinate Projection System]])),MAX($B$1:B2686)+1,0)</f>
        <v>2686</v>
      </c>
      <c r="C2687" t="str">
        <f t="shared" si="41"/>
        <v>SLD99 / Sri Lanka Grid 1999</v>
      </c>
    </row>
    <row r="2688" spans="1:3" x14ac:dyDescent="0.3">
      <c r="A2688" t="s">
        <v>2745</v>
      </c>
      <c r="B2688">
        <f>IF(ISNUMBER(SEARCH(Form!$C$11,Tabel2[[#This Row],[Coordinate Projection System]])),MAX($B$1:B2687)+1,0)</f>
        <v>2687</v>
      </c>
      <c r="C2688" t="str">
        <f t="shared" si="41"/>
        <v>ETRS89 / LCC Germany (E-N)</v>
      </c>
    </row>
    <row r="2689" spans="1:3" x14ac:dyDescent="0.3">
      <c r="A2689" t="s">
        <v>2746</v>
      </c>
      <c r="B2689">
        <f>IF(ISNUMBER(SEARCH(Form!$C$11,Tabel2[[#This Row],[Coordinate Projection System]])),MAX($B$1:B2688)+1,0)</f>
        <v>2688</v>
      </c>
      <c r="C2689" t="str">
        <f t="shared" si="41"/>
        <v>GDBD2009 / Brunei BRSO</v>
      </c>
    </row>
    <row r="2690" spans="1:3" x14ac:dyDescent="0.3">
      <c r="A2690" t="s">
        <v>2747</v>
      </c>
      <c r="B2690">
        <f>IF(ISNUMBER(SEARCH(Form!$C$11,Tabel2[[#This Row],[Coordinate Projection System]])),MAX($B$1:B2689)+1,0)</f>
        <v>2689</v>
      </c>
      <c r="C2690" t="str">
        <f t="shared" si="41"/>
        <v>TUREF / TM27</v>
      </c>
    </row>
    <row r="2691" spans="1:3" x14ac:dyDescent="0.3">
      <c r="A2691" t="s">
        <v>2748</v>
      </c>
      <c r="B2691">
        <f>IF(ISNUMBER(SEARCH(Form!$C$11,Tabel2[[#This Row],[Coordinate Projection System]])),MAX($B$1:B2690)+1,0)</f>
        <v>2690</v>
      </c>
      <c r="C2691" t="str">
        <f t="shared" ref="C2691:C2754" si="42">_xlfn.IFNA(INDEX(A2691:A8202,MATCH(ROW(C2690),B2691:B8202,0)),"")</f>
        <v>TUREF / TM30</v>
      </c>
    </row>
    <row r="2692" spans="1:3" x14ac:dyDescent="0.3">
      <c r="A2692" t="s">
        <v>2749</v>
      </c>
      <c r="B2692">
        <f>IF(ISNUMBER(SEARCH(Form!$C$11,Tabel2[[#This Row],[Coordinate Projection System]])),MAX($B$1:B2691)+1,0)</f>
        <v>2691</v>
      </c>
      <c r="C2692" t="str">
        <f t="shared" si="42"/>
        <v>TUREF / TM33</v>
      </c>
    </row>
    <row r="2693" spans="1:3" x14ac:dyDescent="0.3">
      <c r="A2693" t="s">
        <v>2750</v>
      </c>
      <c r="B2693">
        <f>IF(ISNUMBER(SEARCH(Form!$C$11,Tabel2[[#This Row],[Coordinate Projection System]])),MAX($B$1:B2692)+1,0)</f>
        <v>2692</v>
      </c>
      <c r="C2693" t="str">
        <f t="shared" si="42"/>
        <v>TUREF / TM36</v>
      </c>
    </row>
    <row r="2694" spans="1:3" x14ac:dyDescent="0.3">
      <c r="A2694" t="s">
        <v>2751</v>
      </c>
      <c r="B2694">
        <f>IF(ISNUMBER(SEARCH(Form!$C$11,Tabel2[[#This Row],[Coordinate Projection System]])),MAX($B$1:B2693)+1,0)</f>
        <v>2693</v>
      </c>
      <c r="C2694" t="str">
        <f t="shared" si="42"/>
        <v>TUREF / TM39</v>
      </c>
    </row>
    <row r="2695" spans="1:3" x14ac:dyDescent="0.3">
      <c r="A2695" t="s">
        <v>2752</v>
      </c>
      <c r="B2695">
        <f>IF(ISNUMBER(SEARCH(Form!$C$11,Tabel2[[#This Row],[Coordinate Projection System]])),MAX($B$1:B2694)+1,0)</f>
        <v>2694</v>
      </c>
      <c r="C2695" t="str">
        <f t="shared" si="42"/>
        <v>TUREF / TM42</v>
      </c>
    </row>
    <row r="2696" spans="1:3" x14ac:dyDescent="0.3">
      <c r="A2696" t="s">
        <v>2753</v>
      </c>
      <c r="B2696">
        <f>IF(ISNUMBER(SEARCH(Form!$C$11,Tabel2[[#This Row],[Coordinate Projection System]])),MAX($B$1:B2695)+1,0)</f>
        <v>2695</v>
      </c>
      <c r="C2696" t="str">
        <f t="shared" si="42"/>
        <v>TUREF / TM45</v>
      </c>
    </row>
    <row r="2697" spans="1:3" x14ac:dyDescent="0.3">
      <c r="A2697" t="s">
        <v>2754</v>
      </c>
      <c r="B2697">
        <f>IF(ISNUMBER(SEARCH(Form!$C$11,Tabel2[[#This Row],[Coordinate Projection System]])),MAX($B$1:B2696)+1,0)</f>
        <v>2696</v>
      </c>
      <c r="C2697" t="str">
        <f t="shared" si="42"/>
        <v>DRUKREF 03 / Bhutan National Grid</v>
      </c>
    </row>
    <row r="2698" spans="1:3" x14ac:dyDescent="0.3">
      <c r="A2698" t="s">
        <v>2755</v>
      </c>
      <c r="B2698">
        <f>IF(ISNUMBER(SEARCH(Form!$C$11,Tabel2[[#This Row],[Coordinate Projection System]])),MAX($B$1:B2697)+1,0)</f>
        <v>2697</v>
      </c>
      <c r="C2698" t="str">
        <f t="shared" si="42"/>
        <v>TUREF / 3-degree Gauss-Kruger zone 9</v>
      </c>
    </row>
    <row r="2699" spans="1:3" x14ac:dyDescent="0.3">
      <c r="A2699" t="s">
        <v>2756</v>
      </c>
      <c r="B2699">
        <f>IF(ISNUMBER(SEARCH(Form!$C$11,Tabel2[[#This Row],[Coordinate Projection System]])),MAX($B$1:B2698)+1,0)</f>
        <v>2698</v>
      </c>
      <c r="C2699" t="str">
        <f t="shared" si="42"/>
        <v>TUREF / 3-degree Gauss-Kruger zone 10</v>
      </c>
    </row>
    <row r="2700" spans="1:3" x14ac:dyDescent="0.3">
      <c r="A2700" t="s">
        <v>2757</v>
      </c>
      <c r="B2700">
        <f>IF(ISNUMBER(SEARCH(Form!$C$11,Tabel2[[#This Row],[Coordinate Projection System]])),MAX($B$1:B2699)+1,0)</f>
        <v>2699</v>
      </c>
      <c r="C2700" t="str">
        <f t="shared" si="42"/>
        <v>TUREF / 3-degree Gauss-Kruger zone 11</v>
      </c>
    </row>
    <row r="2701" spans="1:3" x14ac:dyDescent="0.3">
      <c r="A2701" t="s">
        <v>2758</v>
      </c>
      <c r="B2701">
        <f>IF(ISNUMBER(SEARCH(Form!$C$11,Tabel2[[#This Row],[Coordinate Projection System]])),MAX($B$1:B2700)+1,0)</f>
        <v>2700</v>
      </c>
      <c r="C2701" t="str">
        <f t="shared" si="42"/>
        <v>TUREF / 3-degree Gauss-Kruger zone 12</v>
      </c>
    </row>
    <row r="2702" spans="1:3" x14ac:dyDescent="0.3">
      <c r="A2702" t="s">
        <v>2759</v>
      </c>
      <c r="B2702">
        <f>IF(ISNUMBER(SEARCH(Form!$C$11,Tabel2[[#This Row],[Coordinate Projection System]])),MAX($B$1:B2701)+1,0)</f>
        <v>2701</v>
      </c>
      <c r="C2702" t="str">
        <f t="shared" si="42"/>
        <v>TUREF / 3-degree Gauss-Kruger zone 13</v>
      </c>
    </row>
    <row r="2703" spans="1:3" x14ac:dyDescent="0.3">
      <c r="A2703" t="s">
        <v>2760</v>
      </c>
      <c r="B2703">
        <f>IF(ISNUMBER(SEARCH(Form!$C$11,Tabel2[[#This Row],[Coordinate Projection System]])),MAX($B$1:B2702)+1,0)</f>
        <v>2702</v>
      </c>
      <c r="C2703" t="str">
        <f t="shared" si="42"/>
        <v>TUREF / 3-degree Gauss-Kruger zone 14</v>
      </c>
    </row>
    <row r="2704" spans="1:3" x14ac:dyDescent="0.3">
      <c r="A2704" t="s">
        <v>2761</v>
      </c>
      <c r="B2704">
        <f>IF(ISNUMBER(SEARCH(Form!$C$11,Tabel2[[#This Row],[Coordinate Projection System]])),MAX($B$1:B2703)+1,0)</f>
        <v>2703</v>
      </c>
      <c r="C2704" t="str">
        <f t="shared" si="42"/>
        <v>TUREF / 3-degree Gauss-Kruger zone 15</v>
      </c>
    </row>
    <row r="2705" spans="1:3" x14ac:dyDescent="0.3">
      <c r="A2705" t="s">
        <v>2762</v>
      </c>
      <c r="B2705">
        <f>IF(ISNUMBER(SEARCH(Form!$C$11,Tabel2[[#This Row],[Coordinate Projection System]])),MAX($B$1:B2704)+1,0)</f>
        <v>2704</v>
      </c>
      <c r="C2705" t="str">
        <f t="shared" si="42"/>
        <v>DRUKREF 03 / Bumthang TM</v>
      </c>
    </row>
    <row r="2706" spans="1:3" x14ac:dyDescent="0.3">
      <c r="A2706" t="s">
        <v>2763</v>
      </c>
      <c r="B2706">
        <f>IF(ISNUMBER(SEARCH(Form!$C$11,Tabel2[[#This Row],[Coordinate Projection System]])),MAX($B$1:B2705)+1,0)</f>
        <v>2705</v>
      </c>
      <c r="C2706" t="str">
        <f t="shared" si="42"/>
        <v>DRUKREF 03 / Chhukha TM</v>
      </c>
    </row>
    <row r="2707" spans="1:3" x14ac:dyDescent="0.3">
      <c r="A2707" t="s">
        <v>2764</v>
      </c>
      <c r="B2707">
        <f>IF(ISNUMBER(SEARCH(Form!$C$11,Tabel2[[#This Row],[Coordinate Projection System]])),MAX($B$1:B2706)+1,0)</f>
        <v>2706</v>
      </c>
      <c r="C2707" t="str">
        <f t="shared" si="42"/>
        <v>DRUKREF 03 / Dagana TM</v>
      </c>
    </row>
    <row r="2708" spans="1:3" x14ac:dyDescent="0.3">
      <c r="A2708" t="s">
        <v>2765</v>
      </c>
      <c r="B2708">
        <f>IF(ISNUMBER(SEARCH(Form!$C$11,Tabel2[[#This Row],[Coordinate Projection System]])),MAX($B$1:B2707)+1,0)</f>
        <v>2707</v>
      </c>
      <c r="C2708" t="str">
        <f t="shared" si="42"/>
        <v>DRUKREF 03 / Gasa TM</v>
      </c>
    </row>
    <row r="2709" spans="1:3" x14ac:dyDescent="0.3">
      <c r="A2709" t="s">
        <v>2766</v>
      </c>
      <c r="B2709">
        <f>IF(ISNUMBER(SEARCH(Form!$C$11,Tabel2[[#This Row],[Coordinate Projection System]])),MAX($B$1:B2708)+1,0)</f>
        <v>2708</v>
      </c>
      <c r="C2709" t="str">
        <f t="shared" si="42"/>
        <v>DRUKREF 03 / Ha TM</v>
      </c>
    </row>
    <row r="2710" spans="1:3" x14ac:dyDescent="0.3">
      <c r="A2710" t="s">
        <v>2767</v>
      </c>
      <c r="B2710">
        <f>IF(ISNUMBER(SEARCH(Form!$C$11,Tabel2[[#This Row],[Coordinate Projection System]])),MAX($B$1:B2709)+1,0)</f>
        <v>2709</v>
      </c>
      <c r="C2710" t="str">
        <f t="shared" si="42"/>
        <v>DRUKREF 03 / Lhuentse TM</v>
      </c>
    </row>
    <row r="2711" spans="1:3" x14ac:dyDescent="0.3">
      <c r="A2711" t="s">
        <v>2768</v>
      </c>
      <c r="B2711">
        <f>IF(ISNUMBER(SEARCH(Form!$C$11,Tabel2[[#This Row],[Coordinate Projection System]])),MAX($B$1:B2710)+1,0)</f>
        <v>2710</v>
      </c>
      <c r="C2711" t="str">
        <f t="shared" si="42"/>
        <v>DRUKREF 03 / Mongar TM</v>
      </c>
    </row>
    <row r="2712" spans="1:3" x14ac:dyDescent="0.3">
      <c r="A2712" t="s">
        <v>2769</v>
      </c>
      <c r="B2712">
        <f>IF(ISNUMBER(SEARCH(Form!$C$11,Tabel2[[#This Row],[Coordinate Projection System]])),MAX($B$1:B2711)+1,0)</f>
        <v>2711</v>
      </c>
      <c r="C2712" t="str">
        <f t="shared" si="42"/>
        <v>DRUKREF 03 / Paro TM</v>
      </c>
    </row>
    <row r="2713" spans="1:3" x14ac:dyDescent="0.3">
      <c r="A2713" t="s">
        <v>2770</v>
      </c>
      <c r="B2713">
        <f>IF(ISNUMBER(SEARCH(Form!$C$11,Tabel2[[#This Row],[Coordinate Projection System]])),MAX($B$1:B2712)+1,0)</f>
        <v>2712</v>
      </c>
      <c r="C2713" t="str">
        <f t="shared" si="42"/>
        <v>DRUKREF 03 / Pemagatshel TM</v>
      </c>
    </row>
    <row r="2714" spans="1:3" x14ac:dyDescent="0.3">
      <c r="A2714" t="s">
        <v>2771</v>
      </c>
      <c r="B2714">
        <f>IF(ISNUMBER(SEARCH(Form!$C$11,Tabel2[[#This Row],[Coordinate Projection System]])),MAX($B$1:B2713)+1,0)</f>
        <v>2713</v>
      </c>
      <c r="C2714" t="str">
        <f t="shared" si="42"/>
        <v>DRUKREF 03 / Punakha TM</v>
      </c>
    </row>
    <row r="2715" spans="1:3" x14ac:dyDescent="0.3">
      <c r="A2715" t="s">
        <v>2772</v>
      </c>
      <c r="B2715">
        <f>IF(ISNUMBER(SEARCH(Form!$C$11,Tabel2[[#This Row],[Coordinate Projection System]])),MAX($B$1:B2714)+1,0)</f>
        <v>2714</v>
      </c>
      <c r="C2715" t="str">
        <f t="shared" si="42"/>
        <v>DRUKREF 03 / Samdrup Jongkhar TM</v>
      </c>
    </row>
    <row r="2716" spans="1:3" x14ac:dyDescent="0.3">
      <c r="A2716" t="s">
        <v>2773</v>
      </c>
      <c r="B2716">
        <f>IF(ISNUMBER(SEARCH(Form!$C$11,Tabel2[[#This Row],[Coordinate Projection System]])),MAX($B$1:B2715)+1,0)</f>
        <v>2715</v>
      </c>
      <c r="C2716" t="str">
        <f t="shared" si="42"/>
        <v>DRUKREF 03 / Samtse TM</v>
      </c>
    </row>
    <row r="2717" spans="1:3" x14ac:dyDescent="0.3">
      <c r="A2717" t="s">
        <v>2774</v>
      </c>
      <c r="B2717">
        <f>IF(ISNUMBER(SEARCH(Form!$C$11,Tabel2[[#This Row],[Coordinate Projection System]])),MAX($B$1:B2716)+1,0)</f>
        <v>2716</v>
      </c>
      <c r="C2717" t="str">
        <f t="shared" si="42"/>
        <v>DRUKREF 03 / Sarpang TM</v>
      </c>
    </row>
    <row r="2718" spans="1:3" x14ac:dyDescent="0.3">
      <c r="A2718" t="s">
        <v>2775</v>
      </c>
      <c r="B2718">
        <f>IF(ISNUMBER(SEARCH(Form!$C$11,Tabel2[[#This Row],[Coordinate Projection System]])),MAX($B$1:B2717)+1,0)</f>
        <v>2717</v>
      </c>
      <c r="C2718" t="str">
        <f t="shared" si="42"/>
        <v>DRUKREF 03 / Thimphu TM</v>
      </c>
    </row>
    <row r="2719" spans="1:3" x14ac:dyDescent="0.3">
      <c r="A2719" t="s">
        <v>2776</v>
      </c>
      <c r="B2719">
        <f>IF(ISNUMBER(SEARCH(Form!$C$11,Tabel2[[#This Row],[Coordinate Projection System]])),MAX($B$1:B2718)+1,0)</f>
        <v>2718</v>
      </c>
      <c r="C2719" t="str">
        <f t="shared" si="42"/>
        <v>DRUKREF 03 / Trashigang TM</v>
      </c>
    </row>
    <row r="2720" spans="1:3" x14ac:dyDescent="0.3">
      <c r="A2720" t="s">
        <v>2777</v>
      </c>
      <c r="B2720">
        <f>IF(ISNUMBER(SEARCH(Form!$C$11,Tabel2[[#This Row],[Coordinate Projection System]])),MAX($B$1:B2719)+1,0)</f>
        <v>2719</v>
      </c>
      <c r="C2720" t="str">
        <f t="shared" si="42"/>
        <v>DRUKREF 03 / Trongsa TM</v>
      </c>
    </row>
    <row r="2721" spans="1:3" x14ac:dyDescent="0.3">
      <c r="A2721" t="s">
        <v>2778</v>
      </c>
      <c r="B2721">
        <f>IF(ISNUMBER(SEARCH(Form!$C$11,Tabel2[[#This Row],[Coordinate Projection System]])),MAX($B$1:B2720)+1,0)</f>
        <v>2720</v>
      </c>
      <c r="C2721" t="str">
        <f t="shared" si="42"/>
        <v>DRUKREF 03 / Tsirang TM</v>
      </c>
    </row>
    <row r="2722" spans="1:3" x14ac:dyDescent="0.3">
      <c r="A2722" t="s">
        <v>2779</v>
      </c>
      <c r="B2722">
        <f>IF(ISNUMBER(SEARCH(Form!$C$11,Tabel2[[#This Row],[Coordinate Projection System]])),MAX($B$1:B2721)+1,0)</f>
        <v>2721</v>
      </c>
      <c r="C2722" t="str">
        <f t="shared" si="42"/>
        <v>DRUKREF 03 / Wangdue Phodrang TM</v>
      </c>
    </row>
    <row r="2723" spans="1:3" x14ac:dyDescent="0.3">
      <c r="A2723" t="s">
        <v>2780</v>
      </c>
      <c r="B2723">
        <f>IF(ISNUMBER(SEARCH(Form!$C$11,Tabel2[[#This Row],[Coordinate Projection System]])),MAX($B$1:B2722)+1,0)</f>
        <v>2722</v>
      </c>
      <c r="C2723" t="str">
        <f t="shared" si="42"/>
        <v>DRUKREF 03 / Yangtse TM</v>
      </c>
    </row>
    <row r="2724" spans="1:3" x14ac:dyDescent="0.3">
      <c r="A2724" t="s">
        <v>2781</v>
      </c>
      <c r="B2724">
        <f>IF(ISNUMBER(SEARCH(Form!$C$11,Tabel2[[#This Row],[Coordinate Projection System]])),MAX($B$1:B2723)+1,0)</f>
        <v>2723</v>
      </c>
      <c r="C2724" t="str">
        <f t="shared" si="42"/>
        <v>DRUKREF 03 / Zhemgang TM</v>
      </c>
    </row>
    <row r="2725" spans="1:3" x14ac:dyDescent="0.3">
      <c r="A2725" t="s">
        <v>2782</v>
      </c>
      <c r="B2725">
        <f>IF(ISNUMBER(SEARCH(Form!$C$11,Tabel2[[#This Row],[Coordinate Projection System]])),MAX($B$1:B2724)+1,0)</f>
        <v>2724</v>
      </c>
      <c r="C2725" t="str">
        <f t="shared" si="42"/>
        <v>ETRS89 / Faroe TM</v>
      </c>
    </row>
    <row r="2726" spans="1:3" x14ac:dyDescent="0.3">
      <c r="A2726" t="s">
        <v>2783</v>
      </c>
      <c r="B2726">
        <f>IF(ISNUMBER(SEARCH(Form!$C$11,Tabel2[[#This Row],[Coordinate Projection System]])),MAX($B$1:B2725)+1,0)</f>
        <v>2725</v>
      </c>
      <c r="C2726" t="str">
        <f t="shared" si="42"/>
        <v>NAD83 / Teranet Ontario Lambert</v>
      </c>
    </row>
    <row r="2727" spans="1:3" x14ac:dyDescent="0.3">
      <c r="A2727" t="s">
        <v>2784</v>
      </c>
      <c r="B2727">
        <f>IF(ISNUMBER(SEARCH(Form!$C$11,Tabel2[[#This Row],[Coordinate Projection System]])),MAX($B$1:B2726)+1,0)</f>
        <v>2726</v>
      </c>
      <c r="C2727" t="str">
        <f t="shared" si="42"/>
        <v>NAD83(CSRS) / Teranet Ontario Lambert</v>
      </c>
    </row>
    <row r="2728" spans="1:3" x14ac:dyDescent="0.3">
      <c r="A2728" t="s">
        <v>2785</v>
      </c>
      <c r="B2728">
        <f>IF(ISNUMBER(SEARCH(Form!$C$11,Tabel2[[#This Row],[Coordinate Projection System]])),MAX($B$1:B2727)+1,0)</f>
        <v>2727</v>
      </c>
      <c r="C2728" t="str">
        <f t="shared" si="42"/>
        <v>ISN2004 / Lambert 2004</v>
      </c>
    </row>
    <row r="2729" spans="1:3" x14ac:dyDescent="0.3">
      <c r="A2729" t="s">
        <v>2786</v>
      </c>
      <c r="B2729">
        <f>IF(ISNUMBER(SEARCH(Form!$C$11,Tabel2[[#This Row],[Coordinate Projection System]])),MAX($B$1:B2728)+1,0)</f>
        <v>2728</v>
      </c>
      <c r="C2729" t="str">
        <f t="shared" si="42"/>
        <v>Segara (Jakarta) / NEIEZ</v>
      </c>
    </row>
    <row r="2730" spans="1:3" x14ac:dyDescent="0.3">
      <c r="A2730" t="s">
        <v>2787</v>
      </c>
      <c r="B2730">
        <f>IF(ISNUMBER(SEARCH(Form!$C$11,Tabel2[[#This Row],[Coordinate Projection System]])),MAX($B$1:B2729)+1,0)</f>
        <v>2729</v>
      </c>
      <c r="C2730" t="str">
        <f t="shared" si="42"/>
        <v>Batavia (Jakarta) / NEIEZ</v>
      </c>
    </row>
    <row r="2731" spans="1:3" x14ac:dyDescent="0.3">
      <c r="A2731" t="s">
        <v>2788</v>
      </c>
      <c r="B2731">
        <f>IF(ISNUMBER(SEARCH(Form!$C$11,Tabel2[[#This Row],[Coordinate Projection System]])),MAX($B$1:B2730)+1,0)</f>
        <v>2730</v>
      </c>
      <c r="C2731" t="str">
        <f t="shared" si="42"/>
        <v>Makassar (Jakarta) / NEIEZ</v>
      </c>
    </row>
    <row r="2732" spans="1:3" x14ac:dyDescent="0.3">
      <c r="A2732" t="s">
        <v>2789</v>
      </c>
      <c r="B2732">
        <f>IF(ISNUMBER(SEARCH(Form!$C$11,Tabel2[[#This Row],[Coordinate Projection System]])),MAX($B$1:B2731)+1,0)</f>
        <v>2731</v>
      </c>
      <c r="C2732" t="str">
        <f t="shared" si="42"/>
        <v>Aratu / UTM zone 25S</v>
      </c>
    </row>
    <row r="2733" spans="1:3" x14ac:dyDescent="0.3">
      <c r="A2733" t="s">
        <v>2790</v>
      </c>
      <c r="B2733">
        <f>IF(ISNUMBER(SEARCH(Form!$C$11,Tabel2[[#This Row],[Coordinate Projection System]])),MAX($B$1:B2732)+1,0)</f>
        <v>2732</v>
      </c>
      <c r="C2733" t="str">
        <f t="shared" si="42"/>
        <v>POSGAR 2007 / Argentina 1</v>
      </c>
    </row>
    <row r="2734" spans="1:3" x14ac:dyDescent="0.3">
      <c r="A2734" t="s">
        <v>2791</v>
      </c>
      <c r="B2734">
        <f>IF(ISNUMBER(SEARCH(Form!$C$11,Tabel2[[#This Row],[Coordinate Projection System]])),MAX($B$1:B2733)+1,0)</f>
        <v>2733</v>
      </c>
      <c r="C2734" t="str">
        <f t="shared" si="42"/>
        <v>POSGAR 2007 / Argentina 2</v>
      </c>
    </row>
    <row r="2735" spans="1:3" x14ac:dyDescent="0.3">
      <c r="A2735" t="s">
        <v>2792</v>
      </c>
      <c r="B2735">
        <f>IF(ISNUMBER(SEARCH(Form!$C$11,Tabel2[[#This Row],[Coordinate Projection System]])),MAX($B$1:B2734)+1,0)</f>
        <v>2734</v>
      </c>
      <c r="C2735" t="str">
        <f t="shared" si="42"/>
        <v>POSGAR 2007 / Argentina 3</v>
      </c>
    </row>
    <row r="2736" spans="1:3" x14ac:dyDescent="0.3">
      <c r="A2736" t="s">
        <v>2793</v>
      </c>
      <c r="B2736">
        <f>IF(ISNUMBER(SEARCH(Form!$C$11,Tabel2[[#This Row],[Coordinate Projection System]])),MAX($B$1:B2735)+1,0)</f>
        <v>2735</v>
      </c>
      <c r="C2736" t="str">
        <f t="shared" si="42"/>
        <v>POSGAR 2007 / Argentina 4</v>
      </c>
    </row>
    <row r="2737" spans="1:3" x14ac:dyDescent="0.3">
      <c r="A2737" t="s">
        <v>2794</v>
      </c>
      <c r="B2737">
        <f>IF(ISNUMBER(SEARCH(Form!$C$11,Tabel2[[#This Row],[Coordinate Projection System]])),MAX($B$1:B2736)+1,0)</f>
        <v>2736</v>
      </c>
      <c r="C2737" t="str">
        <f t="shared" si="42"/>
        <v>POSGAR 2007 / Argentina 5</v>
      </c>
    </row>
    <row r="2738" spans="1:3" x14ac:dyDescent="0.3">
      <c r="A2738" t="s">
        <v>2795</v>
      </c>
      <c r="B2738">
        <f>IF(ISNUMBER(SEARCH(Form!$C$11,Tabel2[[#This Row],[Coordinate Projection System]])),MAX($B$1:B2737)+1,0)</f>
        <v>2737</v>
      </c>
      <c r="C2738" t="str">
        <f t="shared" si="42"/>
        <v>POSGAR 2007 / Argentina 6</v>
      </c>
    </row>
    <row r="2739" spans="1:3" x14ac:dyDescent="0.3">
      <c r="A2739" t="s">
        <v>2796</v>
      </c>
      <c r="B2739">
        <f>IF(ISNUMBER(SEARCH(Form!$C$11,Tabel2[[#This Row],[Coordinate Projection System]])),MAX($B$1:B2738)+1,0)</f>
        <v>2738</v>
      </c>
      <c r="C2739" t="str">
        <f t="shared" si="42"/>
        <v>POSGAR 2007 / Argentina 7</v>
      </c>
    </row>
    <row r="2740" spans="1:3" x14ac:dyDescent="0.3">
      <c r="A2740" t="s">
        <v>2797</v>
      </c>
      <c r="B2740">
        <f>IF(ISNUMBER(SEARCH(Form!$C$11,Tabel2[[#This Row],[Coordinate Projection System]])),MAX($B$1:B2739)+1,0)</f>
        <v>2739</v>
      </c>
      <c r="C2740" t="str">
        <f t="shared" si="42"/>
        <v>MARGEN / UTM zone 20S</v>
      </c>
    </row>
    <row r="2741" spans="1:3" x14ac:dyDescent="0.3">
      <c r="A2741" t="s">
        <v>2798</v>
      </c>
      <c r="B2741">
        <f>IF(ISNUMBER(SEARCH(Form!$C$11,Tabel2[[#This Row],[Coordinate Projection System]])),MAX($B$1:B2740)+1,0)</f>
        <v>2740</v>
      </c>
      <c r="C2741" t="str">
        <f t="shared" si="42"/>
        <v>MARGEN / UTM zone 19S</v>
      </c>
    </row>
    <row r="2742" spans="1:3" x14ac:dyDescent="0.3">
      <c r="A2742" t="s">
        <v>2799</v>
      </c>
      <c r="B2742">
        <f>IF(ISNUMBER(SEARCH(Form!$C$11,Tabel2[[#This Row],[Coordinate Projection System]])),MAX($B$1:B2741)+1,0)</f>
        <v>2741</v>
      </c>
      <c r="C2742" t="str">
        <f t="shared" si="42"/>
        <v>MARGEN / UTM zone 21S</v>
      </c>
    </row>
    <row r="2743" spans="1:3" x14ac:dyDescent="0.3">
      <c r="A2743" t="s">
        <v>2800</v>
      </c>
      <c r="B2743">
        <f>IF(ISNUMBER(SEARCH(Form!$C$11,Tabel2[[#This Row],[Coordinate Projection System]])),MAX($B$1:B2742)+1,0)</f>
        <v>2742</v>
      </c>
      <c r="C2743" t="str">
        <f t="shared" si="42"/>
        <v>SIRGAS-Chile / UTM zone 19S</v>
      </c>
    </row>
    <row r="2744" spans="1:3" x14ac:dyDescent="0.3">
      <c r="A2744" t="s">
        <v>2801</v>
      </c>
      <c r="B2744">
        <f>IF(ISNUMBER(SEARCH(Form!$C$11,Tabel2[[#This Row],[Coordinate Projection System]])),MAX($B$1:B2743)+1,0)</f>
        <v>2743</v>
      </c>
      <c r="C2744" t="str">
        <f t="shared" si="42"/>
        <v>SIRGAS-Chile / UTM zone 18S</v>
      </c>
    </row>
    <row r="2745" spans="1:3" x14ac:dyDescent="0.3">
      <c r="A2745" t="s">
        <v>2802</v>
      </c>
      <c r="B2745">
        <f>IF(ISNUMBER(SEARCH(Form!$C$11,Tabel2[[#This Row],[Coordinate Projection System]])),MAX($B$1:B2744)+1,0)</f>
        <v>2744</v>
      </c>
      <c r="C2745" t="str">
        <f t="shared" si="42"/>
        <v>CR05 / CRTM05</v>
      </c>
    </row>
    <row r="2746" spans="1:3" x14ac:dyDescent="0.3">
      <c r="A2746" t="s">
        <v>2803</v>
      </c>
      <c r="B2746">
        <f>IF(ISNUMBER(SEARCH(Form!$C$11,Tabel2[[#This Row],[Coordinate Projection System]])),MAX($B$1:B2745)+1,0)</f>
        <v>2745</v>
      </c>
      <c r="C2746" t="str">
        <f t="shared" si="42"/>
        <v>SIRGAS-ROU98 / UTM zone 21S</v>
      </c>
    </row>
    <row r="2747" spans="1:3" x14ac:dyDescent="0.3">
      <c r="A2747" t="s">
        <v>2804</v>
      </c>
      <c r="B2747">
        <f>IF(ISNUMBER(SEARCH(Form!$C$11,Tabel2[[#This Row],[Coordinate Projection System]])),MAX($B$1:B2746)+1,0)</f>
        <v>2746</v>
      </c>
      <c r="C2747" t="str">
        <f t="shared" si="42"/>
        <v>SIRGAS-ROU98 / UTM zone 22S</v>
      </c>
    </row>
    <row r="2748" spans="1:3" x14ac:dyDescent="0.3">
      <c r="A2748" t="s">
        <v>2805</v>
      </c>
      <c r="B2748">
        <f>IF(ISNUMBER(SEARCH(Form!$C$11,Tabel2[[#This Row],[Coordinate Projection System]])),MAX($B$1:B2747)+1,0)</f>
        <v>2747</v>
      </c>
      <c r="C2748" t="str">
        <f t="shared" si="42"/>
        <v>Peru96 / UTM zone 18S</v>
      </c>
    </row>
    <row r="2749" spans="1:3" x14ac:dyDescent="0.3">
      <c r="A2749" t="s">
        <v>2806</v>
      </c>
      <c r="B2749">
        <f>IF(ISNUMBER(SEARCH(Form!$C$11,Tabel2[[#This Row],[Coordinate Projection System]])),MAX($B$1:B2748)+1,0)</f>
        <v>2748</v>
      </c>
      <c r="C2749" t="str">
        <f t="shared" si="42"/>
        <v>Peru96 / UTM zone 17S (deprecated)</v>
      </c>
    </row>
    <row r="2750" spans="1:3" x14ac:dyDescent="0.3">
      <c r="A2750" t="s">
        <v>2807</v>
      </c>
      <c r="B2750">
        <f>IF(ISNUMBER(SEARCH(Form!$C$11,Tabel2[[#This Row],[Coordinate Projection System]])),MAX($B$1:B2749)+1,0)</f>
        <v>2749</v>
      </c>
      <c r="C2750" t="str">
        <f t="shared" si="42"/>
        <v>Peru96 / UTM zone 19S</v>
      </c>
    </row>
    <row r="2751" spans="1:3" x14ac:dyDescent="0.3">
      <c r="A2751" t="s">
        <v>2808</v>
      </c>
      <c r="B2751">
        <f>IF(ISNUMBER(SEARCH(Form!$C$11,Tabel2[[#This Row],[Coordinate Projection System]])),MAX($B$1:B2750)+1,0)</f>
        <v>2750</v>
      </c>
      <c r="C2751" t="str">
        <f t="shared" si="42"/>
        <v>SIRGAS 2000 / UTM zone 26S</v>
      </c>
    </row>
    <row r="2752" spans="1:3" x14ac:dyDescent="0.3">
      <c r="A2752" t="s">
        <v>2809</v>
      </c>
      <c r="B2752">
        <f>IF(ISNUMBER(SEARCH(Form!$C$11,Tabel2[[#This Row],[Coordinate Projection System]])),MAX($B$1:B2751)+1,0)</f>
        <v>2751</v>
      </c>
      <c r="C2752" t="str">
        <f t="shared" si="42"/>
        <v>Ocotepeque 1935 / Costa Rica Norte</v>
      </c>
    </row>
    <row r="2753" spans="1:3" x14ac:dyDescent="0.3">
      <c r="A2753" t="s">
        <v>2810</v>
      </c>
      <c r="B2753">
        <f>IF(ISNUMBER(SEARCH(Form!$C$11,Tabel2[[#This Row],[Coordinate Projection System]])),MAX($B$1:B2752)+1,0)</f>
        <v>2752</v>
      </c>
      <c r="C2753" t="str">
        <f t="shared" si="42"/>
        <v>Ocotepeque 1935 / Costa Rica Sur</v>
      </c>
    </row>
    <row r="2754" spans="1:3" x14ac:dyDescent="0.3">
      <c r="A2754" t="s">
        <v>2811</v>
      </c>
      <c r="B2754">
        <f>IF(ISNUMBER(SEARCH(Form!$C$11,Tabel2[[#This Row],[Coordinate Projection System]])),MAX($B$1:B2753)+1,0)</f>
        <v>2753</v>
      </c>
      <c r="C2754" t="str">
        <f t="shared" si="42"/>
        <v>Ocotepeque 1935 / Guatemala Norte (deprecated)</v>
      </c>
    </row>
    <row r="2755" spans="1:3" x14ac:dyDescent="0.3">
      <c r="A2755" t="s">
        <v>2812</v>
      </c>
      <c r="B2755">
        <f>IF(ISNUMBER(SEARCH(Form!$C$11,Tabel2[[#This Row],[Coordinate Projection System]])),MAX($B$1:B2754)+1,0)</f>
        <v>2754</v>
      </c>
      <c r="C2755" t="str">
        <f t="shared" ref="C2755:C2818" si="43">_xlfn.IFNA(INDEX(A2755:A8266,MATCH(ROW(C2754),B2755:B8266,0)),"")</f>
        <v>Ocotepeque 1935 / Guatemala Sur</v>
      </c>
    </row>
    <row r="2756" spans="1:3" x14ac:dyDescent="0.3">
      <c r="A2756" t="s">
        <v>2813</v>
      </c>
      <c r="B2756">
        <f>IF(ISNUMBER(SEARCH(Form!$C$11,Tabel2[[#This Row],[Coordinate Projection System]])),MAX($B$1:B2755)+1,0)</f>
        <v>2755</v>
      </c>
      <c r="C2756" t="str">
        <f t="shared" si="43"/>
        <v>Ocotepeque 1935 / El Salvador Lambert</v>
      </c>
    </row>
    <row r="2757" spans="1:3" x14ac:dyDescent="0.3">
      <c r="A2757" t="s">
        <v>2814</v>
      </c>
      <c r="B2757">
        <f>IF(ISNUMBER(SEARCH(Form!$C$11,Tabel2[[#This Row],[Coordinate Projection System]])),MAX($B$1:B2756)+1,0)</f>
        <v>2756</v>
      </c>
      <c r="C2757" t="str">
        <f t="shared" si="43"/>
        <v>Ocotepeque 1935 / Nicaragua Norte</v>
      </c>
    </row>
    <row r="2758" spans="1:3" x14ac:dyDescent="0.3">
      <c r="A2758" t="s">
        <v>2815</v>
      </c>
      <c r="B2758">
        <f>IF(ISNUMBER(SEARCH(Form!$C$11,Tabel2[[#This Row],[Coordinate Projection System]])),MAX($B$1:B2757)+1,0)</f>
        <v>2757</v>
      </c>
      <c r="C2758" t="str">
        <f t="shared" si="43"/>
        <v>Ocotepeque 1935 / Nicaragua Sur</v>
      </c>
    </row>
    <row r="2759" spans="1:3" x14ac:dyDescent="0.3">
      <c r="A2759" t="s">
        <v>2816</v>
      </c>
      <c r="B2759">
        <f>IF(ISNUMBER(SEARCH(Form!$C$11,Tabel2[[#This Row],[Coordinate Projection System]])),MAX($B$1:B2758)+1,0)</f>
        <v>2758</v>
      </c>
      <c r="C2759" t="str">
        <f t="shared" si="43"/>
        <v>SAD69 / UTM zone 17N</v>
      </c>
    </row>
    <row r="2760" spans="1:3" x14ac:dyDescent="0.3">
      <c r="A2760" t="s">
        <v>2817</v>
      </c>
      <c r="B2760">
        <f>IF(ISNUMBER(SEARCH(Form!$C$11,Tabel2[[#This Row],[Coordinate Projection System]])),MAX($B$1:B2759)+1,0)</f>
        <v>2759</v>
      </c>
      <c r="C2760" t="str">
        <f t="shared" si="43"/>
        <v>Sibun Gorge 1922 / Colony Grid (deprecated)</v>
      </c>
    </row>
    <row r="2761" spans="1:3" x14ac:dyDescent="0.3">
      <c r="A2761" t="s">
        <v>2818</v>
      </c>
      <c r="B2761">
        <f>IF(ISNUMBER(SEARCH(Form!$C$11,Tabel2[[#This Row],[Coordinate Projection System]])),MAX($B$1:B2760)+1,0)</f>
        <v>2760</v>
      </c>
      <c r="C2761" t="str">
        <f t="shared" si="43"/>
        <v>Panama-Colon 1911 / Panama Lambert</v>
      </c>
    </row>
    <row r="2762" spans="1:3" x14ac:dyDescent="0.3">
      <c r="A2762" t="s">
        <v>2819</v>
      </c>
      <c r="B2762">
        <f>IF(ISNUMBER(SEARCH(Form!$C$11,Tabel2[[#This Row],[Coordinate Projection System]])),MAX($B$1:B2761)+1,0)</f>
        <v>2761</v>
      </c>
      <c r="C2762" t="str">
        <f t="shared" si="43"/>
        <v>Panama-Colon 1911 / Panama Polyconic</v>
      </c>
    </row>
    <row r="2763" spans="1:3" x14ac:dyDescent="0.3">
      <c r="A2763" t="s">
        <v>2820</v>
      </c>
      <c r="B2763">
        <f>IF(ISNUMBER(SEARCH(Form!$C$11,Tabel2[[#This Row],[Coordinate Projection System]])),MAX($B$1:B2762)+1,0)</f>
        <v>2762</v>
      </c>
      <c r="C2763" t="str">
        <f t="shared" si="43"/>
        <v>RSRGD2000 / MSLC2000</v>
      </c>
    </row>
    <row r="2764" spans="1:3" x14ac:dyDescent="0.3">
      <c r="A2764" t="s">
        <v>2821</v>
      </c>
      <c r="B2764">
        <f>IF(ISNUMBER(SEARCH(Form!$C$11,Tabel2[[#This Row],[Coordinate Projection System]])),MAX($B$1:B2763)+1,0)</f>
        <v>2763</v>
      </c>
      <c r="C2764" t="str">
        <f t="shared" si="43"/>
        <v>RSRGD2000 / BCLC2000</v>
      </c>
    </row>
    <row r="2765" spans="1:3" x14ac:dyDescent="0.3">
      <c r="A2765" t="s">
        <v>2822</v>
      </c>
      <c r="B2765">
        <f>IF(ISNUMBER(SEARCH(Form!$C$11,Tabel2[[#This Row],[Coordinate Projection System]])),MAX($B$1:B2764)+1,0)</f>
        <v>2764</v>
      </c>
      <c r="C2765" t="str">
        <f t="shared" si="43"/>
        <v>RSRGD2000 / PCLC2000</v>
      </c>
    </row>
    <row r="2766" spans="1:3" x14ac:dyDescent="0.3">
      <c r="A2766" t="s">
        <v>2823</v>
      </c>
      <c r="B2766">
        <f>IF(ISNUMBER(SEARCH(Form!$C$11,Tabel2[[#This Row],[Coordinate Projection System]])),MAX($B$1:B2765)+1,0)</f>
        <v>2765</v>
      </c>
      <c r="C2766" t="str">
        <f t="shared" si="43"/>
        <v>RSRGD2000 / RSPS2000</v>
      </c>
    </row>
    <row r="2767" spans="1:3" x14ac:dyDescent="0.3">
      <c r="A2767" t="s">
        <v>2824</v>
      </c>
      <c r="B2767">
        <f>IF(ISNUMBER(SEARCH(Form!$C$11,Tabel2[[#This Row],[Coordinate Projection System]])),MAX($B$1:B2766)+1,0)</f>
        <v>2766</v>
      </c>
      <c r="C2767" t="str">
        <f t="shared" si="43"/>
        <v>RGAF09 / UTM zone 20N</v>
      </c>
    </row>
    <row r="2768" spans="1:3" x14ac:dyDescent="0.3">
      <c r="A2768" t="s">
        <v>2825</v>
      </c>
      <c r="B2768">
        <f>IF(ISNUMBER(SEARCH(Form!$C$11,Tabel2[[#This Row],[Coordinate Projection System]])),MAX($B$1:B2767)+1,0)</f>
        <v>2767</v>
      </c>
      <c r="C2768" t="str">
        <f t="shared" si="43"/>
        <v>S-JTSK / Krovak</v>
      </c>
    </row>
    <row r="2769" spans="1:3" x14ac:dyDescent="0.3">
      <c r="A2769" t="s">
        <v>2826</v>
      </c>
      <c r="B2769">
        <f>IF(ISNUMBER(SEARCH(Form!$C$11,Tabel2[[#This Row],[Coordinate Projection System]])),MAX($B$1:B2768)+1,0)</f>
        <v>2768</v>
      </c>
      <c r="C2769" t="str">
        <f t="shared" si="43"/>
        <v>S-JTSK / Krovak East North</v>
      </c>
    </row>
    <row r="2770" spans="1:3" x14ac:dyDescent="0.3">
      <c r="A2770" t="s">
        <v>2827</v>
      </c>
      <c r="B2770">
        <f>IF(ISNUMBER(SEARCH(Form!$C$11,Tabel2[[#This Row],[Coordinate Projection System]])),MAX($B$1:B2769)+1,0)</f>
        <v>2769</v>
      </c>
      <c r="C2770" t="str">
        <f t="shared" si="43"/>
        <v>S-JTSK/05 / Modified KrovakUnable to translate coordinate system EPSG:5515 into PROJ.4 format.</v>
      </c>
    </row>
    <row r="2771" spans="1:3" x14ac:dyDescent="0.3">
      <c r="A2771" t="s">
        <v>2828</v>
      </c>
      <c r="B2771">
        <f>IF(ISNUMBER(SEARCH(Form!$C$11,Tabel2[[#This Row],[Coordinate Projection System]])),MAX($B$1:B2770)+1,0)</f>
        <v>2770</v>
      </c>
      <c r="C2771" t="str">
        <f t="shared" si="43"/>
        <v>S-JTSK/05 / Modified Krovak East NorthUnable to translate coordinate system EPSG:5516 into PROJ.4 format.</v>
      </c>
    </row>
    <row r="2772" spans="1:3" x14ac:dyDescent="0.3">
      <c r="A2772" t="s">
        <v>2829</v>
      </c>
      <c r="B2772">
        <f>IF(ISNUMBER(SEARCH(Form!$C$11,Tabel2[[#This Row],[Coordinate Projection System]])),MAX($B$1:B2771)+1,0)</f>
        <v>2771</v>
      </c>
      <c r="C2772" t="str">
        <f t="shared" si="43"/>
        <v>CI1971 / Chatham Islands Map Grid</v>
      </c>
    </row>
    <row r="2773" spans="1:3" x14ac:dyDescent="0.3">
      <c r="A2773" t="s">
        <v>2830</v>
      </c>
      <c r="B2773">
        <f>IF(ISNUMBER(SEARCH(Form!$C$11,Tabel2[[#This Row],[Coordinate Projection System]])),MAX($B$1:B2772)+1,0)</f>
        <v>2772</v>
      </c>
      <c r="C2773" t="str">
        <f t="shared" si="43"/>
        <v>CI1979 / Chatham Islands Map Grid</v>
      </c>
    </row>
    <row r="2774" spans="1:3" x14ac:dyDescent="0.3">
      <c r="A2774" t="s">
        <v>2831</v>
      </c>
      <c r="B2774">
        <f>IF(ISNUMBER(SEARCH(Form!$C$11,Tabel2[[#This Row],[Coordinate Projection System]])),MAX($B$1:B2773)+1,0)</f>
        <v>2773</v>
      </c>
      <c r="C2774" t="str">
        <f t="shared" si="43"/>
        <v>DHDN / 3-degree Gauss-Kruger zone 1</v>
      </c>
    </row>
    <row r="2775" spans="1:3" x14ac:dyDescent="0.3">
      <c r="A2775" t="s">
        <v>2832</v>
      </c>
      <c r="B2775">
        <f>IF(ISNUMBER(SEARCH(Form!$C$11,Tabel2[[#This Row],[Coordinate Projection System]])),MAX($B$1:B2774)+1,0)</f>
        <v>2774</v>
      </c>
      <c r="C2775" t="str">
        <f t="shared" si="43"/>
        <v>WGS 84 / Gabon TM 2011</v>
      </c>
    </row>
    <row r="2776" spans="1:3" x14ac:dyDescent="0.3">
      <c r="A2776" t="s">
        <v>2833</v>
      </c>
      <c r="B2776">
        <f>IF(ISNUMBER(SEARCH(Form!$C$11,Tabel2[[#This Row],[Coordinate Projection System]])),MAX($B$1:B2775)+1,0)</f>
        <v>2775</v>
      </c>
      <c r="C2776" t="str">
        <f t="shared" si="43"/>
        <v>SAD69(96) / Brazil Polyconic</v>
      </c>
    </row>
    <row r="2777" spans="1:3" x14ac:dyDescent="0.3">
      <c r="A2777" t="s">
        <v>2834</v>
      </c>
      <c r="B2777">
        <f>IF(ISNUMBER(SEARCH(Form!$C$11,Tabel2[[#This Row],[Coordinate Projection System]])),MAX($B$1:B2776)+1,0)</f>
        <v>2776</v>
      </c>
      <c r="C2777" t="str">
        <f t="shared" si="43"/>
        <v>SAD69(96) / UTM zone 21S</v>
      </c>
    </row>
    <row r="2778" spans="1:3" x14ac:dyDescent="0.3">
      <c r="A2778" t="s">
        <v>2835</v>
      </c>
      <c r="B2778">
        <f>IF(ISNUMBER(SEARCH(Form!$C$11,Tabel2[[#This Row],[Coordinate Projection System]])),MAX($B$1:B2777)+1,0)</f>
        <v>2777</v>
      </c>
      <c r="C2778" t="str">
        <f t="shared" si="43"/>
        <v>SAD69(96) / UTM zone 22S (deprecated)</v>
      </c>
    </row>
    <row r="2779" spans="1:3" x14ac:dyDescent="0.3">
      <c r="A2779" t="s">
        <v>2836</v>
      </c>
      <c r="B2779">
        <f>IF(ISNUMBER(SEARCH(Form!$C$11,Tabel2[[#This Row],[Coordinate Projection System]])),MAX($B$1:B2778)+1,0)</f>
        <v>2778</v>
      </c>
      <c r="C2779" t="str">
        <f t="shared" si="43"/>
        <v>SAD69(96) / UTM zone 23S</v>
      </c>
    </row>
    <row r="2780" spans="1:3" x14ac:dyDescent="0.3">
      <c r="A2780" t="s">
        <v>2837</v>
      </c>
      <c r="B2780">
        <f>IF(ISNUMBER(SEARCH(Form!$C$11,Tabel2[[#This Row],[Coordinate Projection System]])),MAX($B$1:B2779)+1,0)</f>
        <v>2779</v>
      </c>
      <c r="C2780" t="str">
        <f t="shared" si="43"/>
        <v>SAD69(96) / UTM zone 24S</v>
      </c>
    </row>
    <row r="2781" spans="1:3" x14ac:dyDescent="0.3">
      <c r="A2781" t="s">
        <v>2838</v>
      </c>
      <c r="B2781">
        <f>IF(ISNUMBER(SEARCH(Form!$C$11,Tabel2[[#This Row],[Coordinate Projection System]])),MAX($B$1:B2780)+1,0)</f>
        <v>2780</v>
      </c>
      <c r="C2781" t="str">
        <f t="shared" si="43"/>
        <v>SAD69(96) / UTM zone 25S</v>
      </c>
    </row>
    <row r="2782" spans="1:3" x14ac:dyDescent="0.3">
      <c r="A2782" t="s">
        <v>2839</v>
      </c>
      <c r="B2782">
        <f>IF(ISNUMBER(SEARCH(Form!$C$11,Tabel2[[#This Row],[Coordinate Projection System]])),MAX($B$1:B2781)+1,0)</f>
        <v>2781</v>
      </c>
      <c r="C2782" t="str">
        <f t="shared" si="43"/>
        <v>Corrego Alegre 1961 / UTM zone 21S</v>
      </c>
    </row>
    <row r="2783" spans="1:3" x14ac:dyDescent="0.3">
      <c r="A2783" t="s">
        <v>2840</v>
      </c>
      <c r="B2783">
        <f>IF(ISNUMBER(SEARCH(Form!$C$11,Tabel2[[#This Row],[Coordinate Projection System]])),MAX($B$1:B2782)+1,0)</f>
        <v>2782</v>
      </c>
      <c r="C2783" t="str">
        <f t="shared" si="43"/>
        <v>Corrego Alegre 1961 / UTM zone 22S</v>
      </c>
    </row>
    <row r="2784" spans="1:3" x14ac:dyDescent="0.3">
      <c r="A2784" t="s">
        <v>2841</v>
      </c>
      <c r="B2784">
        <f>IF(ISNUMBER(SEARCH(Form!$C$11,Tabel2[[#This Row],[Coordinate Projection System]])),MAX($B$1:B2783)+1,0)</f>
        <v>2783</v>
      </c>
      <c r="C2784" t="str">
        <f t="shared" si="43"/>
        <v>Corrego Alegre 1961 / UTM zone 23S</v>
      </c>
    </row>
    <row r="2785" spans="1:3" x14ac:dyDescent="0.3">
      <c r="A2785" t="s">
        <v>2842</v>
      </c>
      <c r="B2785">
        <f>IF(ISNUMBER(SEARCH(Form!$C$11,Tabel2[[#This Row],[Coordinate Projection System]])),MAX($B$1:B2784)+1,0)</f>
        <v>2784</v>
      </c>
      <c r="C2785" t="str">
        <f t="shared" si="43"/>
        <v>Corrego Alegre 1961 / UTM zone 24S</v>
      </c>
    </row>
    <row r="2786" spans="1:3" x14ac:dyDescent="0.3">
      <c r="A2786" t="s">
        <v>2843</v>
      </c>
      <c r="B2786">
        <f>IF(ISNUMBER(SEARCH(Form!$C$11,Tabel2[[#This Row],[Coordinate Projection System]])),MAX($B$1:B2785)+1,0)</f>
        <v>2785</v>
      </c>
      <c r="C2786" t="str">
        <f t="shared" si="43"/>
        <v>PNG94 / PNGMG94 zone 54</v>
      </c>
    </row>
    <row r="2787" spans="1:3" x14ac:dyDescent="0.3">
      <c r="A2787" t="s">
        <v>2844</v>
      </c>
      <c r="B2787">
        <f>IF(ISNUMBER(SEARCH(Form!$C$11,Tabel2[[#This Row],[Coordinate Projection System]])),MAX($B$1:B2786)+1,0)</f>
        <v>2786</v>
      </c>
      <c r="C2787" t="str">
        <f t="shared" si="43"/>
        <v>PNG94 / PNGMG94 zone 55</v>
      </c>
    </row>
    <row r="2788" spans="1:3" x14ac:dyDescent="0.3">
      <c r="A2788" t="s">
        <v>2845</v>
      </c>
      <c r="B2788">
        <f>IF(ISNUMBER(SEARCH(Form!$C$11,Tabel2[[#This Row],[Coordinate Projection System]])),MAX($B$1:B2787)+1,0)</f>
        <v>2787</v>
      </c>
      <c r="C2788" t="str">
        <f t="shared" si="43"/>
        <v>PNG94 / PNGMG94 zone 56</v>
      </c>
    </row>
    <row r="2789" spans="1:3" x14ac:dyDescent="0.3">
      <c r="A2789" t="s">
        <v>2846</v>
      </c>
      <c r="B2789">
        <f>IF(ISNUMBER(SEARCH(Form!$C$11,Tabel2[[#This Row],[Coordinate Projection System]])),MAX($B$1:B2788)+1,0)</f>
        <v>2788</v>
      </c>
      <c r="C2789" t="str">
        <f t="shared" si="43"/>
        <v>Ocotepeque 1935 / Guatemala Norte</v>
      </c>
    </row>
    <row r="2790" spans="1:3" x14ac:dyDescent="0.3">
      <c r="A2790" t="s">
        <v>2847</v>
      </c>
      <c r="B2790">
        <f>IF(ISNUMBER(SEARCH(Form!$C$11,Tabel2[[#This Row],[Coordinate Projection System]])),MAX($B$1:B2789)+1,0)</f>
        <v>2789</v>
      </c>
      <c r="C2790" t="str">
        <f t="shared" si="43"/>
        <v>UCS-2000 / Gauss-Kruger zone 4</v>
      </c>
    </row>
    <row r="2791" spans="1:3" x14ac:dyDescent="0.3">
      <c r="A2791" t="s">
        <v>2848</v>
      </c>
      <c r="B2791">
        <f>IF(ISNUMBER(SEARCH(Form!$C$11,Tabel2[[#This Row],[Coordinate Projection System]])),MAX($B$1:B2790)+1,0)</f>
        <v>2790</v>
      </c>
      <c r="C2791" t="str">
        <f t="shared" si="43"/>
        <v>UCS-2000 / Gauss-Kruger zone 5</v>
      </c>
    </row>
    <row r="2792" spans="1:3" x14ac:dyDescent="0.3">
      <c r="A2792" t="s">
        <v>2849</v>
      </c>
      <c r="B2792">
        <f>IF(ISNUMBER(SEARCH(Form!$C$11,Tabel2[[#This Row],[Coordinate Projection System]])),MAX($B$1:B2791)+1,0)</f>
        <v>2791</v>
      </c>
      <c r="C2792" t="str">
        <f t="shared" si="43"/>
        <v>UCS-2000 / Gauss-Kruger zone 6</v>
      </c>
    </row>
    <row r="2793" spans="1:3" x14ac:dyDescent="0.3">
      <c r="A2793" t="s">
        <v>2850</v>
      </c>
      <c r="B2793">
        <f>IF(ISNUMBER(SEARCH(Form!$C$11,Tabel2[[#This Row],[Coordinate Projection System]])),MAX($B$1:B2792)+1,0)</f>
        <v>2792</v>
      </c>
      <c r="C2793" t="str">
        <f t="shared" si="43"/>
        <v>UCS-2000 / Gauss-Kruger zone 7</v>
      </c>
    </row>
    <row r="2794" spans="1:3" x14ac:dyDescent="0.3">
      <c r="A2794" t="s">
        <v>2851</v>
      </c>
      <c r="B2794">
        <f>IF(ISNUMBER(SEARCH(Form!$C$11,Tabel2[[#This Row],[Coordinate Projection System]])),MAX($B$1:B2793)+1,0)</f>
        <v>2793</v>
      </c>
      <c r="C2794" t="str">
        <f t="shared" si="43"/>
        <v>UCS-2000 / Gauss-Kruger CM 21E</v>
      </c>
    </row>
    <row r="2795" spans="1:3" x14ac:dyDescent="0.3">
      <c r="A2795" t="s">
        <v>2852</v>
      </c>
      <c r="B2795">
        <f>IF(ISNUMBER(SEARCH(Form!$C$11,Tabel2[[#This Row],[Coordinate Projection System]])),MAX($B$1:B2794)+1,0)</f>
        <v>2794</v>
      </c>
      <c r="C2795" t="str">
        <f t="shared" si="43"/>
        <v>UCS-2000 / Gauss-Kruger CM 27E</v>
      </c>
    </row>
    <row r="2796" spans="1:3" x14ac:dyDescent="0.3">
      <c r="A2796" t="s">
        <v>2853</v>
      </c>
      <c r="B2796">
        <f>IF(ISNUMBER(SEARCH(Form!$C$11,Tabel2[[#This Row],[Coordinate Projection System]])),MAX($B$1:B2795)+1,0)</f>
        <v>2795</v>
      </c>
      <c r="C2796" t="str">
        <f t="shared" si="43"/>
        <v>UCS-2000 / Gauss-Kruger CM 33E</v>
      </c>
    </row>
    <row r="2797" spans="1:3" x14ac:dyDescent="0.3">
      <c r="A2797" t="s">
        <v>2854</v>
      </c>
      <c r="B2797">
        <f>IF(ISNUMBER(SEARCH(Form!$C$11,Tabel2[[#This Row],[Coordinate Projection System]])),MAX($B$1:B2796)+1,0)</f>
        <v>2796</v>
      </c>
      <c r="C2797" t="str">
        <f t="shared" si="43"/>
        <v>UCS-2000 / Gauss-Kruger CM 39E</v>
      </c>
    </row>
    <row r="2798" spans="1:3" x14ac:dyDescent="0.3">
      <c r="A2798" t="s">
        <v>2855</v>
      </c>
      <c r="B2798">
        <f>IF(ISNUMBER(SEARCH(Form!$C$11,Tabel2[[#This Row],[Coordinate Projection System]])),MAX($B$1:B2797)+1,0)</f>
        <v>2797</v>
      </c>
      <c r="C2798" t="str">
        <f t="shared" si="43"/>
        <v>UCS-2000 / 3-degree Gauss-Kruger zone 7 (deprecated)</v>
      </c>
    </row>
    <row r="2799" spans="1:3" x14ac:dyDescent="0.3">
      <c r="A2799" t="s">
        <v>2856</v>
      </c>
      <c r="B2799">
        <f>IF(ISNUMBER(SEARCH(Form!$C$11,Tabel2[[#This Row],[Coordinate Projection System]])),MAX($B$1:B2798)+1,0)</f>
        <v>2798</v>
      </c>
      <c r="C2799" t="str">
        <f t="shared" si="43"/>
        <v>UCS-2000 / 3-degree Gauss-Kruger zone 8 (deprecated)</v>
      </c>
    </row>
    <row r="2800" spans="1:3" x14ac:dyDescent="0.3">
      <c r="A2800" t="s">
        <v>2857</v>
      </c>
      <c r="B2800">
        <f>IF(ISNUMBER(SEARCH(Form!$C$11,Tabel2[[#This Row],[Coordinate Projection System]])),MAX($B$1:B2799)+1,0)</f>
        <v>2799</v>
      </c>
      <c r="C2800" t="str">
        <f t="shared" si="43"/>
        <v>UCS-2000 / 3-degree Gauss-Kruger zone 9 (deprecated)</v>
      </c>
    </row>
    <row r="2801" spans="1:3" x14ac:dyDescent="0.3">
      <c r="A2801" t="s">
        <v>2858</v>
      </c>
      <c r="B2801">
        <f>IF(ISNUMBER(SEARCH(Form!$C$11,Tabel2[[#This Row],[Coordinate Projection System]])),MAX($B$1:B2800)+1,0)</f>
        <v>2800</v>
      </c>
      <c r="C2801" t="str">
        <f t="shared" si="43"/>
        <v>UCS-2000 / 3-degree Gauss-Kruger zone 10 (deprecated)</v>
      </c>
    </row>
    <row r="2802" spans="1:3" x14ac:dyDescent="0.3">
      <c r="A2802" t="s">
        <v>2859</v>
      </c>
      <c r="B2802">
        <f>IF(ISNUMBER(SEARCH(Form!$C$11,Tabel2[[#This Row],[Coordinate Projection System]])),MAX($B$1:B2801)+1,0)</f>
        <v>2801</v>
      </c>
      <c r="C2802" t="str">
        <f t="shared" si="43"/>
        <v>UCS-2000 / 3-degree Gauss-Kruger zone 11 (deprecated)</v>
      </c>
    </row>
    <row r="2803" spans="1:3" x14ac:dyDescent="0.3">
      <c r="A2803" t="s">
        <v>2860</v>
      </c>
      <c r="B2803">
        <f>IF(ISNUMBER(SEARCH(Form!$C$11,Tabel2[[#This Row],[Coordinate Projection System]])),MAX($B$1:B2802)+1,0)</f>
        <v>2802</v>
      </c>
      <c r="C2803" t="str">
        <f t="shared" si="43"/>
        <v>UCS-2000 / 3-degree Gauss-Kruger zone 12 (deprecated)</v>
      </c>
    </row>
    <row r="2804" spans="1:3" x14ac:dyDescent="0.3">
      <c r="A2804" t="s">
        <v>2861</v>
      </c>
      <c r="B2804">
        <f>IF(ISNUMBER(SEARCH(Form!$C$11,Tabel2[[#This Row],[Coordinate Projection System]])),MAX($B$1:B2803)+1,0)</f>
        <v>2803</v>
      </c>
      <c r="C2804" t="str">
        <f t="shared" si="43"/>
        <v>UCS-2000 / 3-degree Gauss-Kruger zone 13 (deprecated)</v>
      </c>
    </row>
    <row r="2805" spans="1:3" x14ac:dyDescent="0.3">
      <c r="A2805" t="s">
        <v>2862</v>
      </c>
      <c r="B2805">
        <f>IF(ISNUMBER(SEARCH(Form!$C$11,Tabel2[[#This Row],[Coordinate Projection System]])),MAX($B$1:B2804)+1,0)</f>
        <v>2804</v>
      </c>
      <c r="C2805" t="str">
        <f t="shared" si="43"/>
        <v>UCS-2000 / 3-degree Gauss-Kruger CM 21E (deprecated)</v>
      </c>
    </row>
    <row r="2806" spans="1:3" x14ac:dyDescent="0.3">
      <c r="A2806" t="s">
        <v>2863</v>
      </c>
      <c r="B2806">
        <f>IF(ISNUMBER(SEARCH(Form!$C$11,Tabel2[[#This Row],[Coordinate Projection System]])),MAX($B$1:B2805)+1,0)</f>
        <v>2805</v>
      </c>
      <c r="C2806" t="str">
        <f t="shared" si="43"/>
        <v>UCS-2000 / 3-degree Gauss-Kruger CM 24E (deprecated)</v>
      </c>
    </row>
    <row r="2807" spans="1:3" x14ac:dyDescent="0.3">
      <c r="A2807" t="s">
        <v>2864</v>
      </c>
      <c r="B2807">
        <f>IF(ISNUMBER(SEARCH(Form!$C$11,Tabel2[[#This Row],[Coordinate Projection System]])),MAX($B$1:B2806)+1,0)</f>
        <v>2806</v>
      </c>
      <c r="C2807" t="str">
        <f t="shared" si="43"/>
        <v>UCS-2000 / 3-degree Gauss-Kruger CM 27E (deprecated)</v>
      </c>
    </row>
    <row r="2808" spans="1:3" x14ac:dyDescent="0.3">
      <c r="A2808" t="s">
        <v>2865</v>
      </c>
      <c r="B2808">
        <f>IF(ISNUMBER(SEARCH(Form!$C$11,Tabel2[[#This Row],[Coordinate Projection System]])),MAX($B$1:B2807)+1,0)</f>
        <v>2807</v>
      </c>
      <c r="C2808" t="str">
        <f t="shared" si="43"/>
        <v>UCS-2000 / 3-degree Gauss-Kruger CM 30E (deprecated)</v>
      </c>
    </row>
    <row r="2809" spans="1:3" x14ac:dyDescent="0.3">
      <c r="A2809" t="s">
        <v>2866</v>
      </c>
      <c r="B2809">
        <f>IF(ISNUMBER(SEARCH(Form!$C$11,Tabel2[[#This Row],[Coordinate Projection System]])),MAX($B$1:B2808)+1,0)</f>
        <v>2808</v>
      </c>
      <c r="C2809" t="str">
        <f t="shared" si="43"/>
        <v>UCS-2000 / 3-degree Gauss-Kruger CM 33E (deprecated)</v>
      </c>
    </row>
    <row r="2810" spans="1:3" x14ac:dyDescent="0.3">
      <c r="A2810" t="s">
        <v>2867</v>
      </c>
      <c r="B2810">
        <f>IF(ISNUMBER(SEARCH(Form!$C$11,Tabel2[[#This Row],[Coordinate Projection System]])),MAX($B$1:B2809)+1,0)</f>
        <v>2809</v>
      </c>
      <c r="C2810" t="str">
        <f t="shared" si="43"/>
        <v>UCS-2000 / 3-degree Gauss-Kruger CM 36E (deprecated)</v>
      </c>
    </row>
    <row r="2811" spans="1:3" x14ac:dyDescent="0.3">
      <c r="A2811" t="s">
        <v>2868</v>
      </c>
      <c r="B2811">
        <f>IF(ISNUMBER(SEARCH(Form!$C$11,Tabel2[[#This Row],[Coordinate Projection System]])),MAX($B$1:B2810)+1,0)</f>
        <v>2810</v>
      </c>
      <c r="C2811" t="str">
        <f t="shared" si="43"/>
        <v>UCS-2000 / 3-degree Gauss-Kruger CM 39E (deprecated)</v>
      </c>
    </row>
    <row r="2812" spans="1:3" x14ac:dyDescent="0.3">
      <c r="A2812" t="s">
        <v>2869</v>
      </c>
      <c r="B2812">
        <f>IF(ISNUMBER(SEARCH(Form!$C$11,Tabel2[[#This Row],[Coordinate Projection System]])),MAX($B$1:B2811)+1,0)</f>
        <v>2811</v>
      </c>
      <c r="C2812" t="str">
        <f t="shared" si="43"/>
        <v>NAD27 / New Brunswick Stereographic (NAD27)</v>
      </c>
    </row>
    <row r="2813" spans="1:3" x14ac:dyDescent="0.3">
      <c r="A2813" t="s">
        <v>2870</v>
      </c>
      <c r="B2813">
        <f>IF(ISNUMBER(SEARCH(Form!$C$11,Tabel2[[#This Row],[Coordinate Projection System]])),MAX($B$1:B2812)+1,0)</f>
        <v>2812</v>
      </c>
      <c r="C2813" t="str">
        <f t="shared" si="43"/>
        <v>Sibun Gorge 1922 / Colony Grid</v>
      </c>
    </row>
    <row r="2814" spans="1:3" x14ac:dyDescent="0.3">
      <c r="A2814" t="s">
        <v>2871</v>
      </c>
      <c r="B2814">
        <f>IF(ISNUMBER(SEARCH(Form!$C$11,Tabel2[[#This Row],[Coordinate Projection System]])),MAX($B$1:B2813)+1,0)</f>
        <v>2813</v>
      </c>
      <c r="C2814" t="str">
        <f t="shared" si="43"/>
        <v>FEH2010 / Fehmarnbelt TM</v>
      </c>
    </row>
    <row r="2815" spans="1:3" x14ac:dyDescent="0.3">
      <c r="A2815" t="s">
        <v>2872</v>
      </c>
      <c r="B2815">
        <f>IF(ISNUMBER(SEARCH(Form!$C$11,Tabel2[[#This Row],[Coordinate Projection System]])),MAX($B$1:B2814)+1,0)</f>
        <v>2814</v>
      </c>
      <c r="C2815" t="str">
        <f t="shared" si="43"/>
        <v>NAD27 / Michigan East</v>
      </c>
    </row>
    <row r="2816" spans="1:3" x14ac:dyDescent="0.3">
      <c r="A2816" t="s">
        <v>2873</v>
      </c>
      <c r="B2816">
        <f>IF(ISNUMBER(SEARCH(Form!$C$11,Tabel2[[#This Row],[Coordinate Projection System]])),MAX($B$1:B2815)+1,0)</f>
        <v>2815</v>
      </c>
      <c r="C2816" t="str">
        <f t="shared" si="43"/>
        <v>NAD27 / Michigan Old Central</v>
      </c>
    </row>
    <row r="2817" spans="1:3" x14ac:dyDescent="0.3">
      <c r="A2817" t="s">
        <v>2874</v>
      </c>
      <c r="B2817">
        <f>IF(ISNUMBER(SEARCH(Form!$C$11,Tabel2[[#This Row],[Coordinate Projection System]])),MAX($B$1:B2816)+1,0)</f>
        <v>2816</v>
      </c>
      <c r="C2817" t="str">
        <f t="shared" si="43"/>
        <v>NAD27 / Michigan West</v>
      </c>
    </row>
    <row r="2818" spans="1:3" x14ac:dyDescent="0.3">
      <c r="A2818" t="s">
        <v>2875</v>
      </c>
      <c r="B2818">
        <f>IF(ISNUMBER(SEARCH(Form!$C$11,Tabel2[[#This Row],[Coordinate Projection System]])),MAX($B$1:B2817)+1,0)</f>
        <v>2817</v>
      </c>
      <c r="C2818" t="str">
        <f t="shared" si="43"/>
        <v>ED50 / TM 6 NE</v>
      </c>
    </row>
    <row r="2819" spans="1:3" x14ac:dyDescent="0.3">
      <c r="A2819" t="s">
        <v>2876</v>
      </c>
      <c r="B2819">
        <f>IF(ISNUMBER(SEARCH(Form!$C$11,Tabel2[[#This Row],[Coordinate Projection System]])),MAX($B$1:B2818)+1,0)</f>
        <v>2818</v>
      </c>
      <c r="C2819" t="str">
        <f t="shared" ref="C2819:C2882" si="44">_xlfn.IFNA(INDEX(A2819:A8330,MATCH(ROW(C2818),B2819:B8330,0)),"")</f>
        <v>Moznet / UTM zone 38S</v>
      </c>
    </row>
    <row r="2820" spans="1:3" x14ac:dyDescent="0.3">
      <c r="A2820" t="s">
        <v>2877</v>
      </c>
      <c r="B2820">
        <f>IF(ISNUMBER(SEARCH(Form!$C$11,Tabel2[[#This Row],[Coordinate Projection System]])),MAX($B$1:B2819)+1,0)</f>
        <v>2819</v>
      </c>
      <c r="C2820" t="str">
        <f t="shared" si="44"/>
        <v>Pulkovo 1942(58) / Gauss-Kruger zone 2 (E-N)</v>
      </c>
    </row>
    <row r="2821" spans="1:3" x14ac:dyDescent="0.3">
      <c r="A2821" t="s">
        <v>2878</v>
      </c>
      <c r="B2821">
        <f>IF(ISNUMBER(SEARCH(Form!$C$11,Tabel2[[#This Row],[Coordinate Projection System]])),MAX($B$1:B2820)+1,0)</f>
        <v>2820</v>
      </c>
      <c r="C2821" t="str">
        <f t="shared" si="44"/>
        <v>PTRA08 / LCC Europe</v>
      </c>
    </row>
    <row r="2822" spans="1:3" x14ac:dyDescent="0.3">
      <c r="A2822" t="s">
        <v>2879</v>
      </c>
      <c r="B2822">
        <f>IF(ISNUMBER(SEARCH(Form!$C$11,Tabel2[[#This Row],[Coordinate Projection System]])),MAX($B$1:B2821)+1,0)</f>
        <v>2821</v>
      </c>
      <c r="C2822" t="str">
        <f t="shared" si="44"/>
        <v>PTRA08 / LAEA Europe</v>
      </c>
    </row>
    <row r="2823" spans="1:3" x14ac:dyDescent="0.3">
      <c r="A2823" t="s">
        <v>2880</v>
      </c>
      <c r="B2823">
        <f>IF(ISNUMBER(SEARCH(Form!$C$11,Tabel2[[#This Row],[Coordinate Projection System]])),MAX($B$1:B2822)+1,0)</f>
        <v>2822</v>
      </c>
      <c r="C2823" t="str">
        <f t="shared" si="44"/>
        <v>REGCAN95 / LCC Europe</v>
      </c>
    </row>
    <row r="2824" spans="1:3" x14ac:dyDescent="0.3">
      <c r="A2824" t="s">
        <v>2881</v>
      </c>
      <c r="B2824">
        <f>IF(ISNUMBER(SEARCH(Form!$C$11,Tabel2[[#This Row],[Coordinate Projection System]])),MAX($B$1:B2823)+1,0)</f>
        <v>2823</v>
      </c>
      <c r="C2824" t="str">
        <f t="shared" si="44"/>
        <v>REGCAN95 / LAEA Europe</v>
      </c>
    </row>
    <row r="2825" spans="1:3" x14ac:dyDescent="0.3">
      <c r="A2825" t="s">
        <v>2882</v>
      </c>
      <c r="B2825">
        <f>IF(ISNUMBER(SEARCH(Form!$C$11,Tabel2[[#This Row],[Coordinate Projection System]])),MAX($B$1:B2824)+1,0)</f>
        <v>2824</v>
      </c>
      <c r="C2825" t="str">
        <f t="shared" si="44"/>
        <v>TUREF / LAEA Europe</v>
      </c>
    </row>
    <row r="2826" spans="1:3" x14ac:dyDescent="0.3">
      <c r="A2826" t="s">
        <v>2883</v>
      </c>
      <c r="B2826">
        <f>IF(ISNUMBER(SEARCH(Form!$C$11,Tabel2[[#This Row],[Coordinate Projection System]])),MAX($B$1:B2825)+1,0)</f>
        <v>2825</v>
      </c>
      <c r="C2826" t="str">
        <f t="shared" si="44"/>
        <v>TUREF / LCC Europe</v>
      </c>
    </row>
    <row r="2827" spans="1:3" x14ac:dyDescent="0.3">
      <c r="A2827" t="s">
        <v>2884</v>
      </c>
      <c r="B2827">
        <f>IF(ISNUMBER(SEARCH(Form!$C$11,Tabel2[[#This Row],[Coordinate Projection System]])),MAX($B$1:B2826)+1,0)</f>
        <v>2826</v>
      </c>
      <c r="C2827" t="str">
        <f t="shared" si="44"/>
        <v>ISN2004 / LAEA Europe</v>
      </c>
    </row>
    <row r="2828" spans="1:3" x14ac:dyDescent="0.3">
      <c r="A2828" t="s">
        <v>2885</v>
      </c>
      <c r="B2828">
        <f>IF(ISNUMBER(SEARCH(Form!$C$11,Tabel2[[#This Row],[Coordinate Projection System]])),MAX($B$1:B2827)+1,0)</f>
        <v>2827</v>
      </c>
      <c r="C2828" t="str">
        <f t="shared" si="44"/>
        <v>ISN2004 / LCC Europe</v>
      </c>
    </row>
    <row r="2829" spans="1:3" x14ac:dyDescent="0.3">
      <c r="A2829" t="s">
        <v>2886</v>
      </c>
      <c r="B2829">
        <f>IF(ISNUMBER(SEARCH(Form!$C$11,Tabel2[[#This Row],[Coordinate Projection System]])),MAX($B$1:B2828)+1,0)</f>
        <v>2828</v>
      </c>
      <c r="C2829" t="str">
        <f t="shared" si="44"/>
        <v>SIRGAS 2000 / Brazil Mercator</v>
      </c>
    </row>
    <row r="2830" spans="1:3" x14ac:dyDescent="0.3">
      <c r="A2830" t="s">
        <v>2887</v>
      </c>
      <c r="B2830">
        <f>IF(ISNUMBER(SEARCH(Form!$C$11,Tabel2[[#This Row],[Coordinate Projection System]])),MAX($B$1:B2829)+1,0)</f>
        <v>2829</v>
      </c>
      <c r="C2830" t="str">
        <f t="shared" si="44"/>
        <v>ED50 / SPBA LCC</v>
      </c>
    </row>
    <row r="2831" spans="1:3" x14ac:dyDescent="0.3">
      <c r="A2831" t="s">
        <v>2888</v>
      </c>
      <c r="B2831">
        <f>IF(ISNUMBER(SEARCH(Form!$C$11,Tabel2[[#This Row],[Coordinate Projection System]])),MAX($B$1:B2830)+1,0)</f>
        <v>2830</v>
      </c>
      <c r="C2831" t="str">
        <f t="shared" si="44"/>
        <v>RGR92 / UTM zone 39S</v>
      </c>
    </row>
    <row r="2832" spans="1:3" x14ac:dyDescent="0.3">
      <c r="A2832" t="s">
        <v>2889</v>
      </c>
      <c r="B2832">
        <f>IF(ISNUMBER(SEARCH(Form!$C$11,Tabel2[[#This Row],[Coordinate Projection System]])),MAX($B$1:B2831)+1,0)</f>
        <v>2831</v>
      </c>
      <c r="C2832" t="str">
        <f t="shared" si="44"/>
        <v>NAD83 / Vermont (ftUS)</v>
      </c>
    </row>
    <row r="2833" spans="1:3" x14ac:dyDescent="0.3">
      <c r="A2833" t="s">
        <v>2890</v>
      </c>
      <c r="B2833">
        <f>IF(ISNUMBER(SEARCH(Form!$C$11,Tabel2[[#This Row],[Coordinate Projection System]])),MAX($B$1:B2832)+1,0)</f>
        <v>2832</v>
      </c>
      <c r="C2833" t="str">
        <f t="shared" si="44"/>
        <v>ETRS89 / UTM zone 31N (zE-N)</v>
      </c>
    </row>
    <row r="2834" spans="1:3" x14ac:dyDescent="0.3">
      <c r="A2834" t="s">
        <v>2891</v>
      </c>
      <c r="B2834">
        <f>IF(ISNUMBER(SEARCH(Form!$C$11,Tabel2[[#This Row],[Coordinate Projection System]])),MAX($B$1:B2833)+1,0)</f>
        <v>2833</v>
      </c>
      <c r="C2834" t="str">
        <f t="shared" si="44"/>
        <v>ETRS89 / UTM zone 33N (zE-N)</v>
      </c>
    </row>
    <row r="2835" spans="1:3" x14ac:dyDescent="0.3">
      <c r="A2835" t="s">
        <v>2892</v>
      </c>
      <c r="B2835">
        <f>IF(ISNUMBER(SEARCH(Form!$C$11,Tabel2[[#This Row],[Coordinate Projection System]])),MAX($B$1:B2834)+1,0)</f>
        <v>2834</v>
      </c>
      <c r="C2835" t="str">
        <f t="shared" si="44"/>
        <v>ETRS89 / UTM zone 31N (N-zE)</v>
      </c>
    </row>
    <row r="2836" spans="1:3" x14ac:dyDescent="0.3">
      <c r="A2836" t="s">
        <v>2893</v>
      </c>
      <c r="B2836">
        <f>IF(ISNUMBER(SEARCH(Form!$C$11,Tabel2[[#This Row],[Coordinate Projection System]])),MAX($B$1:B2835)+1,0)</f>
        <v>2835</v>
      </c>
      <c r="C2836" t="str">
        <f t="shared" si="44"/>
        <v>ETRS89 / UTM zone 32N (N-zE)</v>
      </c>
    </row>
    <row r="2837" spans="1:3" x14ac:dyDescent="0.3">
      <c r="A2837" t="s">
        <v>2894</v>
      </c>
      <c r="B2837">
        <f>IF(ISNUMBER(SEARCH(Form!$C$11,Tabel2[[#This Row],[Coordinate Projection System]])),MAX($B$1:B2836)+1,0)</f>
        <v>2836</v>
      </c>
      <c r="C2837" t="str">
        <f t="shared" si="44"/>
        <v>ETRS89 / UTM zone 33N (N-zE)</v>
      </c>
    </row>
    <row r="2838" spans="1:3" x14ac:dyDescent="0.3">
      <c r="A2838" t="s">
        <v>2895</v>
      </c>
      <c r="B2838">
        <f>IF(ISNUMBER(SEARCH(Form!$C$11,Tabel2[[#This Row],[Coordinate Projection System]])),MAX($B$1:B2837)+1,0)</f>
        <v>2837</v>
      </c>
      <c r="C2838" t="str">
        <f t="shared" si="44"/>
        <v>NAD83(HARN) / Vermont (ftUS)</v>
      </c>
    </row>
    <row r="2839" spans="1:3" x14ac:dyDescent="0.3">
      <c r="A2839" t="s">
        <v>2896</v>
      </c>
      <c r="B2839">
        <f>IF(ISNUMBER(SEARCH(Form!$C$11,Tabel2[[#This Row],[Coordinate Projection System]])),MAX($B$1:B2838)+1,0)</f>
        <v>2838</v>
      </c>
      <c r="C2839" t="str">
        <f t="shared" si="44"/>
        <v>NAD83(NSRS2007) / Vermont (ftUS)</v>
      </c>
    </row>
    <row r="2840" spans="1:3" x14ac:dyDescent="0.3">
      <c r="A2840" t="s">
        <v>2897</v>
      </c>
      <c r="B2840">
        <f>IF(ISNUMBER(SEARCH(Form!$C$11,Tabel2[[#This Row],[Coordinate Projection System]])),MAX($B$1:B2839)+1,0)</f>
        <v>2839</v>
      </c>
      <c r="C2840" t="str">
        <f t="shared" si="44"/>
        <v>Monte Mario / TM Emilia-Romagna</v>
      </c>
    </row>
    <row r="2841" spans="1:3" x14ac:dyDescent="0.3">
      <c r="A2841" t="s">
        <v>2898</v>
      </c>
      <c r="B2841">
        <f>IF(ISNUMBER(SEARCH(Form!$C$11,Tabel2[[#This Row],[Coordinate Projection System]])),MAX($B$1:B2840)+1,0)</f>
        <v>2840</v>
      </c>
      <c r="C2841" t="str">
        <f t="shared" si="44"/>
        <v>Pulkovo 1942(58) / Gauss-Kruger zone 3 (E-N)</v>
      </c>
    </row>
    <row r="2842" spans="1:3" x14ac:dyDescent="0.3">
      <c r="A2842" t="s">
        <v>2899</v>
      </c>
      <c r="B2842">
        <f>IF(ISNUMBER(SEARCH(Form!$C$11,Tabel2[[#This Row],[Coordinate Projection System]])),MAX($B$1:B2841)+1,0)</f>
        <v>2841</v>
      </c>
      <c r="C2842" t="str">
        <f t="shared" si="44"/>
        <v>Pulkovo 1942(83) / Gauss-Kruger zone 2 (E-N)</v>
      </c>
    </row>
    <row r="2843" spans="1:3" x14ac:dyDescent="0.3">
      <c r="A2843" t="s">
        <v>2900</v>
      </c>
      <c r="B2843">
        <f>IF(ISNUMBER(SEARCH(Form!$C$11,Tabel2[[#This Row],[Coordinate Projection System]])),MAX($B$1:B2842)+1,0)</f>
        <v>2842</v>
      </c>
      <c r="C2843" t="str">
        <f t="shared" si="44"/>
        <v>Pulkovo 1942(83) / Gauss-Kruger zone 3 (E-N)</v>
      </c>
    </row>
    <row r="2844" spans="1:3" x14ac:dyDescent="0.3">
      <c r="A2844" t="s">
        <v>2901</v>
      </c>
      <c r="B2844">
        <f>IF(ISNUMBER(SEARCH(Form!$C$11,Tabel2[[#This Row],[Coordinate Projection System]])),MAX($B$1:B2843)+1,0)</f>
        <v>2843</v>
      </c>
      <c r="C2844" t="str">
        <f t="shared" si="44"/>
        <v>PD/83 / 3-degree Gauss-Kruger zone 3 (E-N)</v>
      </c>
    </row>
    <row r="2845" spans="1:3" x14ac:dyDescent="0.3">
      <c r="A2845" t="s">
        <v>2902</v>
      </c>
      <c r="B2845">
        <f>IF(ISNUMBER(SEARCH(Form!$C$11,Tabel2[[#This Row],[Coordinate Projection System]])),MAX($B$1:B2844)+1,0)</f>
        <v>2844</v>
      </c>
      <c r="C2845" t="str">
        <f t="shared" si="44"/>
        <v>PD/83 / 3-degree Gauss-Kruger zone 4 (E-N)</v>
      </c>
    </row>
    <row r="2846" spans="1:3" x14ac:dyDescent="0.3">
      <c r="A2846" t="s">
        <v>2903</v>
      </c>
      <c r="B2846">
        <f>IF(ISNUMBER(SEARCH(Form!$C$11,Tabel2[[#This Row],[Coordinate Projection System]])),MAX($B$1:B2845)+1,0)</f>
        <v>2845</v>
      </c>
      <c r="C2846" t="str">
        <f t="shared" si="44"/>
        <v>RD/83 / 3-degree Gauss-Kruger zone 4 (E-N)</v>
      </c>
    </row>
    <row r="2847" spans="1:3" x14ac:dyDescent="0.3">
      <c r="A2847" t="s">
        <v>2904</v>
      </c>
      <c r="B2847">
        <f>IF(ISNUMBER(SEARCH(Form!$C$11,Tabel2[[#This Row],[Coordinate Projection System]])),MAX($B$1:B2846)+1,0)</f>
        <v>2846</v>
      </c>
      <c r="C2847" t="str">
        <f t="shared" si="44"/>
        <v>RD/83 / 3-degree Gauss-Kruger zone 5 (E-N)</v>
      </c>
    </row>
    <row r="2848" spans="1:3" x14ac:dyDescent="0.3">
      <c r="A2848" t="s">
        <v>2905</v>
      </c>
      <c r="B2848">
        <f>IF(ISNUMBER(SEARCH(Form!$C$11,Tabel2[[#This Row],[Coordinate Projection System]])),MAX($B$1:B2847)+1,0)</f>
        <v>2847</v>
      </c>
      <c r="C2848" t="str">
        <f t="shared" si="44"/>
        <v>Pulkovo 1942(58) / 3-degree Gauss-Kruger zone 3 (E-N)</v>
      </c>
    </row>
    <row r="2849" spans="1:3" x14ac:dyDescent="0.3">
      <c r="A2849" t="s">
        <v>2906</v>
      </c>
      <c r="B2849">
        <f>IF(ISNUMBER(SEARCH(Form!$C$11,Tabel2[[#This Row],[Coordinate Projection System]])),MAX($B$1:B2848)+1,0)</f>
        <v>2848</v>
      </c>
      <c r="C2849" t="str">
        <f t="shared" si="44"/>
        <v>Pulkovo 1942(58) / 3-degree Gauss-Kruger zone 4 (E-N)</v>
      </c>
    </row>
    <row r="2850" spans="1:3" x14ac:dyDescent="0.3">
      <c r="A2850" t="s">
        <v>2907</v>
      </c>
      <c r="B2850">
        <f>IF(ISNUMBER(SEARCH(Form!$C$11,Tabel2[[#This Row],[Coordinate Projection System]])),MAX($B$1:B2849)+1,0)</f>
        <v>2849</v>
      </c>
      <c r="C2850" t="str">
        <f t="shared" si="44"/>
        <v>Pulkovo 1942(58) / 3-degree Gauss-Kruger zone 5 (E-N)</v>
      </c>
    </row>
    <row r="2851" spans="1:3" x14ac:dyDescent="0.3">
      <c r="A2851" t="s">
        <v>2908</v>
      </c>
      <c r="B2851">
        <f>IF(ISNUMBER(SEARCH(Form!$C$11,Tabel2[[#This Row],[Coordinate Projection System]])),MAX($B$1:B2850)+1,0)</f>
        <v>2850</v>
      </c>
      <c r="C2851" t="str">
        <f t="shared" si="44"/>
        <v>Pulkovo 1942(83) / 3-degree Gauss-Kruger zone 3 (E-N)</v>
      </c>
    </row>
    <row r="2852" spans="1:3" x14ac:dyDescent="0.3">
      <c r="A2852" t="s">
        <v>2909</v>
      </c>
      <c r="B2852">
        <f>IF(ISNUMBER(SEARCH(Form!$C$11,Tabel2[[#This Row],[Coordinate Projection System]])),MAX($B$1:B2851)+1,0)</f>
        <v>2851</v>
      </c>
      <c r="C2852" t="str">
        <f t="shared" si="44"/>
        <v>Pulkovo 1942(83) / 3-degree Gauss-Kruger zone 4 (E-N)</v>
      </c>
    </row>
    <row r="2853" spans="1:3" x14ac:dyDescent="0.3">
      <c r="A2853" t="s">
        <v>2910</v>
      </c>
      <c r="B2853">
        <f>IF(ISNUMBER(SEARCH(Form!$C$11,Tabel2[[#This Row],[Coordinate Projection System]])),MAX($B$1:B2852)+1,0)</f>
        <v>2852</v>
      </c>
      <c r="C2853" t="str">
        <f t="shared" si="44"/>
        <v>Pulkovo 1942(83) / 3-degree Gauss-Kruger zone 5 (E-N)</v>
      </c>
    </row>
    <row r="2854" spans="1:3" x14ac:dyDescent="0.3">
      <c r="A2854" t="s">
        <v>2911</v>
      </c>
      <c r="B2854">
        <f>IF(ISNUMBER(SEARCH(Form!$C$11,Tabel2[[#This Row],[Coordinate Projection System]])),MAX($B$1:B2853)+1,0)</f>
        <v>2853</v>
      </c>
      <c r="C2854" t="str">
        <f t="shared" si="44"/>
        <v>DHDN / 3-degree Gauss-Kruger zone 2 (E-N)</v>
      </c>
    </row>
    <row r="2855" spans="1:3" x14ac:dyDescent="0.3">
      <c r="A2855" t="s">
        <v>2912</v>
      </c>
      <c r="B2855">
        <f>IF(ISNUMBER(SEARCH(Form!$C$11,Tabel2[[#This Row],[Coordinate Projection System]])),MAX($B$1:B2854)+1,0)</f>
        <v>2854</v>
      </c>
      <c r="C2855" t="str">
        <f t="shared" si="44"/>
        <v>DHDN / 3-degree Gauss-Kruger zone 3 (E-N)</v>
      </c>
    </row>
    <row r="2856" spans="1:3" x14ac:dyDescent="0.3">
      <c r="A2856" t="s">
        <v>2913</v>
      </c>
      <c r="B2856">
        <f>IF(ISNUMBER(SEARCH(Form!$C$11,Tabel2[[#This Row],[Coordinate Projection System]])),MAX($B$1:B2855)+1,0)</f>
        <v>2855</v>
      </c>
      <c r="C2856" t="str">
        <f t="shared" si="44"/>
        <v>DHDN / 3-degree Gauss-Kruger zone 4 (E-N)</v>
      </c>
    </row>
    <row r="2857" spans="1:3" x14ac:dyDescent="0.3">
      <c r="A2857" t="s">
        <v>2914</v>
      </c>
      <c r="B2857">
        <f>IF(ISNUMBER(SEARCH(Form!$C$11,Tabel2[[#This Row],[Coordinate Projection System]])),MAX($B$1:B2856)+1,0)</f>
        <v>2856</v>
      </c>
      <c r="C2857" t="str">
        <f t="shared" si="44"/>
        <v>DHDN / 3-degree Gauss-Kruger zone 5 (E-N)</v>
      </c>
    </row>
    <row r="2858" spans="1:3" x14ac:dyDescent="0.3">
      <c r="A2858" t="s">
        <v>2915</v>
      </c>
      <c r="B2858">
        <f>IF(ISNUMBER(SEARCH(Form!$C$11,Tabel2[[#This Row],[Coordinate Projection System]])),MAX($B$1:B2857)+1,0)</f>
        <v>2857</v>
      </c>
      <c r="C2858" t="str">
        <f t="shared" si="44"/>
        <v>DHDN / 3-degree Gauss-Kruger zone 1 (E-N)</v>
      </c>
    </row>
    <row r="2859" spans="1:3" x14ac:dyDescent="0.3">
      <c r="A2859" t="s">
        <v>2916</v>
      </c>
      <c r="B2859">
        <f>IF(ISNUMBER(SEARCH(Form!$C$11,Tabel2[[#This Row],[Coordinate Projection System]])),MAX($B$1:B2858)+1,0)</f>
        <v>2858</v>
      </c>
      <c r="C2859" t="str">
        <f t="shared" si="44"/>
        <v>DB_REF / 3-degree Gauss-Kruger zone 2 (E-N)</v>
      </c>
    </row>
    <row r="2860" spans="1:3" x14ac:dyDescent="0.3">
      <c r="A2860" t="s">
        <v>2917</v>
      </c>
      <c r="B2860">
        <f>IF(ISNUMBER(SEARCH(Form!$C$11,Tabel2[[#This Row],[Coordinate Projection System]])),MAX($B$1:B2859)+1,0)</f>
        <v>2859</v>
      </c>
      <c r="C2860" t="str">
        <f t="shared" si="44"/>
        <v>DB_REF / 3-degree Gauss-Kruger zone 3 (E-N)</v>
      </c>
    </row>
    <row r="2861" spans="1:3" x14ac:dyDescent="0.3">
      <c r="A2861" t="s">
        <v>2918</v>
      </c>
      <c r="B2861">
        <f>IF(ISNUMBER(SEARCH(Form!$C$11,Tabel2[[#This Row],[Coordinate Projection System]])),MAX($B$1:B2860)+1,0)</f>
        <v>2860</v>
      </c>
      <c r="C2861" t="str">
        <f t="shared" si="44"/>
        <v>DB_REF / 3-degree Gauss-Kruger zone 4 (E-N)</v>
      </c>
    </row>
    <row r="2862" spans="1:3" x14ac:dyDescent="0.3">
      <c r="A2862" t="s">
        <v>2919</v>
      </c>
      <c r="B2862">
        <f>IF(ISNUMBER(SEARCH(Form!$C$11,Tabel2[[#This Row],[Coordinate Projection System]])),MAX($B$1:B2861)+1,0)</f>
        <v>2861</v>
      </c>
      <c r="C2862" t="str">
        <f t="shared" si="44"/>
        <v>DB_REF / 3-degree Gauss-Kruger zone 5 (E-N)</v>
      </c>
    </row>
    <row r="2863" spans="1:3" x14ac:dyDescent="0.3">
      <c r="A2863" t="s">
        <v>2920</v>
      </c>
      <c r="B2863">
        <f>IF(ISNUMBER(SEARCH(Form!$C$11,Tabel2[[#This Row],[Coordinate Projection System]])),MAX($B$1:B2862)+1,0)</f>
        <v>2862</v>
      </c>
      <c r="C2863" t="str">
        <f t="shared" si="44"/>
        <v>NZGD2000 / UTM zone 1S</v>
      </c>
    </row>
    <row r="2864" spans="1:3" x14ac:dyDescent="0.3">
      <c r="A2864" t="s">
        <v>2921</v>
      </c>
      <c r="B2864">
        <f>IF(ISNUMBER(SEARCH(Form!$C$11,Tabel2[[#This Row],[Coordinate Projection System]])),MAX($B$1:B2863)+1,0)</f>
        <v>2863</v>
      </c>
      <c r="C2864" t="str">
        <f t="shared" si="44"/>
        <v>EPSG topocentric example AUnable to translate coordinate system EPSG:5819 into PROJ.4 format.</v>
      </c>
    </row>
    <row r="2865" spans="1:3" x14ac:dyDescent="0.3">
      <c r="A2865" t="s">
        <v>2922</v>
      </c>
      <c r="B2865">
        <f>IF(ISNUMBER(SEARCH(Form!$C$11,Tabel2[[#This Row],[Coordinate Projection System]])),MAX($B$1:B2864)+1,0)</f>
        <v>2864</v>
      </c>
      <c r="C2865" t="str">
        <f t="shared" si="44"/>
        <v>EPSG topocentric example BUnable to translate coordinate system EPSG:5820 into PROJ.4 format.</v>
      </c>
    </row>
    <row r="2866" spans="1:3" x14ac:dyDescent="0.3">
      <c r="A2866" t="s">
        <v>2923</v>
      </c>
      <c r="B2866">
        <f>IF(ISNUMBER(SEARCH(Form!$C$11,Tabel2[[#This Row],[Coordinate Projection System]])),MAX($B$1:B2865)+1,0)</f>
        <v>2865</v>
      </c>
      <c r="C2866" t="str">
        <f t="shared" si="44"/>
        <v>EPSG vertical perspective exampleUnable to translate coordinate system EPSG:5821 into PROJ.4 format.</v>
      </c>
    </row>
    <row r="2867" spans="1:3" x14ac:dyDescent="0.3">
      <c r="A2867" t="s">
        <v>2924</v>
      </c>
      <c r="B2867">
        <f>IF(ISNUMBER(SEARCH(Form!$C$11,Tabel2[[#This Row],[Coordinate Projection System]])),MAX($B$1:B2866)+1,0)</f>
        <v>2866</v>
      </c>
      <c r="C2867" t="str">
        <f t="shared" si="44"/>
        <v>AGD66 / ACT Standard Grid</v>
      </c>
    </row>
    <row r="2868" spans="1:3" x14ac:dyDescent="0.3">
      <c r="A2868" t="s">
        <v>2925</v>
      </c>
      <c r="B2868">
        <f>IF(ISNUMBER(SEARCH(Form!$C$11,Tabel2[[#This Row],[Coordinate Projection System]])),MAX($B$1:B2867)+1,0)</f>
        <v>2867</v>
      </c>
      <c r="C2868" t="str">
        <f t="shared" si="44"/>
        <v>Yemen NGN96 / UTM zone 37N</v>
      </c>
    </row>
    <row r="2869" spans="1:3" x14ac:dyDescent="0.3">
      <c r="A2869" t="s">
        <v>2926</v>
      </c>
      <c r="B2869">
        <f>IF(ISNUMBER(SEARCH(Form!$C$11,Tabel2[[#This Row],[Coordinate Projection System]])),MAX($B$1:B2868)+1,0)</f>
        <v>2868</v>
      </c>
      <c r="C2869" t="str">
        <f t="shared" si="44"/>
        <v>Yemen NGN96 / UTM zone 40N</v>
      </c>
    </row>
    <row r="2870" spans="1:3" x14ac:dyDescent="0.3">
      <c r="A2870" t="s">
        <v>2927</v>
      </c>
      <c r="B2870">
        <f>IF(ISNUMBER(SEARCH(Form!$C$11,Tabel2[[#This Row],[Coordinate Projection System]])),MAX($B$1:B2869)+1,0)</f>
        <v>2869</v>
      </c>
      <c r="C2870" t="str">
        <f t="shared" si="44"/>
        <v>Peru96 / UTM zone 17S</v>
      </c>
    </row>
    <row r="2871" spans="1:3" x14ac:dyDescent="0.3">
      <c r="A2871" t="s">
        <v>2928</v>
      </c>
      <c r="B2871">
        <f>IF(ISNUMBER(SEARCH(Form!$C$11,Tabel2[[#This Row],[Coordinate Projection System]])),MAX($B$1:B2870)+1,0)</f>
        <v>2870</v>
      </c>
      <c r="C2871" t="str">
        <f t="shared" si="44"/>
        <v>WGS 84 / TM 12 SE</v>
      </c>
    </row>
    <row r="2872" spans="1:3" x14ac:dyDescent="0.3">
      <c r="A2872" t="s">
        <v>2929</v>
      </c>
      <c r="B2872">
        <f>IF(ISNUMBER(SEARCH(Form!$C$11,Tabel2[[#This Row],[Coordinate Projection System]])),MAX($B$1:B2871)+1,0)</f>
        <v>2871</v>
      </c>
      <c r="C2872" t="str">
        <f t="shared" si="44"/>
        <v>RGRDC 2005 / Congo TM zone 30</v>
      </c>
    </row>
    <row r="2873" spans="1:3" x14ac:dyDescent="0.3">
      <c r="A2873" t="s">
        <v>2930</v>
      </c>
      <c r="B2873">
        <f>IF(ISNUMBER(SEARCH(Form!$C$11,Tabel2[[#This Row],[Coordinate Projection System]])),MAX($B$1:B2872)+1,0)</f>
        <v>2872</v>
      </c>
      <c r="C2873" t="str">
        <f t="shared" si="44"/>
        <v>SAD69(96) / UTM zone 22S</v>
      </c>
    </row>
    <row r="2874" spans="1:3" x14ac:dyDescent="0.3">
      <c r="A2874" t="s">
        <v>2931</v>
      </c>
      <c r="B2874">
        <f>IF(ISNUMBER(SEARCH(Form!$C$11,Tabel2[[#This Row],[Coordinate Projection System]])),MAX($B$1:B2873)+1,0)</f>
        <v>2873</v>
      </c>
      <c r="C2874" t="str">
        <f t="shared" si="44"/>
        <v>SAD69(96) / UTM zone 18S</v>
      </c>
    </row>
    <row r="2875" spans="1:3" x14ac:dyDescent="0.3">
      <c r="A2875" t="s">
        <v>2932</v>
      </c>
      <c r="B2875">
        <f>IF(ISNUMBER(SEARCH(Form!$C$11,Tabel2[[#This Row],[Coordinate Projection System]])),MAX($B$1:B2874)+1,0)</f>
        <v>2874</v>
      </c>
      <c r="C2875" t="str">
        <f t="shared" si="44"/>
        <v>SAD69(96) / UTM zone 19S</v>
      </c>
    </row>
    <row r="2876" spans="1:3" x14ac:dyDescent="0.3">
      <c r="A2876" t="s">
        <v>2933</v>
      </c>
      <c r="B2876">
        <f>IF(ISNUMBER(SEARCH(Form!$C$11,Tabel2[[#This Row],[Coordinate Projection System]])),MAX($B$1:B2875)+1,0)</f>
        <v>2875</v>
      </c>
      <c r="C2876" t="str">
        <f t="shared" si="44"/>
        <v>SAD69(96) / UTM zone 20S</v>
      </c>
    </row>
    <row r="2877" spans="1:3" x14ac:dyDescent="0.3">
      <c r="A2877" t="s">
        <v>2934</v>
      </c>
      <c r="B2877">
        <f>IF(ISNUMBER(SEARCH(Form!$C$11,Tabel2[[#This Row],[Coordinate Projection System]])),MAX($B$1:B2876)+1,0)</f>
        <v>2876</v>
      </c>
      <c r="C2877" t="str">
        <f t="shared" si="44"/>
        <v>Cadastre 1997 / UTM zone 38S</v>
      </c>
    </row>
    <row r="2878" spans="1:3" x14ac:dyDescent="0.3">
      <c r="A2878" t="s">
        <v>2935</v>
      </c>
      <c r="B2878">
        <f>IF(ISNUMBER(SEARCH(Form!$C$11,Tabel2[[#This Row],[Coordinate Projection System]])),MAX($B$1:B2877)+1,0)</f>
        <v>2877</v>
      </c>
      <c r="C2878" t="str">
        <f t="shared" si="44"/>
        <v>SIRGAS 2000 / Brazil Polyconic</v>
      </c>
    </row>
    <row r="2879" spans="1:3" x14ac:dyDescent="0.3">
      <c r="A2879" t="s">
        <v>2936</v>
      </c>
      <c r="B2879">
        <f>IF(ISNUMBER(SEARCH(Form!$C$11,Tabel2[[#This Row],[Coordinate Projection System]])),MAX($B$1:B2878)+1,0)</f>
        <v>2878</v>
      </c>
      <c r="C2879" t="str">
        <f t="shared" si="44"/>
        <v>TGD2005 / Tonga Map Grid</v>
      </c>
    </row>
    <row r="2880" spans="1:3" x14ac:dyDescent="0.3">
      <c r="A2880" t="s">
        <v>2937</v>
      </c>
      <c r="B2880">
        <f>IF(ISNUMBER(SEARCH(Form!$C$11,Tabel2[[#This Row],[Coordinate Projection System]])),MAX($B$1:B2879)+1,0)</f>
        <v>2879</v>
      </c>
      <c r="C2880" t="str">
        <f t="shared" si="44"/>
        <v>JAXA Snow Depth Polar Stereographic North</v>
      </c>
    </row>
    <row r="2881" spans="1:3" x14ac:dyDescent="0.3">
      <c r="A2881" t="s">
        <v>2938</v>
      </c>
      <c r="B2881">
        <f>IF(ISNUMBER(SEARCH(Form!$C$11,Tabel2[[#This Row],[Coordinate Projection System]])),MAX($B$1:B2880)+1,0)</f>
        <v>2880</v>
      </c>
      <c r="C2881" t="str">
        <f t="shared" si="44"/>
        <v>WGS 84 / EPSG Arctic Regional zone A1</v>
      </c>
    </row>
    <row r="2882" spans="1:3" x14ac:dyDescent="0.3">
      <c r="A2882" t="s">
        <v>2939</v>
      </c>
      <c r="B2882">
        <f>IF(ISNUMBER(SEARCH(Form!$C$11,Tabel2[[#This Row],[Coordinate Projection System]])),MAX($B$1:B2881)+1,0)</f>
        <v>2881</v>
      </c>
      <c r="C2882" t="str">
        <f t="shared" si="44"/>
        <v>WGS 84 / EPSG Arctic Regional zone A2</v>
      </c>
    </row>
    <row r="2883" spans="1:3" x14ac:dyDescent="0.3">
      <c r="A2883" t="s">
        <v>2940</v>
      </c>
      <c r="B2883">
        <f>IF(ISNUMBER(SEARCH(Form!$C$11,Tabel2[[#This Row],[Coordinate Projection System]])),MAX($B$1:B2882)+1,0)</f>
        <v>2882</v>
      </c>
      <c r="C2883" t="str">
        <f t="shared" ref="C2883:C2946" si="45">_xlfn.IFNA(INDEX(A2883:A8394,MATCH(ROW(C2882),B2883:B8394,0)),"")</f>
        <v>WGS 84 / EPSG Arctic Regional zone A3</v>
      </c>
    </row>
    <row r="2884" spans="1:3" x14ac:dyDescent="0.3">
      <c r="A2884" t="s">
        <v>2941</v>
      </c>
      <c r="B2884">
        <f>IF(ISNUMBER(SEARCH(Form!$C$11,Tabel2[[#This Row],[Coordinate Projection System]])),MAX($B$1:B2883)+1,0)</f>
        <v>2883</v>
      </c>
      <c r="C2884" t="str">
        <f t="shared" si="45"/>
        <v>WGS 84 / EPSG Arctic Regional zone A4</v>
      </c>
    </row>
    <row r="2885" spans="1:3" x14ac:dyDescent="0.3">
      <c r="A2885" t="s">
        <v>2942</v>
      </c>
      <c r="B2885">
        <f>IF(ISNUMBER(SEARCH(Form!$C$11,Tabel2[[#This Row],[Coordinate Projection System]])),MAX($B$1:B2884)+1,0)</f>
        <v>2884</v>
      </c>
      <c r="C2885" t="str">
        <f t="shared" si="45"/>
        <v>WGS 84 / EPSG Arctic Regional zone A5</v>
      </c>
    </row>
    <row r="2886" spans="1:3" x14ac:dyDescent="0.3">
      <c r="A2886" t="s">
        <v>2943</v>
      </c>
      <c r="B2886">
        <f>IF(ISNUMBER(SEARCH(Form!$C$11,Tabel2[[#This Row],[Coordinate Projection System]])),MAX($B$1:B2885)+1,0)</f>
        <v>2885</v>
      </c>
      <c r="C2886" t="str">
        <f t="shared" si="45"/>
        <v>WGS 84 / EPSG Arctic Regional zone B1</v>
      </c>
    </row>
    <row r="2887" spans="1:3" x14ac:dyDescent="0.3">
      <c r="A2887" t="s">
        <v>2944</v>
      </c>
      <c r="B2887">
        <f>IF(ISNUMBER(SEARCH(Form!$C$11,Tabel2[[#This Row],[Coordinate Projection System]])),MAX($B$1:B2886)+1,0)</f>
        <v>2886</v>
      </c>
      <c r="C2887" t="str">
        <f t="shared" si="45"/>
        <v>WGS 84 / EPSG Arctic Regional zone B2</v>
      </c>
    </row>
    <row r="2888" spans="1:3" x14ac:dyDescent="0.3">
      <c r="A2888" t="s">
        <v>2945</v>
      </c>
      <c r="B2888">
        <f>IF(ISNUMBER(SEARCH(Form!$C$11,Tabel2[[#This Row],[Coordinate Projection System]])),MAX($B$1:B2887)+1,0)</f>
        <v>2887</v>
      </c>
      <c r="C2888" t="str">
        <f t="shared" si="45"/>
        <v>WGS 84 / EPSG Arctic Regional zone B3</v>
      </c>
    </row>
    <row r="2889" spans="1:3" x14ac:dyDescent="0.3">
      <c r="A2889" t="s">
        <v>2946</v>
      </c>
      <c r="B2889">
        <f>IF(ISNUMBER(SEARCH(Form!$C$11,Tabel2[[#This Row],[Coordinate Projection System]])),MAX($B$1:B2888)+1,0)</f>
        <v>2888</v>
      </c>
      <c r="C2889" t="str">
        <f t="shared" si="45"/>
        <v>WGS 84 / EPSG Arctic Regional zone B4</v>
      </c>
    </row>
    <row r="2890" spans="1:3" x14ac:dyDescent="0.3">
      <c r="A2890" t="s">
        <v>2947</v>
      </c>
      <c r="B2890">
        <f>IF(ISNUMBER(SEARCH(Form!$C$11,Tabel2[[#This Row],[Coordinate Projection System]])),MAX($B$1:B2889)+1,0)</f>
        <v>2889</v>
      </c>
      <c r="C2890" t="str">
        <f t="shared" si="45"/>
        <v>WGS 84 / EPSG Arctic Regional zone B5</v>
      </c>
    </row>
    <row r="2891" spans="1:3" x14ac:dyDescent="0.3">
      <c r="A2891" t="s">
        <v>2948</v>
      </c>
      <c r="B2891">
        <f>IF(ISNUMBER(SEARCH(Form!$C$11,Tabel2[[#This Row],[Coordinate Projection System]])),MAX($B$1:B2890)+1,0)</f>
        <v>2890</v>
      </c>
      <c r="C2891" t="str">
        <f t="shared" si="45"/>
        <v>WGS 84 / EPSG Arctic Regional zone C1</v>
      </c>
    </row>
    <row r="2892" spans="1:3" x14ac:dyDescent="0.3">
      <c r="A2892" t="s">
        <v>2949</v>
      </c>
      <c r="B2892">
        <f>IF(ISNUMBER(SEARCH(Form!$C$11,Tabel2[[#This Row],[Coordinate Projection System]])),MAX($B$1:B2891)+1,0)</f>
        <v>2891</v>
      </c>
      <c r="C2892" t="str">
        <f t="shared" si="45"/>
        <v>WGS 84 / EPSG Arctic Regional zone C2</v>
      </c>
    </row>
    <row r="2893" spans="1:3" x14ac:dyDescent="0.3">
      <c r="A2893" t="s">
        <v>2950</v>
      </c>
      <c r="B2893">
        <f>IF(ISNUMBER(SEARCH(Form!$C$11,Tabel2[[#This Row],[Coordinate Projection System]])),MAX($B$1:B2892)+1,0)</f>
        <v>2892</v>
      </c>
      <c r="C2893" t="str">
        <f t="shared" si="45"/>
        <v>WGS 84 / EPSG Arctic Regional zone C3</v>
      </c>
    </row>
    <row r="2894" spans="1:3" x14ac:dyDescent="0.3">
      <c r="A2894" t="s">
        <v>2951</v>
      </c>
      <c r="B2894">
        <f>IF(ISNUMBER(SEARCH(Form!$C$11,Tabel2[[#This Row],[Coordinate Projection System]])),MAX($B$1:B2893)+1,0)</f>
        <v>2893</v>
      </c>
      <c r="C2894" t="str">
        <f t="shared" si="45"/>
        <v>WGS 84 / EPSG Arctic Regional zone C4</v>
      </c>
    </row>
    <row r="2895" spans="1:3" x14ac:dyDescent="0.3">
      <c r="A2895" t="s">
        <v>2952</v>
      </c>
      <c r="B2895">
        <f>IF(ISNUMBER(SEARCH(Form!$C$11,Tabel2[[#This Row],[Coordinate Projection System]])),MAX($B$1:B2894)+1,0)</f>
        <v>2894</v>
      </c>
      <c r="C2895" t="str">
        <f t="shared" si="45"/>
        <v>WGS 84 / EPSG Arctic Regional zone C5</v>
      </c>
    </row>
    <row r="2896" spans="1:3" x14ac:dyDescent="0.3">
      <c r="A2896" t="s">
        <v>2953</v>
      </c>
      <c r="B2896">
        <f>IF(ISNUMBER(SEARCH(Form!$C$11,Tabel2[[#This Row],[Coordinate Projection System]])),MAX($B$1:B2895)+1,0)</f>
        <v>2895</v>
      </c>
      <c r="C2896" t="str">
        <f t="shared" si="45"/>
        <v>WGS 84 / EPSG Alaska Polar Stereographic</v>
      </c>
    </row>
    <row r="2897" spans="1:3" x14ac:dyDescent="0.3">
      <c r="A2897" t="s">
        <v>2954</v>
      </c>
      <c r="B2897">
        <f>IF(ISNUMBER(SEARCH(Form!$C$11,Tabel2[[#This Row],[Coordinate Projection System]])),MAX($B$1:B2896)+1,0)</f>
        <v>2896</v>
      </c>
      <c r="C2897" t="str">
        <f t="shared" si="45"/>
        <v>WGS 84 / EPSG Canada Polar Stereographic</v>
      </c>
    </row>
    <row r="2898" spans="1:3" x14ac:dyDescent="0.3">
      <c r="A2898" t="s">
        <v>2955</v>
      </c>
      <c r="B2898">
        <f>IF(ISNUMBER(SEARCH(Form!$C$11,Tabel2[[#This Row],[Coordinate Projection System]])),MAX($B$1:B2897)+1,0)</f>
        <v>2897</v>
      </c>
      <c r="C2898" t="str">
        <f t="shared" si="45"/>
        <v>WGS 84 / EPSG Greenland Polar Stereographic</v>
      </c>
    </row>
    <row r="2899" spans="1:3" x14ac:dyDescent="0.3">
      <c r="A2899" t="s">
        <v>2956</v>
      </c>
      <c r="B2899">
        <f>IF(ISNUMBER(SEARCH(Form!$C$11,Tabel2[[#This Row],[Coordinate Projection System]])),MAX($B$1:B2898)+1,0)</f>
        <v>2898</v>
      </c>
      <c r="C2899" t="str">
        <f t="shared" si="45"/>
        <v>WGS 84 / EPSG Norway Polar Stereographic</v>
      </c>
    </row>
    <row r="2900" spans="1:3" x14ac:dyDescent="0.3">
      <c r="A2900" t="s">
        <v>2957</v>
      </c>
      <c r="B2900">
        <f>IF(ISNUMBER(SEARCH(Form!$C$11,Tabel2[[#This Row],[Coordinate Projection System]])),MAX($B$1:B2899)+1,0)</f>
        <v>2899</v>
      </c>
      <c r="C2900" t="str">
        <f t="shared" si="45"/>
        <v>WGS 84 / EPSG Russia Polar Stereographic</v>
      </c>
    </row>
    <row r="2901" spans="1:3" x14ac:dyDescent="0.3">
      <c r="A2901" t="s">
        <v>2958</v>
      </c>
      <c r="B2901">
        <f>IF(ISNUMBER(SEARCH(Form!$C$11,Tabel2[[#This Row],[Coordinate Projection System]])),MAX($B$1:B2900)+1,0)</f>
        <v>2900</v>
      </c>
      <c r="C2901" t="str">
        <f t="shared" si="45"/>
        <v>GR96 / EPSG Arctic zone 1-25</v>
      </c>
    </row>
    <row r="2902" spans="1:3" x14ac:dyDescent="0.3">
      <c r="A2902" t="s">
        <v>2959</v>
      </c>
      <c r="B2902">
        <f>IF(ISNUMBER(SEARCH(Form!$C$11,Tabel2[[#This Row],[Coordinate Projection System]])),MAX($B$1:B2901)+1,0)</f>
        <v>2901</v>
      </c>
      <c r="C2902" t="str">
        <f t="shared" si="45"/>
        <v>GR96 / EPSG Arctic zone 2-18</v>
      </c>
    </row>
    <row r="2903" spans="1:3" x14ac:dyDescent="0.3">
      <c r="A2903" t="s">
        <v>2960</v>
      </c>
      <c r="B2903">
        <f>IF(ISNUMBER(SEARCH(Form!$C$11,Tabel2[[#This Row],[Coordinate Projection System]])),MAX($B$1:B2902)+1,0)</f>
        <v>2902</v>
      </c>
      <c r="C2903" t="str">
        <f t="shared" si="45"/>
        <v>GR96 / EPSG Arctic zone 2-20</v>
      </c>
    </row>
    <row r="2904" spans="1:3" x14ac:dyDescent="0.3">
      <c r="A2904" t="s">
        <v>2961</v>
      </c>
      <c r="B2904">
        <f>IF(ISNUMBER(SEARCH(Form!$C$11,Tabel2[[#This Row],[Coordinate Projection System]])),MAX($B$1:B2903)+1,0)</f>
        <v>2903</v>
      </c>
      <c r="C2904" t="str">
        <f t="shared" si="45"/>
        <v>GR96 / EPSG Arctic zone 3-29</v>
      </c>
    </row>
    <row r="2905" spans="1:3" x14ac:dyDescent="0.3">
      <c r="A2905" t="s">
        <v>2962</v>
      </c>
      <c r="B2905">
        <f>IF(ISNUMBER(SEARCH(Form!$C$11,Tabel2[[#This Row],[Coordinate Projection System]])),MAX($B$1:B2904)+1,0)</f>
        <v>2904</v>
      </c>
      <c r="C2905" t="str">
        <f t="shared" si="45"/>
        <v>GR96 / EPSG Arctic zone 3-31</v>
      </c>
    </row>
    <row r="2906" spans="1:3" x14ac:dyDescent="0.3">
      <c r="A2906" t="s">
        <v>2963</v>
      </c>
      <c r="B2906">
        <f>IF(ISNUMBER(SEARCH(Form!$C$11,Tabel2[[#This Row],[Coordinate Projection System]])),MAX($B$1:B2905)+1,0)</f>
        <v>2905</v>
      </c>
      <c r="C2906" t="str">
        <f t="shared" si="45"/>
        <v>GR96 / EPSG Arctic zone 3-33</v>
      </c>
    </row>
    <row r="2907" spans="1:3" x14ac:dyDescent="0.3">
      <c r="A2907" t="s">
        <v>2964</v>
      </c>
      <c r="B2907">
        <f>IF(ISNUMBER(SEARCH(Form!$C$11,Tabel2[[#This Row],[Coordinate Projection System]])),MAX($B$1:B2906)+1,0)</f>
        <v>2906</v>
      </c>
      <c r="C2907" t="str">
        <f t="shared" si="45"/>
        <v>GR96 / EPSG Arctic zone 4-20</v>
      </c>
    </row>
    <row r="2908" spans="1:3" x14ac:dyDescent="0.3">
      <c r="A2908" t="s">
        <v>2965</v>
      </c>
      <c r="B2908">
        <f>IF(ISNUMBER(SEARCH(Form!$C$11,Tabel2[[#This Row],[Coordinate Projection System]])),MAX($B$1:B2907)+1,0)</f>
        <v>2907</v>
      </c>
      <c r="C2908" t="str">
        <f t="shared" si="45"/>
        <v>GR96 / EPSG Arctic zone 4-22</v>
      </c>
    </row>
    <row r="2909" spans="1:3" x14ac:dyDescent="0.3">
      <c r="A2909" t="s">
        <v>2966</v>
      </c>
      <c r="B2909">
        <f>IF(ISNUMBER(SEARCH(Form!$C$11,Tabel2[[#This Row],[Coordinate Projection System]])),MAX($B$1:B2908)+1,0)</f>
        <v>2908</v>
      </c>
      <c r="C2909" t="str">
        <f t="shared" si="45"/>
        <v>GR96 / EPSG Arctic zone 4-24</v>
      </c>
    </row>
    <row r="2910" spans="1:3" x14ac:dyDescent="0.3">
      <c r="A2910" t="s">
        <v>2967</v>
      </c>
      <c r="B2910">
        <f>IF(ISNUMBER(SEARCH(Form!$C$11,Tabel2[[#This Row],[Coordinate Projection System]])),MAX($B$1:B2909)+1,0)</f>
        <v>2909</v>
      </c>
      <c r="C2910" t="str">
        <f t="shared" si="45"/>
        <v>GR96 / EPSG Arctic zone 5-41</v>
      </c>
    </row>
    <row r="2911" spans="1:3" x14ac:dyDescent="0.3">
      <c r="A2911" t="s">
        <v>2968</v>
      </c>
      <c r="B2911">
        <f>IF(ISNUMBER(SEARCH(Form!$C$11,Tabel2[[#This Row],[Coordinate Projection System]])),MAX($B$1:B2910)+1,0)</f>
        <v>2910</v>
      </c>
      <c r="C2911" t="str">
        <f t="shared" si="45"/>
        <v>GR96 / EPSG Arctic zone 5-43</v>
      </c>
    </row>
    <row r="2912" spans="1:3" x14ac:dyDescent="0.3">
      <c r="A2912" t="s">
        <v>2969</v>
      </c>
      <c r="B2912">
        <f>IF(ISNUMBER(SEARCH(Form!$C$11,Tabel2[[#This Row],[Coordinate Projection System]])),MAX($B$1:B2911)+1,0)</f>
        <v>2911</v>
      </c>
      <c r="C2912" t="str">
        <f t="shared" si="45"/>
        <v>GR96 / EPSG Arctic zone 5-45</v>
      </c>
    </row>
    <row r="2913" spans="1:3" x14ac:dyDescent="0.3">
      <c r="A2913" t="s">
        <v>2970</v>
      </c>
      <c r="B2913">
        <f>IF(ISNUMBER(SEARCH(Form!$C$11,Tabel2[[#This Row],[Coordinate Projection System]])),MAX($B$1:B2912)+1,0)</f>
        <v>2912</v>
      </c>
      <c r="C2913" t="str">
        <f t="shared" si="45"/>
        <v>GR96 / EPSG Arctic zone 6-26</v>
      </c>
    </row>
    <row r="2914" spans="1:3" x14ac:dyDescent="0.3">
      <c r="A2914" t="s">
        <v>2971</v>
      </c>
      <c r="B2914">
        <f>IF(ISNUMBER(SEARCH(Form!$C$11,Tabel2[[#This Row],[Coordinate Projection System]])),MAX($B$1:B2913)+1,0)</f>
        <v>2913</v>
      </c>
      <c r="C2914" t="str">
        <f t="shared" si="45"/>
        <v>GR96 / EPSG Arctic zone 6-28</v>
      </c>
    </row>
    <row r="2915" spans="1:3" x14ac:dyDescent="0.3">
      <c r="A2915" t="s">
        <v>2972</v>
      </c>
      <c r="B2915">
        <f>IF(ISNUMBER(SEARCH(Form!$C$11,Tabel2[[#This Row],[Coordinate Projection System]])),MAX($B$1:B2914)+1,0)</f>
        <v>2914</v>
      </c>
      <c r="C2915" t="str">
        <f t="shared" si="45"/>
        <v>GR96 / EPSG Arctic zone 6-30</v>
      </c>
    </row>
    <row r="2916" spans="1:3" x14ac:dyDescent="0.3">
      <c r="A2916" t="s">
        <v>2973</v>
      </c>
      <c r="B2916">
        <f>IF(ISNUMBER(SEARCH(Form!$C$11,Tabel2[[#This Row],[Coordinate Projection System]])),MAX($B$1:B2915)+1,0)</f>
        <v>2915</v>
      </c>
      <c r="C2916" t="str">
        <f t="shared" si="45"/>
        <v>GR96 / EPSG Arctic zone 7-11</v>
      </c>
    </row>
    <row r="2917" spans="1:3" x14ac:dyDescent="0.3">
      <c r="A2917" t="s">
        <v>2974</v>
      </c>
      <c r="B2917">
        <f>IF(ISNUMBER(SEARCH(Form!$C$11,Tabel2[[#This Row],[Coordinate Projection System]])),MAX($B$1:B2916)+1,0)</f>
        <v>2916</v>
      </c>
      <c r="C2917" t="str">
        <f t="shared" si="45"/>
        <v>GR96 / EPSG Arctic zone 7-13</v>
      </c>
    </row>
    <row r="2918" spans="1:3" x14ac:dyDescent="0.3">
      <c r="A2918" t="s">
        <v>2975</v>
      </c>
      <c r="B2918">
        <f>IF(ISNUMBER(SEARCH(Form!$C$11,Tabel2[[#This Row],[Coordinate Projection System]])),MAX($B$1:B2917)+1,0)</f>
        <v>2917</v>
      </c>
      <c r="C2918" t="str">
        <f t="shared" si="45"/>
        <v>GR96 / EPSG Arctic zone 8-20</v>
      </c>
    </row>
    <row r="2919" spans="1:3" x14ac:dyDescent="0.3">
      <c r="A2919" t="s">
        <v>2976</v>
      </c>
      <c r="B2919">
        <f>IF(ISNUMBER(SEARCH(Form!$C$11,Tabel2[[#This Row],[Coordinate Projection System]])),MAX($B$1:B2918)+1,0)</f>
        <v>2918</v>
      </c>
      <c r="C2919" t="str">
        <f t="shared" si="45"/>
        <v>GR96 / EPSG Arctic zone 8-22</v>
      </c>
    </row>
    <row r="2920" spans="1:3" x14ac:dyDescent="0.3">
      <c r="A2920" t="s">
        <v>2977</v>
      </c>
      <c r="B2920">
        <f>IF(ISNUMBER(SEARCH(Form!$C$11,Tabel2[[#This Row],[Coordinate Projection System]])),MAX($B$1:B2919)+1,0)</f>
        <v>2919</v>
      </c>
      <c r="C2920" t="str">
        <f t="shared" si="45"/>
        <v>ETRS89 / EPSG Arctic zone 2-22</v>
      </c>
    </row>
    <row r="2921" spans="1:3" x14ac:dyDescent="0.3">
      <c r="A2921" t="s">
        <v>2978</v>
      </c>
      <c r="B2921">
        <f>IF(ISNUMBER(SEARCH(Form!$C$11,Tabel2[[#This Row],[Coordinate Projection System]])),MAX($B$1:B2920)+1,0)</f>
        <v>2920</v>
      </c>
      <c r="C2921" t="str">
        <f t="shared" si="45"/>
        <v>ETRS89 / EPSG Arctic zone 3-11</v>
      </c>
    </row>
    <row r="2922" spans="1:3" x14ac:dyDescent="0.3">
      <c r="A2922" t="s">
        <v>2979</v>
      </c>
      <c r="B2922">
        <f>IF(ISNUMBER(SEARCH(Form!$C$11,Tabel2[[#This Row],[Coordinate Projection System]])),MAX($B$1:B2921)+1,0)</f>
        <v>2921</v>
      </c>
      <c r="C2922" t="str">
        <f t="shared" si="45"/>
        <v>ETRS89 / EPSG Arctic zone 4-26</v>
      </c>
    </row>
    <row r="2923" spans="1:3" x14ac:dyDescent="0.3">
      <c r="A2923" t="s">
        <v>2980</v>
      </c>
      <c r="B2923">
        <f>IF(ISNUMBER(SEARCH(Form!$C$11,Tabel2[[#This Row],[Coordinate Projection System]])),MAX($B$1:B2922)+1,0)</f>
        <v>2922</v>
      </c>
      <c r="C2923" t="str">
        <f t="shared" si="45"/>
        <v>ETRS89 / EPSG Arctic zone 4-28</v>
      </c>
    </row>
    <row r="2924" spans="1:3" x14ac:dyDescent="0.3">
      <c r="A2924" t="s">
        <v>2981</v>
      </c>
      <c r="B2924">
        <f>IF(ISNUMBER(SEARCH(Form!$C$11,Tabel2[[#This Row],[Coordinate Projection System]])),MAX($B$1:B2923)+1,0)</f>
        <v>2923</v>
      </c>
      <c r="C2924" t="str">
        <f t="shared" si="45"/>
        <v>ETRS89 / EPSG Arctic zone 5-11</v>
      </c>
    </row>
    <row r="2925" spans="1:3" x14ac:dyDescent="0.3">
      <c r="A2925" t="s">
        <v>2982</v>
      </c>
      <c r="B2925">
        <f>IF(ISNUMBER(SEARCH(Form!$C$11,Tabel2[[#This Row],[Coordinate Projection System]])),MAX($B$1:B2924)+1,0)</f>
        <v>2924</v>
      </c>
      <c r="C2925" t="str">
        <f t="shared" si="45"/>
        <v>ETRS89 / EPSG Arctic zone 5-13</v>
      </c>
    </row>
    <row r="2926" spans="1:3" x14ac:dyDescent="0.3">
      <c r="A2926" t="s">
        <v>2983</v>
      </c>
      <c r="B2926">
        <f>IF(ISNUMBER(SEARCH(Form!$C$11,Tabel2[[#This Row],[Coordinate Projection System]])),MAX($B$1:B2925)+1,0)</f>
        <v>2925</v>
      </c>
      <c r="C2926" t="str">
        <f t="shared" si="45"/>
        <v>WGS 84 / EPSG Arctic zone 2-24</v>
      </c>
    </row>
    <row r="2927" spans="1:3" x14ac:dyDescent="0.3">
      <c r="A2927" t="s">
        <v>2984</v>
      </c>
      <c r="B2927">
        <f>IF(ISNUMBER(SEARCH(Form!$C$11,Tabel2[[#This Row],[Coordinate Projection System]])),MAX($B$1:B2926)+1,0)</f>
        <v>2926</v>
      </c>
      <c r="C2927" t="str">
        <f t="shared" si="45"/>
        <v>WGS 84 / EPSG Arctic zone 2-26</v>
      </c>
    </row>
    <row r="2928" spans="1:3" x14ac:dyDescent="0.3">
      <c r="A2928" t="s">
        <v>2985</v>
      </c>
      <c r="B2928">
        <f>IF(ISNUMBER(SEARCH(Form!$C$11,Tabel2[[#This Row],[Coordinate Projection System]])),MAX($B$1:B2927)+1,0)</f>
        <v>2927</v>
      </c>
      <c r="C2928" t="str">
        <f t="shared" si="45"/>
        <v>WGS 84 / EPSG Arctic zone 3-13</v>
      </c>
    </row>
    <row r="2929" spans="1:3" x14ac:dyDescent="0.3">
      <c r="A2929" t="s">
        <v>2986</v>
      </c>
      <c r="B2929">
        <f>IF(ISNUMBER(SEARCH(Form!$C$11,Tabel2[[#This Row],[Coordinate Projection System]])),MAX($B$1:B2928)+1,0)</f>
        <v>2928</v>
      </c>
      <c r="C2929" t="str">
        <f t="shared" si="45"/>
        <v>WGS 84 / EPSG Arctic zone 3-15</v>
      </c>
    </row>
    <row r="2930" spans="1:3" x14ac:dyDescent="0.3">
      <c r="A2930" t="s">
        <v>2987</v>
      </c>
      <c r="B2930">
        <f>IF(ISNUMBER(SEARCH(Form!$C$11,Tabel2[[#This Row],[Coordinate Projection System]])),MAX($B$1:B2929)+1,0)</f>
        <v>2929</v>
      </c>
      <c r="C2930" t="str">
        <f t="shared" si="45"/>
        <v>WGS 84 / EPSG Arctic zone 3-17</v>
      </c>
    </row>
    <row r="2931" spans="1:3" x14ac:dyDescent="0.3">
      <c r="A2931" t="s">
        <v>2988</v>
      </c>
      <c r="B2931">
        <f>IF(ISNUMBER(SEARCH(Form!$C$11,Tabel2[[#This Row],[Coordinate Projection System]])),MAX($B$1:B2930)+1,0)</f>
        <v>2930</v>
      </c>
      <c r="C2931" t="str">
        <f t="shared" si="45"/>
        <v>WGS 84 / EPSG Arctic zone 3-19</v>
      </c>
    </row>
    <row r="2932" spans="1:3" x14ac:dyDescent="0.3">
      <c r="A2932" t="s">
        <v>2989</v>
      </c>
      <c r="B2932">
        <f>IF(ISNUMBER(SEARCH(Form!$C$11,Tabel2[[#This Row],[Coordinate Projection System]])),MAX($B$1:B2931)+1,0)</f>
        <v>2931</v>
      </c>
      <c r="C2932" t="str">
        <f t="shared" si="45"/>
        <v>WGS 84 / EPSG Arctic zone 4-30</v>
      </c>
    </row>
    <row r="2933" spans="1:3" x14ac:dyDescent="0.3">
      <c r="A2933" t="s">
        <v>2990</v>
      </c>
      <c r="B2933">
        <f>IF(ISNUMBER(SEARCH(Form!$C$11,Tabel2[[#This Row],[Coordinate Projection System]])),MAX($B$1:B2932)+1,0)</f>
        <v>2932</v>
      </c>
      <c r="C2933" t="str">
        <f t="shared" si="45"/>
        <v>WGS 84 / EPSG Arctic zone 4-32</v>
      </c>
    </row>
    <row r="2934" spans="1:3" x14ac:dyDescent="0.3">
      <c r="A2934" t="s">
        <v>2991</v>
      </c>
      <c r="B2934">
        <f>IF(ISNUMBER(SEARCH(Form!$C$11,Tabel2[[#This Row],[Coordinate Projection System]])),MAX($B$1:B2933)+1,0)</f>
        <v>2933</v>
      </c>
      <c r="C2934" t="str">
        <f t="shared" si="45"/>
        <v>WGS 84 / EPSG Arctic zone 4-34</v>
      </c>
    </row>
    <row r="2935" spans="1:3" x14ac:dyDescent="0.3">
      <c r="A2935" t="s">
        <v>2992</v>
      </c>
      <c r="B2935">
        <f>IF(ISNUMBER(SEARCH(Form!$C$11,Tabel2[[#This Row],[Coordinate Projection System]])),MAX($B$1:B2934)+1,0)</f>
        <v>2934</v>
      </c>
      <c r="C2935" t="str">
        <f t="shared" si="45"/>
        <v>WGS 84 / EPSG Arctic zone 4-36</v>
      </c>
    </row>
    <row r="2936" spans="1:3" x14ac:dyDescent="0.3">
      <c r="A2936" t="s">
        <v>2993</v>
      </c>
      <c r="B2936">
        <f>IF(ISNUMBER(SEARCH(Form!$C$11,Tabel2[[#This Row],[Coordinate Projection System]])),MAX($B$1:B2935)+1,0)</f>
        <v>2935</v>
      </c>
      <c r="C2936" t="str">
        <f t="shared" si="45"/>
        <v>WGS 84 / EPSG Arctic zone 4-38</v>
      </c>
    </row>
    <row r="2937" spans="1:3" x14ac:dyDescent="0.3">
      <c r="A2937" t="s">
        <v>2994</v>
      </c>
      <c r="B2937">
        <f>IF(ISNUMBER(SEARCH(Form!$C$11,Tabel2[[#This Row],[Coordinate Projection System]])),MAX($B$1:B2936)+1,0)</f>
        <v>2936</v>
      </c>
      <c r="C2937" t="str">
        <f t="shared" si="45"/>
        <v>WGS 84 / EPSG Arctic zone 4-40</v>
      </c>
    </row>
    <row r="2938" spans="1:3" x14ac:dyDescent="0.3">
      <c r="A2938" t="s">
        <v>2995</v>
      </c>
      <c r="B2938">
        <f>IF(ISNUMBER(SEARCH(Form!$C$11,Tabel2[[#This Row],[Coordinate Projection System]])),MAX($B$1:B2937)+1,0)</f>
        <v>2937</v>
      </c>
      <c r="C2938" t="str">
        <f t="shared" si="45"/>
        <v>WGS 84 / EPSG Arctic zone 5-15</v>
      </c>
    </row>
    <row r="2939" spans="1:3" x14ac:dyDescent="0.3">
      <c r="A2939" t="s">
        <v>2996</v>
      </c>
      <c r="B2939">
        <f>IF(ISNUMBER(SEARCH(Form!$C$11,Tabel2[[#This Row],[Coordinate Projection System]])),MAX($B$1:B2938)+1,0)</f>
        <v>2938</v>
      </c>
      <c r="C2939" t="str">
        <f t="shared" si="45"/>
        <v>WGS 84 / EPSG Arctic zone 5-17</v>
      </c>
    </row>
    <row r="2940" spans="1:3" x14ac:dyDescent="0.3">
      <c r="A2940" t="s">
        <v>2997</v>
      </c>
      <c r="B2940">
        <f>IF(ISNUMBER(SEARCH(Form!$C$11,Tabel2[[#This Row],[Coordinate Projection System]])),MAX($B$1:B2939)+1,0)</f>
        <v>2939</v>
      </c>
      <c r="C2940" t="str">
        <f t="shared" si="45"/>
        <v>WGS 84 / EPSG Arctic zone 5-19</v>
      </c>
    </row>
    <row r="2941" spans="1:3" x14ac:dyDescent="0.3">
      <c r="A2941" t="s">
        <v>2998</v>
      </c>
      <c r="B2941">
        <f>IF(ISNUMBER(SEARCH(Form!$C$11,Tabel2[[#This Row],[Coordinate Projection System]])),MAX($B$1:B2940)+1,0)</f>
        <v>2940</v>
      </c>
      <c r="C2941" t="str">
        <f t="shared" si="45"/>
        <v>WGS 84 / EPSG Arctic zone 5-21</v>
      </c>
    </row>
    <row r="2942" spans="1:3" x14ac:dyDescent="0.3">
      <c r="A2942" t="s">
        <v>2999</v>
      </c>
      <c r="B2942">
        <f>IF(ISNUMBER(SEARCH(Form!$C$11,Tabel2[[#This Row],[Coordinate Projection System]])),MAX($B$1:B2941)+1,0)</f>
        <v>2941</v>
      </c>
      <c r="C2942" t="str">
        <f t="shared" si="45"/>
        <v>WGS 84 / EPSG Arctic zone 5-23</v>
      </c>
    </row>
    <row r="2943" spans="1:3" x14ac:dyDescent="0.3">
      <c r="A2943" t="s">
        <v>3000</v>
      </c>
      <c r="B2943">
        <f>IF(ISNUMBER(SEARCH(Form!$C$11,Tabel2[[#This Row],[Coordinate Projection System]])),MAX($B$1:B2942)+1,0)</f>
        <v>2942</v>
      </c>
      <c r="C2943" t="str">
        <f t="shared" si="45"/>
        <v>WGS 84 / EPSG Arctic zone 5-25</v>
      </c>
    </row>
    <row r="2944" spans="1:3" x14ac:dyDescent="0.3">
      <c r="A2944" t="s">
        <v>3001</v>
      </c>
      <c r="B2944">
        <f>IF(ISNUMBER(SEARCH(Form!$C$11,Tabel2[[#This Row],[Coordinate Projection System]])),MAX($B$1:B2943)+1,0)</f>
        <v>2943</v>
      </c>
      <c r="C2944" t="str">
        <f t="shared" si="45"/>
        <v>WGS 84 / EPSG Arctic zone 5-27</v>
      </c>
    </row>
    <row r="2945" spans="1:3" x14ac:dyDescent="0.3">
      <c r="A2945" t="s">
        <v>3002</v>
      </c>
      <c r="B2945">
        <f>IF(ISNUMBER(SEARCH(Form!$C$11,Tabel2[[#This Row],[Coordinate Projection System]])),MAX($B$1:B2944)+1,0)</f>
        <v>2944</v>
      </c>
      <c r="C2945" t="str">
        <f t="shared" si="45"/>
        <v>NAD83(NSRS2007) / EPSG Arctic zone 5-29</v>
      </c>
    </row>
    <row r="2946" spans="1:3" x14ac:dyDescent="0.3">
      <c r="A2946" t="s">
        <v>3003</v>
      </c>
      <c r="B2946">
        <f>IF(ISNUMBER(SEARCH(Form!$C$11,Tabel2[[#This Row],[Coordinate Projection System]])),MAX($B$1:B2945)+1,0)</f>
        <v>2945</v>
      </c>
      <c r="C2946" t="str">
        <f t="shared" si="45"/>
        <v>NAD83(NSRS2007) / EPSG Arctic zone 5-31</v>
      </c>
    </row>
    <row r="2947" spans="1:3" x14ac:dyDescent="0.3">
      <c r="A2947" t="s">
        <v>3004</v>
      </c>
      <c r="B2947">
        <f>IF(ISNUMBER(SEARCH(Form!$C$11,Tabel2[[#This Row],[Coordinate Projection System]])),MAX($B$1:B2946)+1,0)</f>
        <v>2946</v>
      </c>
      <c r="C2947" t="str">
        <f t="shared" ref="C2947:C3010" si="46">_xlfn.IFNA(INDEX(A2947:A8458,MATCH(ROW(C2946),B2947:B8458,0)),"")</f>
        <v>NAD83(NSRS2007) / EPSG Arctic zone 6-14</v>
      </c>
    </row>
    <row r="2948" spans="1:3" x14ac:dyDescent="0.3">
      <c r="A2948" t="s">
        <v>3005</v>
      </c>
      <c r="B2948">
        <f>IF(ISNUMBER(SEARCH(Form!$C$11,Tabel2[[#This Row],[Coordinate Projection System]])),MAX($B$1:B2947)+1,0)</f>
        <v>2947</v>
      </c>
      <c r="C2948" t="str">
        <f t="shared" si="46"/>
        <v>NAD83(NSRS2007) / EPSG Arctic zone 6-16</v>
      </c>
    </row>
    <row r="2949" spans="1:3" x14ac:dyDescent="0.3">
      <c r="A2949" t="s">
        <v>3006</v>
      </c>
      <c r="B2949">
        <f>IF(ISNUMBER(SEARCH(Form!$C$11,Tabel2[[#This Row],[Coordinate Projection System]])),MAX($B$1:B2948)+1,0)</f>
        <v>2948</v>
      </c>
      <c r="C2949" t="str">
        <f t="shared" si="46"/>
        <v>NAD83(CSRS) / EPSG Arctic zone 1-23</v>
      </c>
    </row>
    <row r="2950" spans="1:3" x14ac:dyDescent="0.3">
      <c r="A2950" t="s">
        <v>3007</v>
      </c>
      <c r="B2950">
        <f>IF(ISNUMBER(SEARCH(Form!$C$11,Tabel2[[#This Row],[Coordinate Projection System]])),MAX($B$1:B2949)+1,0)</f>
        <v>2949</v>
      </c>
      <c r="C2950" t="str">
        <f t="shared" si="46"/>
        <v>NAD83(CSRS) / EPSG Arctic zone 2-14</v>
      </c>
    </row>
    <row r="2951" spans="1:3" x14ac:dyDescent="0.3">
      <c r="A2951" t="s">
        <v>3008</v>
      </c>
      <c r="B2951">
        <f>IF(ISNUMBER(SEARCH(Form!$C$11,Tabel2[[#This Row],[Coordinate Projection System]])),MAX($B$1:B2950)+1,0)</f>
        <v>2950</v>
      </c>
      <c r="C2951" t="str">
        <f t="shared" si="46"/>
        <v>NAD83(CSRS) / EPSG Arctic zone 2-16</v>
      </c>
    </row>
    <row r="2952" spans="1:3" x14ac:dyDescent="0.3">
      <c r="A2952" t="s">
        <v>3009</v>
      </c>
      <c r="B2952">
        <f>IF(ISNUMBER(SEARCH(Form!$C$11,Tabel2[[#This Row],[Coordinate Projection System]])),MAX($B$1:B2951)+1,0)</f>
        <v>2951</v>
      </c>
      <c r="C2952" t="str">
        <f t="shared" si="46"/>
        <v>NAD83(CSRS) / EPSG Arctic zone 3-25</v>
      </c>
    </row>
    <row r="2953" spans="1:3" x14ac:dyDescent="0.3">
      <c r="A2953" t="s">
        <v>3010</v>
      </c>
      <c r="B2953">
        <f>IF(ISNUMBER(SEARCH(Form!$C$11,Tabel2[[#This Row],[Coordinate Projection System]])),MAX($B$1:B2952)+1,0)</f>
        <v>2952</v>
      </c>
      <c r="C2953" t="str">
        <f t="shared" si="46"/>
        <v>NAD83(CSRS) / EPSG Arctic zone 3-27</v>
      </c>
    </row>
    <row r="2954" spans="1:3" x14ac:dyDescent="0.3">
      <c r="A2954" t="s">
        <v>3011</v>
      </c>
      <c r="B2954">
        <f>IF(ISNUMBER(SEARCH(Form!$C$11,Tabel2[[#This Row],[Coordinate Projection System]])),MAX($B$1:B2953)+1,0)</f>
        <v>2953</v>
      </c>
      <c r="C2954" t="str">
        <f t="shared" si="46"/>
        <v>NAD83(CSRS) / EPSG Arctic zone 3-29</v>
      </c>
    </row>
    <row r="2955" spans="1:3" x14ac:dyDescent="0.3">
      <c r="A2955" t="s">
        <v>3012</v>
      </c>
      <c r="B2955">
        <f>IF(ISNUMBER(SEARCH(Form!$C$11,Tabel2[[#This Row],[Coordinate Projection System]])),MAX($B$1:B2954)+1,0)</f>
        <v>2954</v>
      </c>
      <c r="C2955" t="str">
        <f t="shared" si="46"/>
        <v>NAD83(CSRS) / EPSG Arctic zone 4-14</v>
      </c>
    </row>
    <row r="2956" spans="1:3" x14ac:dyDescent="0.3">
      <c r="A2956" t="s">
        <v>3013</v>
      </c>
      <c r="B2956">
        <f>IF(ISNUMBER(SEARCH(Form!$C$11,Tabel2[[#This Row],[Coordinate Projection System]])),MAX($B$1:B2955)+1,0)</f>
        <v>2955</v>
      </c>
      <c r="C2956" t="str">
        <f t="shared" si="46"/>
        <v>NAD83(CSRS) / EPSG Arctic zone 4-16</v>
      </c>
    </row>
    <row r="2957" spans="1:3" x14ac:dyDescent="0.3">
      <c r="A2957" t="s">
        <v>3014</v>
      </c>
      <c r="B2957">
        <f>IF(ISNUMBER(SEARCH(Form!$C$11,Tabel2[[#This Row],[Coordinate Projection System]])),MAX($B$1:B2956)+1,0)</f>
        <v>2956</v>
      </c>
      <c r="C2957" t="str">
        <f t="shared" si="46"/>
        <v>NAD83(CSRS) / EPSG Arctic zone 4-18</v>
      </c>
    </row>
    <row r="2958" spans="1:3" x14ac:dyDescent="0.3">
      <c r="A2958" t="s">
        <v>3015</v>
      </c>
      <c r="B2958">
        <f>IF(ISNUMBER(SEARCH(Form!$C$11,Tabel2[[#This Row],[Coordinate Projection System]])),MAX($B$1:B2957)+1,0)</f>
        <v>2957</v>
      </c>
      <c r="C2958" t="str">
        <f t="shared" si="46"/>
        <v>NAD83(CSRS) / EPSG Arctic zone 5-33</v>
      </c>
    </row>
    <row r="2959" spans="1:3" x14ac:dyDescent="0.3">
      <c r="A2959" t="s">
        <v>3016</v>
      </c>
      <c r="B2959">
        <f>IF(ISNUMBER(SEARCH(Form!$C$11,Tabel2[[#This Row],[Coordinate Projection System]])),MAX($B$1:B2958)+1,0)</f>
        <v>2958</v>
      </c>
      <c r="C2959" t="str">
        <f t="shared" si="46"/>
        <v>NAD83(CSRS) / EPSG Arctic zone 5-35</v>
      </c>
    </row>
    <row r="2960" spans="1:3" x14ac:dyDescent="0.3">
      <c r="A2960" t="s">
        <v>3017</v>
      </c>
      <c r="B2960">
        <f>IF(ISNUMBER(SEARCH(Form!$C$11,Tabel2[[#This Row],[Coordinate Projection System]])),MAX($B$1:B2959)+1,0)</f>
        <v>2959</v>
      </c>
      <c r="C2960" t="str">
        <f t="shared" si="46"/>
        <v>NAD83(CSRS) / EPSG Arctic zone 5-37</v>
      </c>
    </row>
    <row r="2961" spans="1:3" x14ac:dyDescent="0.3">
      <c r="A2961" t="s">
        <v>3018</v>
      </c>
      <c r="B2961">
        <f>IF(ISNUMBER(SEARCH(Form!$C$11,Tabel2[[#This Row],[Coordinate Projection System]])),MAX($B$1:B2960)+1,0)</f>
        <v>2960</v>
      </c>
      <c r="C2961" t="str">
        <f t="shared" si="46"/>
        <v>NAD83(CSRS) / EPSG Arctic zone 5-39</v>
      </c>
    </row>
    <row r="2962" spans="1:3" x14ac:dyDescent="0.3">
      <c r="A2962" t="s">
        <v>3019</v>
      </c>
      <c r="B2962">
        <f>IF(ISNUMBER(SEARCH(Form!$C$11,Tabel2[[#This Row],[Coordinate Projection System]])),MAX($B$1:B2961)+1,0)</f>
        <v>2961</v>
      </c>
      <c r="C2962" t="str">
        <f t="shared" si="46"/>
        <v>NAD83(CSRS) / EPSG Arctic zone 6-18</v>
      </c>
    </row>
    <row r="2963" spans="1:3" x14ac:dyDescent="0.3">
      <c r="A2963" t="s">
        <v>3020</v>
      </c>
      <c r="B2963">
        <f>IF(ISNUMBER(SEARCH(Form!$C$11,Tabel2[[#This Row],[Coordinate Projection System]])),MAX($B$1:B2962)+1,0)</f>
        <v>2962</v>
      </c>
      <c r="C2963" t="str">
        <f t="shared" si="46"/>
        <v>NAD83(CSRS) / EPSG Arctic zone 6-20</v>
      </c>
    </row>
    <row r="2964" spans="1:3" x14ac:dyDescent="0.3">
      <c r="A2964" t="s">
        <v>3021</v>
      </c>
      <c r="B2964">
        <f>IF(ISNUMBER(SEARCH(Form!$C$11,Tabel2[[#This Row],[Coordinate Projection System]])),MAX($B$1:B2963)+1,0)</f>
        <v>2963</v>
      </c>
      <c r="C2964" t="str">
        <f t="shared" si="46"/>
        <v>NAD83(CSRS) / EPSG Arctic zone 6-22</v>
      </c>
    </row>
    <row r="2965" spans="1:3" x14ac:dyDescent="0.3">
      <c r="A2965" t="s">
        <v>3022</v>
      </c>
      <c r="B2965">
        <f>IF(ISNUMBER(SEARCH(Form!$C$11,Tabel2[[#This Row],[Coordinate Projection System]])),MAX($B$1:B2964)+1,0)</f>
        <v>2964</v>
      </c>
      <c r="C2965" t="str">
        <f t="shared" si="46"/>
        <v>NAD83(CSRS) / EPSG Arctic zone 6-24</v>
      </c>
    </row>
    <row r="2966" spans="1:3" x14ac:dyDescent="0.3">
      <c r="A2966" t="s">
        <v>3023</v>
      </c>
      <c r="B2966">
        <f>IF(ISNUMBER(SEARCH(Form!$C$11,Tabel2[[#This Row],[Coordinate Projection System]])),MAX($B$1:B2965)+1,0)</f>
        <v>2965</v>
      </c>
      <c r="C2966" t="str">
        <f t="shared" si="46"/>
        <v>WGS 84 / EPSG Arctic zone 1-27</v>
      </c>
    </row>
    <row r="2967" spans="1:3" x14ac:dyDescent="0.3">
      <c r="A2967" t="s">
        <v>3024</v>
      </c>
      <c r="B2967">
        <f>IF(ISNUMBER(SEARCH(Form!$C$11,Tabel2[[#This Row],[Coordinate Projection System]])),MAX($B$1:B2966)+1,0)</f>
        <v>2966</v>
      </c>
      <c r="C2967" t="str">
        <f t="shared" si="46"/>
        <v>WGS 84 / EPSG Arctic zone 1-29</v>
      </c>
    </row>
    <row r="2968" spans="1:3" x14ac:dyDescent="0.3">
      <c r="A2968" t="s">
        <v>3025</v>
      </c>
      <c r="B2968">
        <f>IF(ISNUMBER(SEARCH(Form!$C$11,Tabel2[[#This Row],[Coordinate Projection System]])),MAX($B$1:B2967)+1,0)</f>
        <v>2967</v>
      </c>
      <c r="C2968" t="str">
        <f t="shared" si="46"/>
        <v>WGS 84 / EPSG Arctic zone 1-31</v>
      </c>
    </row>
    <row r="2969" spans="1:3" x14ac:dyDescent="0.3">
      <c r="A2969" t="s">
        <v>3026</v>
      </c>
      <c r="B2969">
        <f>IF(ISNUMBER(SEARCH(Form!$C$11,Tabel2[[#This Row],[Coordinate Projection System]])),MAX($B$1:B2968)+1,0)</f>
        <v>2968</v>
      </c>
      <c r="C2969" t="str">
        <f t="shared" si="46"/>
        <v>WGS 84 / EPSG Arctic zone 1-21</v>
      </c>
    </row>
    <row r="2970" spans="1:3" x14ac:dyDescent="0.3">
      <c r="A2970" t="s">
        <v>3027</v>
      </c>
      <c r="B2970">
        <f>IF(ISNUMBER(SEARCH(Form!$C$11,Tabel2[[#This Row],[Coordinate Projection System]])),MAX($B$1:B2969)+1,0)</f>
        <v>2969</v>
      </c>
      <c r="C2970" t="str">
        <f t="shared" si="46"/>
        <v>WGS 84 / EPSG Arctic zone 2-28</v>
      </c>
    </row>
    <row r="2971" spans="1:3" x14ac:dyDescent="0.3">
      <c r="A2971" t="s">
        <v>3028</v>
      </c>
      <c r="B2971">
        <f>IF(ISNUMBER(SEARCH(Form!$C$11,Tabel2[[#This Row],[Coordinate Projection System]])),MAX($B$1:B2970)+1,0)</f>
        <v>2970</v>
      </c>
      <c r="C2971" t="str">
        <f t="shared" si="46"/>
        <v>WGS 84 / EPSG Arctic zone 2-10</v>
      </c>
    </row>
    <row r="2972" spans="1:3" x14ac:dyDescent="0.3">
      <c r="A2972" t="s">
        <v>3029</v>
      </c>
      <c r="B2972">
        <f>IF(ISNUMBER(SEARCH(Form!$C$11,Tabel2[[#This Row],[Coordinate Projection System]])),MAX($B$1:B2971)+1,0)</f>
        <v>2971</v>
      </c>
      <c r="C2972" t="str">
        <f t="shared" si="46"/>
        <v>WGS 84 / EPSG Arctic zone 2-12</v>
      </c>
    </row>
    <row r="2973" spans="1:3" x14ac:dyDescent="0.3">
      <c r="A2973" t="s">
        <v>3030</v>
      </c>
      <c r="B2973">
        <f>IF(ISNUMBER(SEARCH(Form!$C$11,Tabel2[[#This Row],[Coordinate Projection System]])),MAX($B$1:B2972)+1,0)</f>
        <v>2972</v>
      </c>
      <c r="C2973" t="str">
        <f t="shared" si="46"/>
        <v>WGS 84 / EPSG Arctic zone 3-21</v>
      </c>
    </row>
    <row r="2974" spans="1:3" x14ac:dyDescent="0.3">
      <c r="A2974" t="s">
        <v>3031</v>
      </c>
      <c r="B2974">
        <f>IF(ISNUMBER(SEARCH(Form!$C$11,Tabel2[[#This Row],[Coordinate Projection System]])),MAX($B$1:B2973)+1,0)</f>
        <v>2973</v>
      </c>
      <c r="C2974" t="str">
        <f t="shared" si="46"/>
        <v>WGS 84 / EPSG Arctic zone 3-23</v>
      </c>
    </row>
    <row r="2975" spans="1:3" x14ac:dyDescent="0.3">
      <c r="A2975" t="s">
        <v>3032</v>
      </c>
      <c r="B2975">
        <f>IF(ISNUMBER(SEARCH(Form!$C$11,Tabel2[[#This Row],[Coordinate Projection System]])),MAX($B$1:B2974)+1,0)</f>
        <v>2974</v>
      </c>
      <c r="C2975" t="str">
        <f t="shared" si="46"/>
        <v>WGS 84 / EPSG Arctic zone 4-12</v>
      </c>
    </row>
    <row r="2976" spans="1:3" x14ac:dyDescent="0.3">
      <c r="A2976" t="s">
        <v>3033</v>
      </c>
      <c r="B2976">
        <f>IF(ISNUMBER(SEARCH(Form!$C$11,Tabel2[[#This Row],[Coordinate Projection System]])),MAX($B$1:B2975)+1,0)</f>
        <v>2975</v>
      </c>
      <c r="C2976" t="str">
        <f t="shared" si="46"/>
        <v>ETRS89 / EPSG Arctic zone 5-47</v>
      </c>
    </row>
    <row r="2977" spans="1:3" x14ac:dyDescent="0.3">
      <c r="A2977" t="s">
        <v>3034</v>
      </c>
      <c r="B2977">
        <f>IF(ISNUMBER(SEARCH(Form!$C$11,Tabel2[[#This Row],[Coordinate Projection System]])),MAX($B$1:B2976)+1,0)</f>
        <v>2976</v>
      </c>
      <c r="C2977" t="str">
        <f t="shared" si="46"/>
        <v>Grand Cayman National Grid 1959</v>
      </c>
    </row>
    <row r="2978" spans="1:3" x14ac:dyDescent="0.3">
      <c r="A2978" t="s">
        <v>3035</v>
      </c>
      <c r="B2978">
        <f>IF(ISNUMBER(SEARCH(Form!$C$11,Tabel2[[#This Row],[Coordinate Projection System]])),MAX($B$1:B2977)+1,0)</f>
        <v>2977</v>
      </c>
      <c r="C2978" t="str">
        <f t="shared" si="46"/>
        <v>Sister Islands National Grid 1961</v>
      </c>
    </row>
    <row r="2979" spans="1:3" x14ac:dyDescent="0.3">
      <c r="A2979" t="s">
        <v>3036</v>
      </c>
      <c r="B2979">
        <f>IF(ISNUMBER(SEARCH(Form!$C$11,Tabel2[[#This Row],[Coordinate Projection System]])),MAX($B$1:B2978)+1,0)</f>
        <v>2978</v>
      </c>
      <c r="C2979" t="str">
        <f t="shared" si="46"/>
        <v>Cayman Islands National Grid 2011 (deprecated)</v>
      </c>
    </row>
    <row r="2980" spans="1:3" x14ac:dyDescent="0.3">
      <c r="A2980" t="s">
        <v>3037</v>
      </c>
      <c r="B2980">
        <f>IF(ISNUMBER(SEARCH(Form!$C$11,Tabel2[[#This Row],[Coordinate Projection System]])),MAX($B$1:B2979)+1,0)</f>
        <v>2979</v>
      </c>
      <c r="C2980" t="str">
        <f t="shared" si="46"/>
        <v>NAD27 / Michigan North (deprecated)Unable to translate coordinate system EPSG:6200 into PROJ.4 format.</v>
      </c>
    </row>
    <row r="2981" spans="1:3" x14ac:dyDescent="0.3">
      <c r="A2981" t="s">
        <v>3038</v>
      </c>
      <c r="B2981">
        <f>IF(ISNUMBER(SEARCH(Form!$C$11,Tabel2[[#This Row],[Coordinate Projection System]])),MAX($B$1:B2980)+1,0)</f>
        <v>2980</v>
      </c>
      <c r="C2981" t="str">
        <f t="shared" si="46"/>
        <v>NAD27 / Michigan CentralUnable to translate coordinate system EPSG:6201 into PROJ.4 format.</v>
      </c>
    </row>
    <row r="2982" spans="1:3" x14ac:dyDescent="0.3">
      <c r="A2982" t="s">
        <v>3039</v>
      </c>
      <c r="B2982">
        <f>IF(ISNUMBER(SEARCH(Form!$C$11,Tabel2[[#This Row],[Coordinate Projection System]])),MAX($B$1:B2981)+1,0)</f>
        <v>2981</v>
      </c>
      <c r="C2982" t="str">
        <f t="shared" si="46"/>
        <v>NAD27 / Michigan SouthUnable to translate coordinate system EPSG:6202 into PROJ.4 format.</v>
      </c>
    </row>
    <row r="2983" spans="1:3" x14ac:dyDescent="0.3">
      <c r="A2983" t="s">
        <v>3040</v>
      </c>
      <c r="B2983">
        <f>IF(ISNUMBER(SEARCH(Form!$C$11,Tabel2[[#This Row],[Coordinate Projection System]])),MAX($B$1:B2982)+1,0)</f>
        <v>2982</v>
      </c>
      <c r="C2983" t="str">
        <f t="shared" si="46"/>
        <v>Macedonia State Coordinate System</v>
      </c>
    </row>
    <row r="2984" spans="1:3" x14ac:dyDescent="0.3">
      <c r="A2984" t="s">
        <v>3041</v>
      </c>
      <c r="B2984">
        <f>IF(ISNUMBER(SEARCH(Form!$C$11,Tabel2[[#This Row],[Coordinate Projection System]])),MAX($B$1:B2983)+1,0)</f>
        <v>2983</v>
      </c>
      <c r="C2984" t="str">
        <f t="shared" si="46"/>
        <v>SIRGAS 2000 / UTM zone 23N</v>
      </c>
    </row>
    <row r="2985" spans="1:3" x14ac:dyDescent="0.3">
      <c r="A2985" t="s">
        <v>3042</v>
      </c>
      <c r="B2985">
        <f>IF(ISNUMBER(SEARCH(Form!$C$11,Tabel2[[#This Row],[Coordinate Projection System]])),MAX($B$1:B2984)+1,0)</f>
        <v>2984</v>
      </c>
      <c r="C2985" t="str">
        <f t="shared" si="46"/>
        <v>SIRGAS 2000 / UTM zone 24N</v>
      </c>
    </row>
    <row r="2986" spans="1:3" x14ac:dyDescent="0.3">
      <c r="A2986" t="s">
        <v>3043</v>
      </c>
      <c r="B2986">
        <f>IF(ISNUMBER(SEARCH(Form!$C$11,Tabel2[[#This Row],[Coordinate Projection System]])),MAX($B$1:B2985)+1,0)</f>
        <v>2985</v>
      </c>
      <c r="C2986" t="str">
        <f t="shared" si="46"/>
        <v>MAGNA-SIRGAS / Arauca urban gridUnable to translate coordinate system EPSG:6244 into PROJ.4 format.</v>
      </c>
    </row>
    <row r="2987" spans="1:3" x14ac:dyDescent="0.3">
      <c r="A2987" t="s">
        <v>3044</v>
      </c>
      <c r="B2987">
        <f>IF(ISNUMBER(SEARCH(Form!$C$11,Tabel2[[#This Row],[Coordinate Projection System]])),MAX($B$1:B2986)+1,0)</f>
        <v>2986</v>
      </c>
      <c r="C2987" t="str">
        <f t="shared" si="46"/>
        <v>MAGNA-SIRGAS / Armenia urban gridUnable to translate coordinate system EPSG:6245 into PROJ.4 format.</v>
      </c>
    </row>
    <row r="2988" spans="1:3" x14ac:dyDescent="0.3">
      <c r="A2988" t="s">
        <v>3045</v>
      </c>
      <c r="B2988">
        <f>IF(ISNUMBER(SEARCH(Form!$C$11,Tabel2[[#This Row],[Coordinate Projection System]])),MAX($B$1:B2987)+1,0)</f>
        <v>2987</v>
      </c>
      <c r="C2988" t="str">
        <f t="shared" si="46"/>
        <v>MAGNA-SIRGAS / Barranquilla urban gridUnable to translate coordinate system EPSG:6246 into PROJ.4 format.</v>
      </c>
    </row>
    <row r="2989" spans="1:3" x14ac:dyDescent="0.3">
      <c r="A2989" t="s">
        <v>3046</v>
      </c>
      <c r="B2989">
        <f>IF(ISNUMBER(SEARCH(Form!$C$11,Tabel2[[#This Row],[Coordinate Projection System]])),MAX($B$1:B2988)+1,0)</f>
        <v>2988</v>
      </c>
      <c r="C2989" t="str">
        <f t="shared" si="46"/>
        <v>MAGNA-SIRGAS / Bogota urban gridUnable to translate coordinate system EPSG:6247 into PROJ.4 format.</v>
      </c>
    </row>
    <row r="2990" spans="1:3" x14ac:dyDescent="0.3">
      <c r="A2990" t="s">
        <v>3047</v>
      </c>
      <c r="B2990">
        <f>IF(ISNUMBER(SEARCH(Form!$C$11,Tabel2[[#This Row],[Coordinate Projection System]])),MAX($B$1:B2989)+1,0)</f>
        <v>2989</v>
      </c>
      <c r="C2990" t="str">
        <f t="shared" si="46"/>
        <v>MAGNA-SIRGAS / Bucaramanga urban gridUnable to translate coordinate system EPSG:6248 into PROJ.4 format.</v>
      </c>
    </row>
    <row r="2991" spans="1:3" x14ac:dyDescent="0.3">
      <c r="A2991" t="s">
        <v>3048</v>
      </c>
      <c r="B2991">
        <f>IF(ISNUMBER(SEARCH(Form!$C$11,Tabel2[[#This Row],[Coordinate Projection System]])),MAX($B$1:B2990)+1,0)</f>
        <v>2990</v>
      </c>
      <c r="C2991" t="str">
        <f t="shared" si="46"/>
        <v>MAGNA-SIRGAS / Cali urban gridUnable to translate coordinate system EPSG:6249 into PROJ.4 format.</v>
      </c>
    </row>
    <row r="2992" spans="1:3" x14ac:dyDescent="0.3">
      <c r="A2992" t="s">
        <v>3049</v>
      </c>
      <c r="B2992">
        <f>IF(ISNUMBER(SEARCH(Form!$C$11,Tabel2[[#This Row],[Coordinate Projection System]])),MAX($B$1:B2991)+1,0)</f>
        <v>2991</v>
      </c>
      <c r="C2992" t="str">
        <f t="shared" si="46"/>
        <v>MAGNA-SIRGAS / Cartagena urban gridUnable to translate coordinate system EPSG:6250 into PROJ.4 format.</v>
      </c>
    </row>
    <row r="2993" spans="1:3" x14ac:dyDescent="0.3">
      <c r="A2993" t="s">
        <v>3050</v>
      </c>
      <c r="B2993">
        <f>IF(ISNUMBER(SEARCH(Form!$C$11,Tabel2[[#This Row],[Coordinate Projection System]])),MAX($B$1:B2992)+1,0)</f>
        <v>2992</v>
      </c>
      <c r="C2993" t="str">
        <f t="shared" si="46"/>
        <v>MAGNA-SIRGAS / Cucuta urban gridUnable to translate coordinate system EPSG:6251 into PROJ.4 format.</v>
      </c>
    </row>
    <row r="2994" spans="1:3" x14ac:dyDescent="0.3">
      <c r="A2994" t="s">
        <v>3051</v>
      </c>
      <c r="B2994">
        <f>IF(ISNUMBER(SEARCH(Form!$C$11,Tabel2[[#This Row],[Coordinate Projection System]])),MAX($B$1:B2993)+1,0)</f>
        <v>2993</v>
      </c>
      <c r="C2994" t="str">
        <f t="shared" si="46"/>
        <v>MAGNA-SIRGAS / Florencia urban gridUnable to translate coordinate system EPSG:6252 into PROJ.4 format.</v>
      </c>
    </row>
    <row r="2995" spans="1:3" x14ac:dyDescent="0.3">
      <c r="A2995" t="s">
        <v>3052</v>
      </c>
      <c r="B2995">
        <f>IF(ISNUMBER(SEARCH(Form!$C$11,Tabel2[[#This Row],[Coordinate Projection System]])),MAX($B$1:B2994)+1,0)</f>
        <v>2994</v>
      </c>
      <c r="C2995" t="str">
        <f t="shared" si="46"/>
        <v>MAGNA-SIRGAS / Ibague urban gridUnable to translate coordinate system EPSG:6253 into PROJ.4 format.</v>
      </c>
    </row>
    <row r="2996" spans="1:3" x14ac:dyDescent="0.3">
      <c r="A2996" t="s">
        <v>3053</v>
      </c>
      <c r="B2996">
        <f>IF(ISNUMBER(SEARCH(Form!$C$11,Tabel2[[#This Row],[Coordinate Projection System]])),MAX($B$1:B2995)+1,0)</f>
        <v>2995</v>
      </c>
      <c r="C2996" t="str">
        <f t="shared" si="46"/>
        <v>MAGNA-SIRGAS / Inirida urban gridUnable to translate coordinate system EPSG:6254 into PROJ.4 format.</v>
      </c>
    </row>
    <row r="2997" spans="1:3" x14ac:dyDescent="0.3">
      <c r="A2997" t="s">
        <v>3054</v>
      </c>
      <c r="B2997">
        <f>IF(ISNUMBER(SEARCH(Form!$C$11,Tabel2[[#This Row],[Coordinate Projection System]])),MAX($B$1:B2996)+1,0)</f>
        <v>2996</v>
      </c>
      <c r="C2997" t="str">
        <f t="shared" si="46"/>
        <v>MAGNA-SIRGAS / Leticia urban gridUnable to translate coordinate system EPSG:6255 into PROJ.4 format.</v>
      </c>
    </row>
    <row r="2998" spans="1:3" x14ac:dyDescent="0.3">
      <c r="A2998" t="s">
        <v>3055</v>
      </c>
      <c r="B2998">
        <f>IF(ISNUMBER(SEARCH(Form!$C$11,Tabel2[[#This Row],[Coordinate Projection System]])),MAX($B$1:B2997)+1,0)</f>
        <v>2997</v>
      </c>
      <c r="C2998" t="str">
        <f t="shared" si="46"/>
        <v>MAGNA-SIRGAS / Manizales urban gridUnable to translate coordinate system EPSG:6256 into PROJ.4 format.</v>
      </c>
    </row>
    <row r="2999" spans="1:3" x14ac:dyDescent="0.3">
      <c r="A2999" t="s">
        <v>3056</v>
      </c>
      <c r="B2999">
        <f>IF(ISNUMBER(SEARCH(Form!$C$11,Tabel2[[#This Row],[Coordinate Projection System]])),MAX($B$1:B2998)+1,0)</f>
        <v>2998</v>
      </c>
      <c r="C2999" t="str">
        <f t="shared" si="46"/>
        <v>MAGNA-SIRGAS / Medellin urban gridUnable to translate coordinate system EPSG:6257 into PROJ.4 format.</v>
      </c>
    </row>
    <row r="3000" spans="1:3" x14ac:dyDescent="0.3">
      <c r="A3000" t="s">
        <v>3057</v>
      </c>
      <c r="B3000">
        <f>IF(ISNUMBER(SEARCH(Form!$C$11,Tabel2[[#This Row],[Coordinate Projection System]])),MAX($B$1:B2999)+1,0)</f>
        <v>2999</v>
      </c>
      <c r="C3000" t="str">
        <f t="shared" si="46"/>
        <v>MAGNA-SIRGAS / Mitu urban gridUnable to translate coordinate system EPSG:6258 into PROJ.4 format.</v>
      </c>
    </row>
    <row r="3001" spans="1:3" x14ac:dyDescent="0.3">
      <c r="A3001" t="s">
        <v>3058</v>
      </c>
      <c r="B3001">
        <f>IF(ISNUMBER(SEARCH(Form!$C$11,Tabel2[[#This Row],[Coordinate Projection System]])),MAX($B$1:B3000)+1,0)</f>
        <v>3000</v>
      </c>
      <c r="C3001" t="str">
        <f t="shared" si="46"/>
        <v>MAGNA-SIRGAS / Mocoa urban gridUnable to translate coordinate system EPSG:6259 into PROJ.4 format.</v>
      </c>
    </row>
    <row r="3002" spans="1:3" x14ac:dyDescent="0.3">
      <c r="A3002" t="s">
        <v>3059</v>
      </c>
      <c r="B3002">
        <f>IF(ISNUMBER(SEARCH(Form!$C$11,Tabel2[[#This Row],[Coordinate Projection System]])),MAX($B$1:B3001)+1,0)</f>
        <v>3001</v>
      </c>
      <c r="C3002" t="str">
        <f t="shared" si="46"/>
        <v>MAGNA-SIRGAS / Monteria urban gridUnable to translate coordinate system EPSG:6260 into PROJ.4 format.</v>
      </c>
    </row>
    <row r="3003" spans="1:3" x14ac:dyDescent="0.3">
      <c r="A3003" t="s">
        <v>3060</v>
      </c>
      <c r="B3003">
        <f>IF(ISNUMBER(SEARCH(Form!$C$11,Tabel2[[#This Row],[Coordinate Projection System]])),MAX($B$1:B3002)+1,0)</f>
        <v>3002</v>
      </c>
      <c r="C3003" t="str">
        <f t="shared" si="46"/>
        <v>MAGNA-SIRGAS / Neiva urban gridUnable to translate coordinate system EPSG:6261 into PROJ.4 format.</v>
      </c>
    </row>
    <row r="3004" spans="1:3" x14ac:dyDescent="0.3">
      <c r="A3004" t="s">
        <v>3061</v>
      </c>
      <c r="B3004">
        <f>IF(ISNUMBER(SEARCH(Form!$C$11,Tabel2[[#This Row],[Coordinate Projection System]])),MAX($B$1:B3003)+1,0)</f>
        <v>3003</v>
      </c>
      <c r="C3004" t="str">
        <f t="shared" si="46"/>
        <v>MAGNA-SIRGAS / Pasto urban gridUnable to translate coordinate system EPSG:6262 into PROJ.4 format.</v>
      </c>
    </row>
    <row r="3005" spans="1:3" x14ac:dyDescent="0.3">
      <c r="A3005" t="s">
        <v>3062</v>
      </c>
      <c r="B3005">
        <f>IF(ISNUMBER(SEARCH(Form!$C$11,Tabel2[[#This Row],[Coordinate Projection System]])),MAX($B$1:B3004)+1,0)</f>
        <v>3004</v>
      </c>
      <c r="C3005" t="str">
        <f t="shared" si="46"/>
        <v>MAGNA-SIRGAS / Pereira urban gridUnable to translate coordinate system EPSG:6263 into PROJ.4 format.</v>
      </c>
    </row>
    <row r="3006" spans="1:3" x14ac:dyDescent="0.3">
      <c r="A3006" t="s">
        <v>3063</v>
      </c>
      <c r="B3006">
        <f>IF(ISNUMBER(SEARCH(Form!$C$11,Tabel2[[#This Row],[Coordinate Projection System]])),MAX($B$1:B3005)+1,0)</f>
        <v>3005</v>
      </c>
      <c r="C3006" t="str">
        <f t="shared" si="46"/>
        <v>MAGNA-SIRGAS / Popayan urban gridUnable to translate coordinate system EPSG:6264 into PROJ.4 format.</v>
      </c>
    </row>
    <row r="3007" spans="1:3" x14ac:dyDescent="0.3">
      <c r="A3007" t="s">
        <v>3064</v>
      </c>
      <c r="B3007">
        <f>IF(ISNUMBER(SEARCH(Form!$C$11,Tabel2[[#This Row],[Coordinate Projection System]])),MAX($B$1:B3006)+1,0)</f>
        <v>3006</v>
      </c>
      <c r="C3007" t="str">
        <f t="shared" si="46"/>
        <v>MAGNA-SIRGAS / Puerto Carreno urban gridUnable to translate coordinate system EPSG:6265 into PROJ.4 format.</v>
      </c>
    </row>
    <row r="3008" spans="1:3" x14ac:dyDescent="0.3">
      <c r="A3008" t="s">
        <v>3065</v>
      </c>
      <c r="B3008">
        <f>IF(ISNUMBER(SEARCH(Form!$C$11,Tabel2[[#This Row],[Coordinate Projection System]])),MAX($B$1:B3007)+1,0)</f>
        <v>3007</v>
      </c>
      <c r="C3008" t="str">
        <f t="shared" si="46"/>
        <v>MAGNA-SIRGAS / Quibdo urban gridUnable to translate coordinate system EPSG:6266 into PROJ.4 format.</v>
      </c>
    </row>
    <row r="3009" spans="1:3" x14ac:dyDescent="0.3">
      <c r="A3009" t="s">
        <v>3066</v>
      </c>
      <c r="B3009">
        <f>IF(ISNUMBER(SEARCH(Form!$C$11,Tabel2[[#This Row],[Coordinate Projection System]])),MAX($B$1:B3008)+1,0)</f>
        <v>3008</v>
      </c>
      <c r="C3009" t="str">
        <f t="shared" si="46"/>
        <v>MAGNA-SIRGAS / Riohacha urban gridUnable to translate coordinate system EPSG:6267 into PROJ.4 format.</v>
      </c>
    </row>
    <row r="3010" spans="1:3" x14ac:dyDescent="0.3">
      <c r="A3010" t="s">
        <v>3067</v>
      </c>
      <c r="B3010">
        <f>IF(ISNUMBER(SEARCH(Form!$C$11,Tabel2[[#This Row],[Coordinate Projection System]])),MAX($B$1:B3009)+1,0)</f>
        <v>3009</v>
      </c>
      <c r="C3010" t="str">
        <f t="shared" si="46"/>
        <v>MAGNA-SIRGAS / San Andres urban gridUnable to translate coordinate system EPSG:6268 into PROJ.4 format.</v>
      </c>
    </row>
    <row r="3011" spans="1:3" x14ac:dyDescent="0.3">
      <c r="A3011" t="s">
        <v>3068</v>
      </c>
      <c r="B3011">
        <f>IF(ISNUMBER(SEARCH(Form!$C$11,Tabel2[[#This Row],[Coordinate Projection System]])),MAX($B$1:B3010)+1,0)</f>
        <v>3010</v>
      </c>
      <c r="C3011" t="str">
        <f t="shared" ref="C3011:C3074" si="47">_xlfn.IFNA(INDEX(A3011:A8522,MATCH(ROW(C3010),B3011:B8522,0)),"")</f>
        <v>MAGNA-SIRGAS / San Jose del Guaviare urban gridUnable to translate coordinate system EPSG:6269 into PROJ.4 format.</v>
      </c>
    </row>
    <row r="3012" spans="1:3" x14ac:dyDescent="0.3">
      <c r="A3012" t="s">
        <v>3069</v>
      </c>
      <c r="B3012">
        <f>IF(ISNUMBER(SEARCH(Form!$C$11,Tabel2[[#This Row],[Coordinate Projection System]])),MAX($B$1:B3011)+1,0)</f>
        <v>3011</v>
      </c>
      <c r="C3012" t="str">
        <f t="shared" si="47"/>
        <v>MAGNA-SIRGAS / Santa Marta urban gridUnable to translate coordinate system EPSG:6270 into PROJ.4 format.</v>
      </c>
    </row>
    <row r="3013" spans="1:3" x14ac:dyDescent="0.3">
      <c r="A3013" t="s">
        <v>3070</v>
      </c>
      <c r="B3013">
        <f>IF(ISNUMBER(SEARCH(Form!$C$11,Tabel2[[#This Row],[Coordinate Projection System]])),MAX($B$1:B3012)+1,0)</f>
        <v>3012</v>
      </c>
      <c r="C3013" t="str">
        <f t="shared" si="47"/>
        <v>MAGNA-SIRGAS / Sucre urban gridUnable to translate coordinate system EPSG:6271 into PROJ.4 format.</v>
      </c>
    </row>
    <row r="3014" spans="1:3" x14ac:dyDescent="0.3">
      <c r="A3014" t="s">
        <v>3071</v>
      </c>
      <c r="B3014">
        <f>IF(ISNUMBER(SEARCH(Form!$C$11,Tabel2[[#This Row],[Coordinate Projection System]])),MAX($B$1:B3013)+1,0)</f>
        <v>3013</v>
      </c>
      <c r="C3014" t="str">
        <f t="shared" si="47"/>
        <v>MAGNA-SIRGAS / Tunja urban gridUnable to translate coordinate system EPSG:6272 into PROJ.4 format.</v>
      </c>
    </row>
    <row r="3015" spans="1:3" x14ac:dyDescent="0.3">
      <c r="A3015" t="s">
        <v>3072</v>
      </c>
      <c r="B3015">
        <f>IF(ISNUMBER(SEARCH(Form!$C$11,Tabel2[[#This Row],[Coordinate Projection System]])),MAX($B$1:B3014)+1,0)</f>
        <v>3014</v>
      </c>
      <c r="C3015" t="str">
        <f t="shared" si="47"/>
        <v>MAGNA-SIRGAS / Valledupar urban gridUnable to translate coordinate system EPSG:6273 into PROJ.4 format.</v>
      </c>
    </row>
    <row r="3016" spans="1:3" x14ac:dyDescent="0.3">
      <c r="A3016" t="s">
        <v>3073</v>
      </c>
      <c r="B3016">
        <f>IF(ISNUMBER(SEARCH(Form!$C$11,Tabel2[[#This Row],[Coordinate Projection System]])),MAX($B$1:B3015)+1,0)</f>
        <v>3015</v>
      </c>
      <c r="C3016" t="str">
        <f t="shared" si="47"/>
        <v>MAGNA-SIRGAS / Villavicencio urban gridUnable to translate coordinate system EPSG:6274 into PROJ.4 format.</v>
      </c>
    </row>
    <row r="3017" spans="1:3" x14ac:dyDescent="0.3">
      <c r="A3017" t="s">
        <v>3074</v>
      </c>
      <c r="B3017">
        <f>IF(ISNUMBER(SEARCH(Form!$C$11,Tabel2[[#This Row],[Coordinate Projection System]])),MAX($B$1:B3016)+1,0)</f>
        <v>3016</v>
      </c>
      <c r="C3017" t="str">
        <f t="shared" si="47"/>
        <v>MAGNA-SIRGAS / Yopal urban gridUnable to translate coordinate system EPSG:6275 into PROJ.4 format.</v>
      </c>
    </row>
    <row r="3018" spans="1:3" x14ac:dyDescent="0.3">
      <c r="A3018" t="s">
        <v>3075</v>
      </c>
      <c r="B3018">
        <f>IF(ISNUMBER(SEARCH(Form!$C$11,Tabel2[[#This Row],[Coordinate Projection System]])),MAX($B$1:B3017)+1,0)</f>
        <v>3017</v>
      </c>
      <c r="C3018" t="str">
        <f t="shared" si="47"/>
        <v>NAD83(CORS96) / Puerto Rico and Virgin Is.</v>
      </c>
    </row>
    <row r="3019" spans="1:3" x14ac:dyDescent="0.3">
      <c r="A3019" t="s">
        <v>3076</v>
      </c>
      <c r="B3019">
        <f>IF(ISNUMBER(SEARCH(Form!$C$11,Tabel2[[#This Row],[Coordinate Projection System]])),MAX($B$1:B3018)+1,0)</f>
        <v>3018</v>
      </c>
      <c r="C3019" t="str">
        <f t="shared" si="47"/>
        <v>CGRS93 / Cyprus Local Transverse Mercator</v>
      </c>
    </row>
    <row r="3020" spans="1:3" x14ac:dyDescent="0.3">
      <c r="A3020" t="s">
        <v>3077</v>
      </c>
      <c r="B3020">
        <f>IF(ISNUMBER(SEARCH(Form!$C$11,Tabel2[[#This Row],[Coordinate Projection System]])),MAX($B$1:B3019)+1,0)</f>
        <v>3019</v>
      </c>
      <c r="C3020" t="str">
        <f t="shared" si="47"/>
        <v>Macedonia State Coordinate System zone 7</v>
      </c>
    </row>
    <row r="3021" spans="1:3" x14ac:dyDescent="0.3">
      <c r="A3021" t="s">
        <v>3078</v>
      </c>
      <c r="B3021">
        <f>IF(ISNUMBER(SEARCH(Form!$C$11,Tabel2[[#This Row],[Coordinate Projection System]])),MAX($B$1:B3020)+1,0)</f>
        <v>3020</v>
      </c>
      <c r="C3021" t="str">
        <f t="shared" si="47"/>
        <v>NAD83(2011) / UTM zone 59N</v>
      </c>
    </row>
    <row r="3022" spans="1:3" x14ac:dyDescent="0.3">
      <c r="A3022" t="s">
        <v>3079</v>
      </c>
      <c r="B3022">
        <f>IF(ISNUMBER(SEARCH(Form!$C$11,Tabel2[[#This Row],[Coordinate Projection System]])),MAX($B$1:B3021)+1,0)</f>
        <v>3021</v>
      </c>
      <c r="C3022" t="str">
        <f t="shared" si="47"/>
        <v>NAD83(2011) / UTM zone 60N</v>
      </c>
    </row>
    <row r="3023" spans="1:3" x14ac:dyDescent="0.3">
      <c r="A3023" t="s">
        <v>3080</v>
      </c>
      <c r="B3023">
        <f>IF(ISNUMBER(SEARCH(Form!$C$11,Tabel2[[#This Row],[Coordinate Projection System]])),MAX($B$1:B3022)+1,0)</f>
        <v>3022</v>
      </c>
      <c r="C3023" t="str">
        <f t="shared" si="47"/>
        <v>NAD83(2011) / UTM zone 1N</v>
      </c>
    </row>
    <row r="3024" spans="1:3" x14ac:dyDescent="0.3">
      <c r="A3024" t="s">
        <v>3081</v>
      </c>
      <c r="B3024">
        <f>IF(ISNUMBER(SEARCH(Form!$C$11,Tabel2[[#This Row],[Coordinate Projection System]])),MAX($B$1:B3023)+1,0)</f>
        <v>3023</v>
      </c>
      <c r="C3024" t="str">
        <f t="shared" si="47"/>
        <v>NAD83(2011) / UTM zone 2N</v>
      </c>
    </row>
    <row r="3025" spans="1:3" x14ac:dyDescent="0.3">
      <c r="A3025" t="s">
        <v>3082</v>
      </c>
      <c r="B3025">
        <f>IF(ISNUMBER(SEARCH(Form!$C$11,Tabel2[[#This Row],[Coordinate Projection System]])),MAX($B$1:B3024)+1,0)</f>
        <v>3024</v>
      </c>
      <c r="C3025" t="str">
        <f t="shared" si="47"/>
        <v>NAD83(2011) / UTM zone 3N</v>
      </c>
    </row>
    <row r="3026" spans="1:3" x14ac:dyDescent="0.3">
      <c r="A3026" t="s">
        <v>3083</v>
      </c>
      <c r="B3026">
        <f>IF(ISNUMBER(SEARCH(Form!$C$11,Tabel2[[#This Row],[Coordinate Projection System]])),MAX($B$1:B3025)+1,0)</f>
        <v>3025</v>
      </c>
      <c r="C3026" t="str">
        <f t="shared" si="47"/>
        <v>NAD83(2011) / UTM zone 4N</v>
      </c>
    </row>
    <row r="3027" spans="1:3" x14ac:dyDescent="0.3">
      <c r="A3027" t="s">
        <v>3084</v>
      </c>
      <c r="B3027">
        <f>IF(ISNUMBER(SEARCH(Form!$C$11,Tabel2[[#This Row],[Coordinate Projection System]])),MAX($B$1:B3026)+1,0)</f>
        <v>3026</v>
      </c>
      <c r="C3027" t="str">
        <f t="shared" si="47"/>
        <v>NAD83(2011) / UTM zone 5N</v>
      </c>
    </row>
    <row r="3028" spans="1:3" x14ac:dyDescent="0.3">
      <c r="A3028" t="s">
        <v>3085</v>
      </c>
      <c r="B3028">
        <f>IF(ISNUMBER(SEARCH(Form!$C$11,Tabel2[[#This Row],[Coordinate Projection System]])),MAX($B$1:B3027)+1,0)</f>
        <v>3027</v>
      </c>
      <c r="C3028" t="str">
        <f t="shared" si="47"/>
        <v>NAD83(2011) / UTM zone 6N</v>
      </c>
    </row>
    <row r="3029" spans="1:3" x14ac:dyDescent="0.3">
      <c r="A3029" t="s">
        <v>3086</v>
      </c>
      <c r="B3029">
        <f>IF(ISNUMBER(SEARCH(Form!$C$11,Tabel2[[#This Row],[Coordinate Projection System]])),MAX($B$1:B3028)+1,0)</f>
        <v>3028</v>
      </c>
      <c r="C3029" t="str">
        <f t="shared" si="47"/>
        <v>NAD83(2011) / UTM zone 7N</v>
      </c>
    </row>
    <row r="3030" spans="1:3" x14ac:dyDescent="0.3">
      <c r="A3030" t="s">
        <v>3087</v>
      </c>
      <c r="B3030">
        <f>IF(ISNUMBER(SEARCH(Form!$C$11,Tabel2[[#This Row],[Coordinate Projection System]])),MAX($B$1:B3029)+1,0)</f>
        <v>3029</v>
      </c>
      <c r="C3030" t="str">
        <f t="shared" si="47"/>
        <v>NAD83(2011) / UTM zone 8N</v>
      </c>
    </row>
    <row r="3031" spans="1:3" x14ac:dyDescent="0.3">
      <c r="A3031" t="s">
        <v>3088</v>
      </c>
      <c r="B3031">
        <f>IF(ISNUMBER(SEARCH(Form!$C$11,Tabel2[[#This Row],[Coordinate Projection System]])),MAX($B$1:B3030)+1,0)</f>
        <v>3030</v>
      </c>
      <c r="C3031" t="str">
        <f t="shared" si="47"/>
        <v>NAD83(2011) / UTM zone 9N</v>
      </c>
    </row>
    <row r="3032" spans="1:3" x14ac:dyDescent="0.3">
      <c r="A3032" t="s">
        <v>3089</v>
      </c>
      <c r="B3032">
        <f>IF(ISNUMBER(SEARCH(Form!$C$11,Tabel2[[#This Row],[Coordinate Projection System]])),MAX($B$1:B3031)+1,0)</f>
        <v>3031</v>
      </c>
      <c r="C3032" t="str">
        <f t="shared" si="47"/>
        <v>NAD83(2011) / UTM zone 10N</v>
      </c>
    </row>
    <row r="3033" spans="1:3" x14ac:dyDescent="0.3">
      <c r="A3033" t="s">
        <v>3090</v>
      </c>
      <c r="B3033">
        <f>IF(ISNUMBER(SEARCH(Form!$C$11,Tabel2[[#This Row],[Coordinate Projection System]])),MAX($B$1:B3032)+1,0)</f>
        <v>3032</v>
      </c>
      <c r="C3033" t="str">
        <f t="shared" si="47"/>
        <v>NAD83(2011) / UTM zone 11N</v>
      </c>
    </row>
    <row r="3034" spans="1:3" x14ac:dyDescent="0.3">
      <c r="A3034" t="s">
        <v>3091</v>
      </c>
      <c r="B3034">
        <f>IF(ISNUMBER(SEARCH(Form!$C$11,Tabel2[[#This Row],[Coordinate Projection System]])),MAX($B$1:B3033)+1,0)</f>
        <v>3033</v>
      </c>
      <c r="C3034" t="str">
        <f t="shared" si="47"/>
        <v>NAD83(2011) / UTM zone 12N</v>
      </c>
    </row>
    <row r="3035" spans="1:3" x14ac:dyDescent="0.3">
      <c r="A3035" t="s">
        <v>3092</v>
      </c>
      <c r="B3035">
        <f>IF(ISNUMBER(SEARCH(Form!$C$11,Tabel2[[#This Row],[Coordinate Projection System]])),MAX($B$1:B3034)+1,0)</f>
        <v>3034</v>
      </c>
      <c r="C3035" t="str">
        <f t="shared" si="47"/>
        <v>NAD83(2011) / UTM zone 13N</v>
      </c>
    </row>
    <row r="3036" spans="1:3" x14ac:dyDescent="0.3">
      <c r="A3036" t="s">
        <v>3093</v>
      </c>
      <c r="B3036">
        <f>IF(ISNUMBER(SEARCH(Form!$C$11,Tabel2[[#This Row],[Coordinate Projection System]])),MAX($B$1:B3035)+1,0)</f>
        <v>3035</v>
      </c>
      <c r="C3036" t="str">
        <f t="shared" si="47"/>
        <v>NAD83(2011) / UTM zone 14N</v>
      </c>
    </row>
    <row r="3037" spans="1:3" x14ac:dyDescent="0.3">
      <c r="A3037" t="s">
        <v>3094</v>
      </c>
      <c r="B3037">
        <f>IF(ISNUMBER(SEARCH(Form!$C$11,Tabel2[[#This Row],[Coordinate Projection System]])),MAX($B$1:B3036)+1,0)</f>
        <v>3036</v>
      </c>
      <c r="C3037" t="str">
        <f t="shared" si="47"/>
        <v>NAD83(2011) / UTM zone 15N</v>
      </c>
    </row>
    <row r="3038" spans="1:3" x14ac:dyDescent="0.3">
      <c r="A3038" t="s">
        <v>3095</v>
      </c>
      <c r="B3038">
        <f>IF(ISNUMBER(SEARCH(Form!$C$11,Tabel2[[#This Row],[Coordinate Projection System]])),MAX($B$1:B3037)+1,0)</f>
        <v>3037</v>
      </c>
      <c r="C3038" t="str">
        <f t="shared" si="47"/>
        <v>NAD83(2011) / UTM zone 16N</v>
      </c>
    </row>
    <row r="3039" spans="1:3" x14ac:dyDescent="0.3">
      <c r="A3039" t="s">
        <v>3096</v>
      </c>
      <c r="B3039">
        <f>IF(ISNUMBER(SEARCH(Form!$C$11,Tabel2[[#This Row],[Coordinate Projection System]])),MAX($B$1:B3038)+1,0)</f>
        <v>3038</v>
      </c>
      <c r="C3039" t="str">
        <f t="shared" si="47"/>
        <v>NAD83(2011) / UTM zone 17N</v>
      </c>
    </row>
    <row r="3040" spans="1:3" x14ac:dyDescent="0.3">
      <c r="A3040" t="s">
        <v>3097</v>
      </c>
      <c r="B3040">
        <f>IF(ISNUMBER(SEARCH(Form!$C$11,Tabel2[[#This Row],[Coordinate Projection System]])),MAX($B$1:B3039)+1,0)</f>
        <v>3039</v>
      </c>
      <c r="C3040" t="str">
        <f t="shared" si="47"/>
        <v>NAD83(2011) / UTM zone 18N</v>
      </c>
    </row>
    <row r="3041" spans="1:3" x14ac:dyDescent="0.3">
      <c r="A3041" t="s">
        <v>3098</v>
      </c>
      <c r="B3041">
        <f>IF(ISNUMBER(SEARCH(Form!$C$11,Tabel2[[#This Row],[Coordinate Projection System]])),MAX($B$1:B3040)+1,0)</f>
        <v>3040</v>
      </c>
      <c r="C3041" t="str">
        <f t="shared" si="47"/>
        <v>NAD83(2011) / UTM zone 19N</v>
      </c>
    </row>
    <row r="3042" spans="1:3" x14ac:dyDescent="0.3">
      <c r="A3042" t="s">
        <v>3099</v>
      </c>
      <c r="B3042">
        <f>IF(ISNUMBER(SEARCH(Form!$C$11,Tabel2[[#This Row],[Coordinate Projection System]])),MAX($B$1:B3041)+1,0)</f>
        <v>3041</v>
      </c>
      <c r="C3042" t="str">
        <f t="shared" si="47"/>
        <v>NAD83(2011) / Conus Albers</v>
      </c>
    </row>
    <row r="3043" spans="1:3" x14ac:dyDescent="0.3">
      <c r="A3043" t="s">
        <v>3100</v>
      </c>
      <c r="B3043">
        <f>IF(ISNUMBER(SEARCH(Form!$C$11,Tabel2[[#This Row],[Coordinate Projection System]])),MAX($B$1:B3042)+1,0)</f>
        <v>3042</v>
      </c>
      <c r="C3043" t="str">
        <f t="shared" si="47"/>
        <v>NAD83(2011) / EPSG Arctic zone 5-29</v>
      </c>
    </row>
    <row r="3044" spans="1:3" x14ac:dyDescent="0.3">
      <c r="A3044" t="s">
        <v>3101</v>
      </c>
      <c r="B3044">
        <f>IF(ISNUMBER(SEARCH(Form!$C$11,Tabel2[[#This Row],[Coordinate Projection System]])),MAX($B$1:B3043)+1,0)</f>
        <v>3043</v>
      </c>
      <c r="C3044" t="str">
        <f t="shared" si="47"/>
        <v>NAD83(2011) / EPSG Arctic zone 5-31</v>
      </c>
    </row>
    <row r="3045" spans="1:3" x14ac:dyDescent="0.3">
      <c r="A3045" t="s">
        <v>3102</v>
      </c>
      <c r="B3045">
        <f>IF(ISNUMBER(SEARCH(Form!$C$11,Tabel2[[#This Row],[Coordinate Projection System]])),MAX($B$1:B3044)+1,0)</f>
        <v>3044</v>
      </c>
      <c r="C3045" t="str">
        <f t="shared" si="47"/>
        <v>NAD83(2011) / EPSG Arctic zone 6-14</v>
      </c>
    </row>
    <row r="3046" spans="1:3" x14ac:dyDescent="0.3">
      <c r="A3046" t="s">
        <v>3103</v>
      </c>
      <c r="B3046">
        <f>IF(ISNUMBER(SEARCH(Form!$C$11,Tabel2[[#This Row],[Coordinate Projection System]])),MAX($B$1:B3045)+1,0)</f>
        <v>3045</v>
      </c>
      <c r="C3046" t="str">
        <f t="shared" si="47"/>
        <v>NAD83(2011) / EPSG Arctic zone 6-16</v>
      </c>
    </row>
    <row r="3047" spans="1:3" x14ac:dyDescent="0.3">
      <c r="A3047" t="s">
        <v>3104</v>
      </c>
      <c r="B3047">
        <f>IF(ISNUMBER(SEARCH(Form!$C$11,Tabel2[[#This Row],[Coordinate Projection System]])),MAX($B$1:B3046)+1,0)</f>
        <v>3046</v>
      </c>
      <c r="C3047" t="str">
        <f t="shared" si="47"/>
        <v>NAD83(2011) / Alabama East</v>
      </c>
    </row>
    <row r="3048" spans="1:3" x14ac:dyDescent="0.3">
      <c r="A3048" t="s">
        <v>3105</v>
      </c>
      <c r="B3048">
        <f>IF(ISNUMBER(SEARCH(Form!$C$11,Tabel2[[#This Row],[Coordinate Projection System]])),MAX($B$1:B3047)+1,0)</f>
        <v>3047</v>
      </c>
      <c r="C3048" t="str">
        <f t="shared" si="47"/>
        <v>NAD83(2011) / Alabama West</v>
      </c>
    </row>
    <row r="3049" spans="1:3" x14ac:dyDescent="0.3">
      <c r="A3049" t="s">
        <v>3106</v>
      </c>
      <c r="B3049">
        <f>IF(ISNUMBER(SEARCH(Form!$C$11,Tabel2[[#This Row],[Coordinate Projection System]])),MAX($B$1:B3048)+1,0)</f>
        <v>3048</v>
      </c>
      <c r="C3049" t="str">
        <f t="shared" si="47"/>
        <v>Mexico ITRF92 / LCC</v>
      </c>
    </row>
    <row r="3050" spans="1:3" x14ac:dyDescent="0.3">
      <c r="A3050" t="s">
        <v>3107</v>
      </c>
      <c r="B3050">
        <f>IF(ISNUMBER(SEARCH(Form!$C$11,Tabel2[[#This Row],[Coordinate Projection System]])),MAX($B$1:B3049)+1,0)</f>
        <v>3049</v>
      </c>
      <c r="C3050" t="str">
        <f t="shared" si="47"/>
        <v>Mexico ITRF2008 / UTM zone 11N</v>
      </c>
    </row>
    <row r="3051" spans="1:3" x14ac:dyDescent="0.3">
      <c r="A3051" t="s">
        <v>3108</v>
      </c>
      <c r="B3051">
        <f>IF(ISNUMBER(SEARCH(Form!$C$11,Tabel2[[#This Row],[Coordinate Projection System]])),MAX($B$1:B3050)+1,0)</f>
        <v>3050</v>
      </c>
      <c r="C3051" t="str">
        <f t="shared" si="47"/>
        <v>Mexico ITRF2008 / UTM zone 12N</v>
      </c>
    </row>
    <row r="3052" spans="1:3" x14ac:dyDescent="0.3">
      <c r="A3052" t="s">
        <v>3109</v>
      </c>
      <c r="B3052">
        <f>IF(ISNUMBER(SEARCH(Form!$C$11,Tabel2[[#This Row],[Coordinate Projection System]])),MAX($B$1:B3051)+1,0)</f>
        <v>3051</v>
      </c>
      <c r="C3052" t="str">
        <f t="shared" si="47"/>
        <v>Mexico ITRF2008 / UTM zone 13N</v>
      </c>
    </row>
    <row r="3053" spans="1:3" x14ac:dyDescent="0.3">
      <c r="A3053" t="s">
        <v>3110</v>
      </c>
      <c r="B3053">
        <f>IF(ISNUMBER(SEARCH(Form!$C$11,Tabel2[[#This Row],[Coordinate Projection System]])),MAX($B$1:B3052)+1,0)</f>
        <v>3052</v>
      </c>
      <c r="C3053" t="str">
        <f t="shared" si="47"/>
        <v>Mexico ITRF2008 / UTM zone 14N</v>
      </c>
    </row>
    <row r="3054" spans="1:3" x14ac:dyDescent="0.3">
      <c r="A3054" t="s">
        <v>3111</v>
      </c>
      <c r="B3054">
        <f>IF(ISNUMBER(SEARCH(Form!$C$11,Tabel2[[#This Row],[Coordinate Projection System]])),MAX($B$1:B3053)+1,0)</f>
        <v>3053</v>
      </c>
      <c r="C3054" t="str">
        <f t="shared" si="47"/>
        <v>Mexico ITRF2008 / UTM zone 15N</v>
      </c>
    </row>
    <row r="3055" spans="1:3" x14ac:dyDescent="0.3">
      <c r="A3055" t="s">
        <v>3112</v>
      </c>
      <c r="B3055">
        <f>IF(ISNUMBER(SEARCH(Form!$C$11,Tabel2[[#This Row],[Coordinate Projection System]])),MAX($B$1:B3054)+1,0)</f>
        <v>3054</v>
      </c>
      <c r="C3055" t="str">
        <f t="shared" si="47"/>
        <v>Mexico ITRF2008 / UTM zone 16N</v>
      </c>
    </row>
    <row r="3056" spans="1:3" x14ac:dyDescent="0.3">
      <c r="A3056" t="s">
        <v>3113</v>
      </c>
      <c r="B3056">
        <f>IF(ISNUMBER(SEARCH(Form!$C$11,Tabel2[[#This Row],[Coordinate Projection System]])),MAX($B$1:B3055)+1,0)</f>
        <v>3055</v>
      </c>
      <c r="C3056" t="str">
        <f t="shared" si="47"/>
        <v>Mexico ITRF2008 / LCC</v>
      </c>
    </row>
    <row r="3057" spans="1:3" x14ac:dyDescent="0.3">
      <c r="A3057" t="s">
        <v>3114</v>
      </c>
      <c r="B3057">
        <f>IF(ISNUMBER(SEARCH(Form!$C$11,Tabel2[[#This Row],[Coordinate Projection System]])),MAX($B$1:B3056)+1,0)</f>
        <v>3056</v>
      </c>
      <c r="C3057" t="str">
        <f t="shared" si="47"/>
        <v>UCS-2000 / Ukraine TM zone 7</v>
      </c>
    </row>
    <row r="3058" spans="1:3" x14ac:dyDescent="0.3">
      <c r="A3058" t="s">
        <v>3115</v>
      </c>
      <c r="B3058">
        <f>IF(ISNUMBER(SEARCH(Form!$C$11,Tabel2[[#This Row],[Coordinate Projection System]])),MAX($B$1:B3057)+1,0)</f>
        <v>3057</v>
      </c>
      <c r="C3058" t="str">
        <f t="shared" si="47"/>
        <v>UCS-2000 / Ukraine TM zone 8</v>
      </c>
    </row>
    <row r="3059" spans="1:3" x14ac:dyDescent="0.3">
      <c r="A3059" t="s">
        <v>3116</v>
      </c>
      <c r="B3059">
        <f>IF(ISNUMBER(SEARCH(Form!$C$11,Tabel2[[#This Row],[Coordinate Projection System]])),MAX($B$1:B3058)+1,0)</f>
        <v>3058</v>
      </c>
      <c r="C3059" t="str">
        <f t="shared" si="47"/>
        <v>UCS-2000 / Ukraine TM zone 9</v>
      </c>
    </row>
    <row r="3060" spans="1:3" x14ac:dyDescent="0.3">
      <c r="A3060" t="s">
        <v>3117</v>
      </c>
      <c r="B3060">
        <f>IF(ISNUMBER(SEARCH(Form!$C$11,Tabel2[[#This Row],[Coordinate Projection System]])),MAX($B$1:B3059)+1,0)</f>
        <v>3059</v>
      </c>
      <c r="C3060" t="str">
        <f t="shared" si="47"/>
        <v>UCS-2000 / Ukraine TM zone 10</v>
      </c>
    </row>
    <row r="3061" spans="1:3" x14ac:dyDescent="0.3">
      <c r="A3061" t="s">
        <v>3118</v>
      </c>
      <c r="B3061">
        <f>IF(ISNUMBER(SEARCH(Form!$C$11,Tabel2[[#This Row],[Coordinate Projection System]])),MAX($B$1:B3060)+1,0)</f>
        <v>3060</v>
      </c>
      <c r="C3061" t="str">
        <f t="shared" si="47"/>
        <v>UCS-2000 / Ukraine TM zone 11</v>
      </c>
    </row>
    <row r="3062" spans="1:3" x14ac:dyDescent="0.3">
      <c r="A3062" t="s">
        <v>3119</v>
      </c>
      <c r="B3062">
        <f>IF(ISNUMBER(SEARCH(Form!$C$11,Tabel2[[#This Row],[Coordinate Projection System]])),MAX($B$1:B3061)+1,0)</f>
        <v>3061</v>
      </c>
      <c r="C3062" t="str">
        <f t="shared" si="47"/>
        <v>UCS-2000 / Ukraine TM zone 12</v>
      </c>
    </row>
    <row r="3063" spans="1:3" x14ac:dyDescent="0.3">
      <c r="A3063" t="s">
        <v>3120</v>
      </c>
      <c r="B3063">
        <f>IF(ISNUMBER(SEARCH(Form!$C$11,Tabel2[[#This Row],[Coordinate Projection System]])),MAX($B$1:B3062)+1,0)</f>
        <v>3062</v>
      </c>
      <c r="C3063" t="str">
        <f t="shared" si="47"/>
        <v>UCS-2000 / Ukraine TM zone 13</v>
      </c>
    </row>
    <row r="3064" spans="1:3" x14ac:dyDescent="0.3">
      <c r="A3064" t="s">
        <v>3121</v>
      </c>
      <c r="B3064">
        <f>IF(ISNUMBER(SEARCH(Form!$C$11,Tabel2[[#This Row],[Coordinate Projection System]])),MAX($B$1:B3063)+1,0)</f>
        <v>3063</v>
      </c>
      <c r="C3064" t="str">
        <f t="shared" si="47"/>
        <v>Cayman Islands National Grid 2011</v>
      </c>
    </row>
    <row r="3065" spans="1:3" x14ac:dyDescent="0.3">
      <c r="A3065" t="s">
        <v>3122</v>
      </c>
      <c r="B3065">
        <f>IF(ISNUMBER(SEARCH(Form!$C$11,Tabel2[[#This Row],[Coordinate Projection System]])),MAX($B$1:B3064)+1,0)</f>
        <v>3064</v>
      </c>
      <c r="C3065" t="str">
        <f t="shared" si="47"/>
        <v>NAD83(2011) / Alaska Albers</v>
      </c>
    </row>
    <row r="3066" spans="1:3" x14ac:dyDescent="0.3">
      <c r="A3066" t="s">
        <v>3123</v>
      </c>
      <c r="B3066">
        <f>IF(ISNUMBER(SEARCH(Form!$C$11,Tabel2[[#This Row],[Coordinate Projection System]])),MAX($B$1:B3065)+1,0)</f>
        <v>3065</v>
      </c>
      <c r="C3066" t="str">
        <f t="shared" si="47"/>
        <v>NAD83(2011) / Alaska zone 1</v>
      </c>
    </row>
    <row r="3067" spans="1:3" x14ac:dyDescent="0.3">
      <c r="A3067" t="s">
        <v>3124</v>
      </c>
      <c r="B3067">
        <f>IF(ISNUMBER(SEARCH(Form!$C$11,Tabel2[[#This Row],[Coordinate Projection System]])),MAX($B$1:B3066)+1,0)</f>
        <v>3066</v>
      </c>
      <c r="C3067" t="str">
        <f t="shared" si="47"/>
        <v>NAD83(2011) / Alaska zone 2</v>
      </c>
    </row>
    <row r="3068" spans="1:3" x14ac:dyDescent="0.3">
      <c r="A3068" t="s">
        <v>3125</v>
      </c>
      <c r="B3068">
        <f>IF(ISNUMBER(SEARCH(Form!$C$11,Tabel2[[#This Row],[Coordinate Projection System]])),MAX($B$1:B3067)+1,0)</f>
        <v>3067</v>
      </c>
      <c r="C3068" t="str">
        <f t="shared" si="47"/>
        <v>NAD83(2011) / Alaska zone 3</v>
      </c>
    </row>
    <row r="3069" spans="1:3" x14ac:dyDescent="0.3">
      <c r="A3069" t="s">
        <v>3126</v>
      </c>
      <c r="B3069">
        <f>IF(ISNUMBER(SEARCH(Form!$C$11,Tabel2[[#This Row],[Coordinate Projection System]])),MAX($B$1:B3068)+1,0)</f>
        <v>3068</v>
      </c>
      <c r="C3069" t="str">
        <f t="shared" si="47"/>
        <v>NAD83(2011) / Alaska zone 4</v>
      </c>
    </row>
    <row r="3070" spans="1:3" x14ac:dyDescent="0.3">
      <c r="A3070" t="s">
        <v>3127</v>
      </c>
      <c r="B3070">
        <f>IF(ISNUMBER(SEARCH(Form!$C$11,Tabel2[[#This Row],[Coordinate Projection System]])),MAX($B$1:B3069)+1,0)</f>
        <v>3069</v>
      </c>
      <c r="C3070" t="str">
        <f t="shared" si="47"/>
        <v>NAD83(2011) / Alaska zone 5</v>
      </c>
    </row>
    <row r="3071" spans="1:3" x14ac:dyDescent="0.3">
      <c r="A3071" t="s">
        <v>3128</v>
      </c>
      <c r="B3071">
        <f>IF(ISNUMBER(SEARCH(Form!$C$11,Tabel2[[#This Row],[Coordinate Projection System]])),MAX($B$1:B3070)+1,0)</f>
        <v>3070</v>
      </c>
      <c r="C3071" t="str">
        <f t="shared" si="47"/>
        <v>NAD83(2011) / Alaska zone 6</v>
      </c>
    </row>
    <row r="3072" spans="1:3" x14ac:dyDescent="0.3">
      <c r="A3072" t="s">
        <v>3129</v>
      </c>
      <c r="B3072">
        <f>IF(ISNUMBER(SEARCH(Form!$C$11,Tabel2[[#This Row],[Coordinate Projection System]])),MAX($B$1:B3071)+1,0)</f>
        <v>3071</v>
      </c>
      <c r="C3072" t="str">
        <f t="shared" si="47"/>
        <v>NAD83(2011) / Alaska zone 7</v>
      </c>
    </row>
    <row r="3073" spans="1:3" x14ac:dyDescent="0.3">
      <c r="A3073" t="s">
        <v>3130</v>
      </c>
      <c r="B3073">
        <f>IF(ISNUMBER(SEARCH(Form!$C$11,Tabel2[[#This Row],[Coordinate Projection System]])),MAX($B$1:B3072)+1,0)</f>
        <v>3072</v>
      </c>
      <c r="C3073" t="str">
        <f t="shared" si="47"/>
        <v>NAD83(2011) / Alaska zone 8</v>
      </c>
    </row>
    <row r="3074" spans="1:3" x14ac:dyDescent="0.3">
      <c r="A3074" t="s">
        <v>3131</v>
      </c>
      <c r="B3074">
        <f>IF(ISNUMBER(SEARCH(Form!$C$11,Tabel2[[#This Row],[Coordinate Projection System]])),MAX($B$1:B3073)+1,0)</f>
        <v>3073</v>
      </c>
      <c r="C3074" t="str">
        <f t="shared" si="47"/>
        <v>NAD83(2011) / Alaska zone 9</v>
      </c>
    </row>
    <row r="3075" spans="1:3" x14ac:dyDescent="0.3">
      <c r="A3075" t="s">
        <v>3132</v>
      </c>
      <c r="B3075">
        <f>IF(ISNUMBER(SEARCH(Form!$C$11,Tabel2[[#This Row],[Coordinate Projection System]])),MAX($B$1:B3074)+1,0)</f>
        <v>3074</v>
      </c>
      <c r="C3075" t="str">
        <f t="shared" ref="C3075:C3138" si="48">_xlfn.IFNA(INDEX(A3075:A8586,MATCH(ROW(C3074),B3075:B8586,0)),"")</f>
        <v>NAD83(2011) / Alaska zone 10</v>
      </c>
    </row>
    <row r="3076" spans="1:3" x14ac:dyDescent="0.3">
      <c r="A3076" t="s">
        <v>3133</v>
      </c>
      <c r="B3076">
        <f>IF(ISNUMBER(SEARCH(Form!$C$11,Tabel2[[#This Row],[Coordinate Projection System]])),MAX($B$1:B3075)+1,0)</f>
        <v>3075</v>
      </c>
      <c r="C3076" t="str">
        <f t="shared" si="48"/>
        <v>NAD83(2011) / Arizona Central</v>
      </c>
    </row>
    <row r="3077" spans="1:3" x14ac:dyDescent="0.3">
      <c r="A3077" t="s">
        <v>3134</v>
      </c>
      <c r="B3077">
        <f>IF(ISNUMBER(SEARCH(Form!$C$11,Tabel2[[#This Row],[Coordinate Projection System]])),MAX($B$1:B3076)+1,0)</f>
        <v>3076</v>
      </c>
      <c r="C3077" t="str">
        <f t="shared" si="48"/>
        <v>NAD83(2011) / Arizona Central (ft)</v>
      </c>
    </row>
    <row r="3078" spans="1:3" x14ac:dyDescent="0.3">
      <c r="A3078" t="s">
        <v>3135</v>
      </c>
      <c r="B3078">
        <f>IF(ISNUMBER(SEARCH(Form!$C$11,Tabel2[[#This Row],[Coordinate Projection System]])),MAX($B$1:B3077)+1,0)</f>
        <v>3077</v>
      </c>
      <c r="C3078" t="str">
        <f t="shared" si="48"/>
        <v>NAD83(2011) / Arizona East</v>
      </c>
    </row>
    <row r="3079" spans="1:3" x14ac:dyDescent="0.3">
      <c r="A3079" t="s">
        <v>3136</v>
      </c>
      <c r="B3079">
        <f>IF(ISNUMBER(SEARCH(Form!$C$11,Tabel2[[#This Row],[Coordinate Projection System]])),MAX($B$1:B3078)+1,0)</f>
        <v>3078</v>
      </c>
      <c r="C3079" t="str">
        <f t="shared" si="48"/>
        <v>NAD83(2011) / Arizona East (ft)</v>
      </c>
    </row>
    <row r="3080" spans="1:3" x14ac:dyDescent="0.3">
      <c r="A3080" t="s">
        <v>3137</v>
      </c>
      <c r="B3080">
        <f>IF(ISNUMBER(SEARCH(Form!$C$11,Tabel2[[#This Row],[Coordinate Projection System]])),MAX($B$1:B3079)+1,0)</f>
        <v>3079</v>
      </c>
      <c r="C3080" t="str">
        <f t="shared" si="48"/>
        <v>NAD83(2011) / Arizona West</v>
      </c>
    </row>
    <row r="3081" spans="1:3" x14ac:dyDescent="0.3">
      <c r="A3081" t="s">
        <v>3138</v>
      </c>
      <c r="B3081">
        <f>IF(ISNUMBER(SEARCH(Form!$C$11,Tabel2[[#This Row],[Coordinate Projection System]])),MAX($B$1:B3080)+1,0)</f>
        <v>3080</v>
      </c>
      <c r="C3081" t="str">
        <f t="shared" si="48"/>
        <v>NAD83(2011) / Arizona West (ft)</v>
      </c>
    </row>
    <row r="3082" spans="1:3" x14ac:dyDescent="0.3">
      <c r="A3082" t="s">
        <v>3139</v>
      </c>
      <c r="B3082">
        <f>IF(ISNUMBER(SEARCH(Form!$C$11,Tabel2[[#This Row],[Coordinate Projection System]])),MAX($B$1:B3081)+1,0)</f>
        <v>3081</v>
      </c>
      <c r="C3082" t="str">
        <f t="shared" si="48"/>
        <v>NAD83(2011) / Arkansas North</v>
      </c>
    </row>
    <row r="3083" spans="1:3" x14ac:dyDescent="0.3">
      <c r="A3083" t="s">
        <v>3140</v>
      </c>
      <c r="B3083">
        <f>IF(ISNUMBER(SEARCH(Form!$C$11,Tabel2[[#This Row],[Coordinate Projection System]])),MAX($B$1:B3082)+1,0)</f>
        <v>3082</v>
      </c>
      <c r="C3083" t="str">
        <f t="shared" si="48"/>
        <v>NAD83(2011) / Arkansas North (ftUS)</v>
      </c>
    </row>
    <row r="3084" spans="1:3" x14ac:dyDescent="0.3">
      <c r="A3084" t="s">
        <v>3141</v>
      </c>
      <c r="B3084">
        <f>IF(ISNUMBER(SEARCH(Form!$C$11,Tabel2[[#This Row],[Coordinate Projection System]])),MAX($B$1:B3083)+1,0)</f>
        <v>3083</v>
      </c>
      <c r="C3084" t="str">
        <f t="shared" si="48"/>
        <v>NAD83(2011) / Arkansas South</v>
      </c>
    </row>
    <row r="3085" spans="1:3" x14ac:dyDescent="0.3">
      <c r="A3085" t="s">
        <v>3142</v>
      </c>
      <c r="B3085">
        <f>IF(ISNUMBER(SEARCH(Form!$C$11,Tabel2[[#This Row],[Coordinate Projection System]])),MAX($B$1:B3084)+1,0)</f>
        <v>3084</v>
      </c>
      <c r="C3085" t="str">
        <f t="shared" si="48"/>
        <v>NAD83(2011) / Arkansas South (ftUS)</v>
      </c>
    </row>
    <row r="3086" spans="1:3" x14ac:dyDescent="0.3">
      <c r="A3086" t="s">
        <v>3143</v>
      </c>
      <c r="B3086">
        <f>IF(ISNUMBER(SEARCH(Form!$C$11,Tabel2[[#This Row],[Coordinate Projection System]])),MAX($B$1:B3085)+1,0)</f>
        <v>3085</v>
      </c>
      <c r="C3086" t="str">
        <f t="shared" si="48"/>
        <v>NAD83(2011) / California Albers</v>
      </c>
    </row>
    <row r="3087" spans="1:3" x14ac:dyDescent="0.3">
      <c r="A3087" t="s">
        <v>3144</v>
      </c>
      <c r="B3087">
        <f>IF(ISNUMBER(SEARCH(Form!$C$11,Tabel2[[#This Row],[Coordinate Projection System]])),MAX($B$1:B3086)+1,0)</f>
        <v>3086</v>
      </c>
      <c r="C3087" t="str">
        <f t="shared" si="48"/>
        <v>NAD83(2011) / California zone 1</v>
      </c>
    </row>
    <row r="3088" spans="1:3" x14ac:dyDescent="0.3">
      <c r="A3088" t="s">
        <v>3145</v>
      </c>
      <c r="B3088">
        <f>IF(ISNUMBER(SEARCH(Form!$C$11,Tabel2[[#This Row],[Coordinate Projection System]])),MAX($B$1:B3087)+1,0)</f>
        <v>3087</v>
      </c>
      <c r="C3088" t="str">
        <f t="shared" si="48"/>
        <v>NAD83(2011) / California zone 1 (ftUS)</v>
      </c>
    </row>
    <row r="3089" spans="1:3" x14ac:dyDescent="0.3">
      <c r="A3089" t="s">
        <v>3146</v>
      </c>
      <c r="B3089">
        <f>IF(ISNUMBER(SEARCH(Form!$C$11,Tabel2[[#This Row],[Coordinate Projection System]])),MAX($B$1:B3088)+1,0)</f>
        <v>3088</v>
      </c>
      <c r="C3089" t="str">
        <f t="shared" si="48"/>
        <v>NAD83(2011) / California zone 2</v>
      </c>
    </row>
    <row r="3090" spans="1:3" x14ac:dyDescent="0.3">
      <c r="A3090" t="s">
        <v>3147</v>
      </c>
      <c r="B3090">
        <f>IF(ISNUMBER(SEARCH(Form!$C$11,Tabel2[[#This Row],[Coordinate Projection System]])),MAX($B$1:B3089)+1,0)</f>
        <v>3089</v>
      </c>
      <c r="C3090" t="str">
        <f t="shared" si="48"/>
        <v>NAD83(2011) / California zone 2 (ftUS)</v>
      </c>
    </row>
    <row r="3091" spans="1:3" x14ac:dyDescent="0.3">
      <c r="A3091" t="s">
        <v>3148</v>
      </c>
      <c r="B3091">
        <f>IF(ISNUMBER(SEARCH(Form!$C$11,Tabel2[[#This Row],[Coordinate Projection System]])),MAX($B$1:B3090)+1,0)</f>
        <v>3090</v>
      </c>
      <c r="C3091" t="str">
        <f t="shared" si="48"/>
        <v>NAD83(2011) / California zone 3</v>
      </c>
    </row>
    <row r="3092" spans="1:3" x14ac:dyDescent="0.3">
      <c r="A3092" t="s">
        <v>3149</v>
      </c>
      <c r="B3092">
        <f>IF(ISNUMBER(SEARCH(Form!$C$11,Tabel2[[#This Row],[Coordinate Projection System]])),MAX($B$1:B3091)+1,0)</f>
        <v>3091</v>
      </c>
      <c r="C3092" t="str">
        <f t="shared" si="48"/>
        <v>NAD83(2011) / California zone 3 (ftUS)</v>
      </c>
    </row>
    <row r="3093" spans="1:3" x14ac:dyDescent="0.3">
      <c r="A3093" t="s">
        <v>3150</v>
      </c>
      <c r="B3093">
        <f>IF(ISNUMBER(SEARCH(Form!$C$11,Tabel2[[#This Row],[Coordinate Projection System]])),MAX($B$1:B3092)+1,0)</f>
        <v>3092</v>
      </c>
      <c r="C3093" t="str">
        <f t="shared" si="48"/>
        <v>NAD83(2011) / California zone 4</v>
      </c>
    </row>
    <row r="3094" spans="1:3" x14ac:dyDescent="0.3">
      <c r="A3094" t="s">
        <v>3151</v>
      </c>
      <c r="B3094">
        <f>IF(ISNUMBER(SEARCH(Form!$C$11,Tabel2[[#This Row],[Coordinate Projection System]])),MAX($B$1:B3093)+1,0)</f>
        <v>3093</v>
      </c>
      <c r="C3094" t="str">
        <f t="shared" si="48"/>
        <v>NAD83(2011) / California zone 4 (ftUS)</v>
      </c>
    </row>
    <row r="3095" spans="1:3" x14ac:dyDescent="0.3">
      <c r="A3095" t="s">
        <v>3152</v>
      </c>
      <c r="B3095">
        <f>IF(ISNUMBER(SEARCH(Form!$C$11,Tabel2[[#This Row],[Coordinate Projection System]])),MAX($B$1:B3094)+1,0)</f>
        <v>3094</v>
      </c>
      <c r="C3095" t="str">
        <f t="shared" si="48"/>
        <v>NAD83(2011) / California zone 5</v>
      </c>
    </row>
    <row r="3096" spans="1:3" x14ac:dyDescent="0.3">
      <c r="A3096" t="s">
        <v>3153</v>
      </c>
      <c r="B3096">
        <f>IF(ISNUMBER(SEARCH(Form!$C$11,Tabel2[[#This Row],[Coordinate Projection System]])),MAX($B$1:B3095)+1,0)</f>
        <v>3095</v>
      </c>
      <c r="C3096" t="str">
        <f t="shared" si="48"/>
        <v>NAD83(2011) / California zone 5 (ftUS)</v>
      </c>
    </row>
    <row r="3097" spans="1:3" x14ac:dyDescent="0.3">
      <c r="A3097" t="s">
        <v>3154</v>
      </c>
      <c r="B3097">
        <f>IF(ISNUMBER(SEARCH(Form!$C$11,Tabel2[[#This Row],[Coordinate Projection System]])),MAX($B$1:B3096)+1,0)</f>
        <v>3096</v>
      </c>
      <c r="C3097" t="str">
        <f t="shared" si="48"/>
        <v>NAD83(2011) / California zone 6</v>
      </c>
    </row>
    <row r="3098" spans="1:3" x14ac:dyDescent="0.3">
      <c r="A3098" t="s">
        <v>3155</v>
      </c>
      <c r="B3098">
        <f>IF(ISNUMBER(SEARCH(Form!$C$11,Tabel2[[#This Row],[Coordinate Projection System]])),MAX($B$1:B3097)+1,0)</f>
        <v>3097</v>
      </c>
      <c r="C3098" t="str">
        <f t="shared" si="48"/>
        <v>NAD83(2011) / California zone 6 (ftUS)</v>
      </c>
    </row>
    <row r="3099" spans="1:3" x14ac:dyDescent="0.3">
      <c r="A3099" t="s">
        <v>3156</v>
      </c>
      <c r="B3099">
        <f>IF(ISNUMBER(SEARCH(Form!$C$11,Tabel2[[#This Row],[Coordinate Projection System]])),MAX($B$1:B3098)+1,0)</f>
        <v>3098</v>
      </c>
      <c r="C3099" t="str">
        <f t="shared" si="48"/>
        <v>NAD83(2011) / Colorado Central</v>
      </c>
    </row>
    <row r="3100" spans="1:3" x14ac:dyDescent="0.3">
      <c r="A3100" t="s">
        <v>3157</v>
      </c>
      <c r="B3100">
        <f>IF(ISNUMBER(SEARCH(Form!$C$11,Tabel2[[#This Row],[Coordinate Projection System]])),MAX($B$1:B3099)+1,0)</f>
        <v>3099</v>
      </c>
      <c r="C3100" t="str">
        <f t="shared" si="48"/>
        <v>NAD83(2011) / Colorado Central (ftUS)</v>
      </c>
    </row>
    <row r="3101" spans="1:3" x14ac:dyDescent="0.3">
      <c r="A3101" t="s">
        <v>3158</v>
      </c>
      <c r="B3101">
        <f>IF(ISNUMBER(SEARCH(Form!$C$11,Tabel2[[#This Row],[Coordinate Projection System]])),MAX($B$1:B3100)+1,0)</f>
        <v>3100</v>
      </c>
      <c r="C3101" t="str">
        <f t="shared" si="48"/>
        <v>NAD83(2011) / Colorado North</v>
      </c>
    </row>
    <row r="3102" spans="1:3" x14ac:dyDescent="0.3">
      <c r="A3102" t="s">
        <v>3159</v>
      </c>
      <c r="B3102">
        <f>IF(ISNUMBER(SEARCH(Form!$C$11,Tabel2[[#This Row],[Coordinate Projection System]])),MAX($B$1:B3101)+1,0)</f>
        <v>3101</v>
      </c>
      <c r="C3102" t="str">
        <f t="shared" si="48"/>
        <v>NAD83(2011) / Colorado North (ftUS)</v>
      </c>
    </row>
    <row r="3103" spans="1:3" x14ac:dyDescent="0.3">
      <c r="A3103" t="s">
        <v>3160</v>
      </c>
      <c r="B3103">
        <f>IF(ISNUMBER(SEARCH(Form!$C$11,Tabel2[[#This Row],[Coordinate Projection System]])),MAX($B$1:B3102)+1,0)</f>
        <v>3102</v>
      </c>
      <c r="C3103" t="str">
        <f t="shared" si="48"/>
        <v>NAD83(2011) / Colorado South</v>
      </c>
    </row>
    <row r="3104" spans="1:3" x14ac:dyDescent="0.3">
      <c r="A3104" t="s">
        <v>3161</v>
      </c>
      <c r="B3104">
        <f>IF(ISNUMBER(SEARCH(Form!$C$11,Tabel2[[#This Row],[Coordinate Projection System]])),MAX($B$1:B3103)+1,0)</f>
        <v>3103</v>
      </c>
      <c r="C3104" t="str">
        <f t="shared" si="48"/>
        <v>NAD83(2011) / Colorado South (ftUS)</v>
      </c>
    </row>
    <row r="3105" spans="1:3" x14ac:dyDescent="0.3">
      <c r="A3105" t="s">
        <v>3162</v>
      </c>
      <c r="B3105">
        <f>IF(ISNUMBER(SEARCH(Form!$C$11,Tabel2[[#This Row],[Coordinate Projection System]])),MAX($B$1:B3104)+1,0)</f>
        <v>3104</v>
      </c>
      <c r="C3105" t="str">
        <f t="shared" si="48"/>
        <v>NAD83(2011) / Connecticut</v>
      </c>
    </row>
    <row r="3106" spans="1:3" x14ac:dyDescent="0.3">
      <c r="A3106" t="s">
        <v>3163</v>
      </c>
      <c r="B3106">
        <f>IF(ISNUMBER(SEARCH(Form!$C$11,Tabel2[[#This Row],[Coordinate Projection System]])),MAX($B$1:B3105)+1,0)</f>
        <v>3105</v>
      </c>
      <c r="C3106" t="str">
        <f t="shared" si="48"/>
        <v>NAD83(2011) / Connecticut (ftUS)</v>
      </c>
    </row>
    <row r="3107" spans="1:3" x14ac:dyDescent="0.3">
      <c r="A3107" t="s">
        <v>3164</v>
      </c>
      <c r="B3107">
        <f>IF(ISNUMBER(SEARCH(Form!$C$11,Tabel2[[#This Row],[Coordinate Projection System]])),MAX($B$1:B3106)+1,0)</f>
        <v>3106</v>
      </c>
      <c r="C3107" t="str">
        <f t="shared" si="48"/>
        <v>NAD83(2011) / Delaware</v>
      </c>
    </row>
    <row r="3108" spans="1:3" x14ac:dyDescent="0.3">
      <c r="A3108" t="s">
        <v>3165</v>
      </c>
      <c r="B3108">
        <f>IF(ISNUMBER(SEARCH(Form!$C$11,Tabel2[[#This Row],[Coordinate Projection System]])),MAX($B$1:B3107)+1,0)</f>
        <v>3107</v>
      </c>
      <c r="C3108" t="str">
        <f t="shared" si="48"/>
        <v>NAD83(2011) / Delaware (ftUS)</v>
      </c>
    </row>
    <row r="3109" spans="1:3" x14ac:dyDescent="0.3">
      <c r="A3109" t="s">
        <v>3166</v>
      </c>
      <c r="B3109">
        <f>IF(ISNUMBER(SEARCH(Form!$C$11,Tabel2[[#This Row],[Coordinate Projection System]])),MAX($B$1:B3108)+1,0)</f>
        <v>3108</v>
      </c>
      <c r="C3109" t="str">
        <f t="shared" si="48"/>
        <v>NAD83(2011) / Florida East</v>
      </c>
    </row>
    <row r="3110" spans="1:3" x14ac:dyDescent="0.3">
      <c r="A3110" t="s">
        <v>3167</v>
      </c>
      <c r="B3110">
        <f>IF(ISNUMBER(SEARCH(Form!$C$11,Tabel2[[#This Row],[Coordinate Projection System]])),MAX($B$1:B3109)+1,0)</f>
        <v>3109</v>
      </c>
      <c r="C3110" t="str">
        <f t="shared" si="48"/>
        <v>NAD83(2011) / Florida East (ftUS)</v>
      </c>
    </row>
    <row r="3111" spans="1:3" x14ac:dyDescent="0.3">
      <c r="A3111" t="s">
        <v>3168</v>
      </c>
      <c r="B3111">
        <f>IF(ISNUMBER(SEARCH(Form!$C$11,Tabel2[[#This Row],[Coordinate Projection System]])),MAX($B$1:B3110)+1,0)</f>
        <v>3110</v>
      </c>
      <c r="C3111" t="str">
        <f t="shared" si="48"/>
        <v>NAD83(2011) / Florida GDL Albers</v>
      </c>
    </row>
    <row r="3112" spans="1:3" x14ac:dyDescent="0.3">
      <c r="A3112" t="s">
        <v>3169</v>
      </c>
      <c r="B3112">
        <f>IF(ISNUMBER(SEARCH(Form!$C$11,Tabel2[[#This Row],[Coordinate Projection System]])),MAX($B$1:B3111)+1,0)</f>
        <v>3111</v>
      </c>
      <c r="C3112" t="str">
        <f t="shared" si="48"/>
        <v>NAD83(2011) / Florida North</v>
      </c>
    </row>
    <row r="3113" spans="1:3" x14ac:dyDescent="0.3">
      <c r="A3113" t="s">
        <v>3170</v>
      </c>
      <c r="B3113">
        <f>IF(ISNUMBER(SEARCH(Form!$C$11,Tabel2[[#This Row],[Coordinate Projection System]])),MAX($B$1:B3112)+1,0)</f>
        <v>3112</v>
      </c>
      <c r="C3113" t="str">
        <f t="shared" si="48"/>
        <v>NAD83(2011) / Florida North (ftUS)</v>
      </c>
    </row>
    <row r="3114" spans="1:3" x14ac:dyDescent="0.3">
      <c r="A3114" t="s">
        <v>3171</v>
      </c>
      <c r="B3114">
        <f>IF(ISNUMBER(SEARCH(Form!$C$11,Tabel2[[#This Row],[Coordinate Projection System]])),MAX($B$1:B3113)+1,0)</f>
        <v>3113</v>
      </c>
      <c r="C3114" t="str">
        <f t="shared" si="48"/>
        <v>NAD83(2011) / Florida West</v>
      </c>
    </row>
    <row r="3115" spans="1:3" x14ac:dyDescent="0.3">
      <c r="A3115" t="s">
        <v>3172</v>
      </c>
      <c r="B3115">
        <f>IF(ISNUMBER(SEARCH(Form!$C$11,Tabel2[[#This Row],[Coordinate Projection System]])),MAX($B$1:B3114)+1,0)</f>
        <v>3114</v>
      </c>
      <c r="C3115" t="str">
        <f t="shared" si="48"/>
        <v>NAD83(2011) / Florida West (ftUS)</v>
      </c>
    </row>
    <row r="3116" spans="1:3" x14ac:dyDescent="0.3">
      <c r="A3116" t="s">
        <v>3173</v>
      </c>
      <c r="B3116">
        <f>IF(ISNUMBER(SEARCH(Form!$C$11,Tabel2[[#This Row],[Coordinate Projection System]])),MAX($B$1:B3115)+1,0)</f>
        <v>3115</v>
      </c>
      <c r="C3116" t="str">
        <f t="shared" si="48"/>
        <v>NAD83(2011) / Georgia East</v>
      </c>
    </row>
    <row r="3117" spans="1:3" x14ac:dyDescent="0.3">
      <c r="A3117" t="s">
        <v>3174</v>
      </c>
      <c r="B3117">
        <f>IF(ISNUMBER(SEARCH(Form!$C$11,Tabel2[[#This Row],[Coordinate Projection System]])),MAX($B$1:B3116)+1,0)</f>
        <v>3116</v>
      </c>
      <c r="C3117" t="str">
        <f t="shared" si="48"/>
        <v>NAD83(2011) / Georgia East (ftUS)</v>
      </c>
    </row>
    <row r="3118" spans="1:3" x14ac:dyDescent="0.3">
      <c r="A3118" t="s">
        <v>3175</v>
      </c>
      <c r="B3118">
        <f>IF(ISNUMBER(SEARCH(Form!$C$11,Tabel2[[#This Row],[Coordinate Projection System]])),MAX($B$1:B3117)+1,0)</f>
        <v>3117</v>
      </c>
      <c r="C3118" t="str">
        <f t="shared" si="48"/>
        <v>NAD83(2011) / Georgia West</v>
      </c>
    </row>
    <row r="3119" spans="1:3" x14ac:dyDescent="0.3">
      <c r="A3119" t="s">
        <v>3176</v>
      </c>
      <c r="B3119">
        <f>IF(ISNUMBER(SEARCH(Form!$C$11,Tabel2[[#This Row],[Coordinate Projection System]])),MAX($B$1:B3118)+1,0)</f>
        <v>3118</v>
      </c>
      <c r="C3119" t="str">
        <f t="shared" si="48"/>
        <v>NAD83(2011) / Georgia West (ftUS)</v>
      </c>
    </row>
    <row r="3120" spans="1:3" x14ac:dyDescent="0.3">
      <c r="A3120" t="s">
        <v>3177</v>
      </c>
      <c r="B3120">
        <f>IF(ISNUMBER(SEARCH(Form!$C$11,Tabel2[[#This Row],[Coordinate Projection System]])),MAX($B$1:B3119)+1,0)</f>
        <v>3119</v>
      </c>
      <c r="C3120" t="str">
        <f t="shared" si="48"/>
        <v>NAD83(2011) / Idaho Central</v>
      </c>
    </row>
    <row r="3121" spans="1:3" x14ac:dyDescent="0.3">
      <c r="A3121" t="s">
        <v>3178</v>
      </c>
      <c r="B3121">
        <f>IF(ISNUMBER(SEARCH(Form!$C$11,Tabel2[[#This Row],[Coordinate Projection System]])),MAX($B$1:B3120)+1,0)</f>
        <v>3120</v>
      </c>
      <c r="C3121" t="str">
        <f t="shared" si="48"/>
        <v>NAD83(2011) / Idaho Central (ftUS)</v>
      </c>
    </row>
    <row r="3122" spans="1:3" x14ac:dyDescent="0.3">
      <c r="A3122" t="s">
        <v>3179</v>
      </c>
      <c r="B3122">
        <f>IF(ISNUMBER(SEARCH(Form!$C$11,Tabel2[[#This Row],[Coordinate Projection System]])),MAX($B$1:B3121)+1,0)</f>
        <v>3121</v>
      </c>
      <c r="C3122" t="str">
        <f t="shared" si="48"/>
        <v>NAD83(2011) / Idaho East</v>
      </c>
    </row>
    <row r="3123" spans="1:3" x14ac:dyDescent="0.3">
      <c r="A3123" t="s">
        <v>3180</v>
      </c>
      <c r="B3123">
        <f>IF(ISNUMBER(SEARCH(Form!$C$11,Tabel2[[#This Row],[Coordinate Projection System]])),MAX($B$1:B3122)+1,0)</f>
        <v>3122</v>
      </c>
      <c r="C3123" t="str">
        <f t="shared" si="48"/>
        <v>NAD83(2011) / Idaho East (ftUS)</v>
      </c>
    </row>
    <row r="3124" spans="1:3" x14ac:dyDescent="0.3">
      <c r="A3124" t="s">
        <v>3181</v>
      </c>
      <c r="B3124">
        <f>IF(ISNUMBER(SEARCH(Form!$C$11,Tabel2[[#This Row],[Coordinate Projection System]])),MAX($B$1:B3123)+1,0)</f>
        <v>3123</v>
      </c>
      <c r="C3124" t="str">
        <f t="shared" si="48"/>
        <v>NAD83(2011) / Idaho West</v>
      </c>
    </row>
    <row r="3125" spans="1:3" x14ac:dyDescent="0.3">
      <c r="A3125" t="s">
        <v>3182</v>
      </c>
      <c r="B3125">
        <f>IF(ISNUMBER(SEARCH(Form!$C$11,Tabel2[[#This Row],[Coordinate Projection System]])),MAX($B$1:B3124)+1,0)</f>
        <v>3124</v>
      </c>
      <c r="C3125" t="str">
        <f t="shared" si="48"/>
        <v>NAD83(2011) / Idaho West (ftUS)</v>
      </c>
    </row>
    <row r="3126" spans="1:3" x14ac:dyDescent="0.3">
      <c r="A3126" t="s">
        <v>3183</v>
      </c>
      <c r="B3126">
        <f>IF(ISNUMBER(SEARCH(Form!$C$11,Tabel2[[#This Row],[Coordinate Projection System]])),MAX($B$1:B3125)+1,0)</f>
        <v>3125</v>
      </c>
      <c r="C3126" t="str">
        <f t="shared" si="48"/>
        <v>NAD83(2011) / Illinois East</v>
      </c>
    </row>
    <row r="3127" spans="1:3" x14ac:dyDescent="0.3">
      <c r="A3127" t="s">
        <v>3184</v>
      </c>
      <c r="B3127">
        <f>IF(ISNUMBER(SEARCH(Form!$C$11,Tabel2[[#This Row],[Coordinate Projection System]])),MAX($B$1:B3126)+1,0)</f>
        <v>3126</v>
      </c>
      <c r="C3127" t="str">
        <f t="shared" si="48"/>
        <v>NAD83(2011) / Illinois East (ftUS)</v>
      </c>
    </row>
    <row r="3128" spans="1:3" x14ac:dyDescent="0.3">
      <c r="A3128" t="s">
        <v>3185</v>
      </c>
      <c r="B3128">
        <f>IF(ISNUMBER(SEARCH(Form!$C$11,Tabel2[[#This Row],[Coordinate Projection System]])),MAX($B$1:B3127)+1,0)</f>
        <v>3127</v>
      </c>
      <c r="C3128" t="str">
        <f t="shared" si="48"/>
        <v>NAD83(2011) / Illinois West</v>
      </c>
    </row>
    <row r="3129" spans="1:3" x14ac:dyDescent="0.3">
      <c r="A3129" t="s">
        <v>3186</v>
      </c>
      <c r="B3129">
        <f>IF(ISNUMBER(SEARCH(Form!$C$11,Tabel2[[#This Row],[Coordinate Projection System]])),MAX($B$1:B3128)+1,0)</f>
        <v>3128</v>
      </c>
      <c r="C3129" t="str">
        <f t="shared" si="48"/>
        <v>NAD83(2011) / Illinois West (ftUS)</v>
      </c>
    </row>
    <row r="3130" spans="1:3" x14ac:dyDescent="0.3">
      <c r="A3130" t="s">
        <v>3187</v>
      </c>
      <c r="B3130">
        <f>IF(ISNUMBER(SEARCH(Form!$C$11,Tabel2[[#This Row],[Coordinate Projection System]])),MAX($B$1:B3129)+1,0)</f>
        <v>3129</v>
      </c>
      <c r="C3130" t="str">
        <f t="shared" si="48"/>
        <v>NAD83(2011) / Indiana East</v>
      </c>
    </row>
    <row r="3131" spans="1:3" x14ac:dyDescent="0.3">
      <c r="A3131" t="s">
        <v>3188</v>
      </c>
      <c r="B3131">
        <f>IF(ISNUMBER(SEARCH(Form!$C$11,Tabel2[[#This Row],[Coordinate Projection System]])),MAX($B$1:B3130)+1,0)</f>
        <v>3130</v>
      </c>
      <c r="C3131" t="str">
        <f t="shared" si="48"/>
        <v>NAD83(2011) / Indiana East (ftUS)</v>
      </c>
    </row>
    <row r="3132" spans="1:3" x14ac:dyDescent="0.3">
      <c r="A3132" t="s">
        <v>3189</v>
      </c>
      <c r="B3132">
        <f>IF(ISNUMBER(SEARCH(Form!$C$11,Tabel2[[#This Row],[Coordinate Projection System]])),MAX($B$1:B3131)+1,0)</f>
        <v>3131</v>
      </c>
      <c r="C3132" t="str">
        <f t="shared" si="48"/>
        <v>NAD83(2011) / Indiana West</v>
      </c>
    </row>
    <row r="3133" spans="1:3" x14ac:dyDescent="0.3">
      <c r="A3133" t="s">
        <v>3190</v>
      </c>
      <c r="B3133">
        <f>IF(ISNUMBER(SEARCH(Form!$C$11,Tabel2[[#This Row],[Coordinate Projection System]])),MAX($B$1:B3132)+1,0)</f>
        <v>3132</v>
      </c>
      <c r="C3133" t="str">
        <f t="shared" si="48"/>
        <v>NAD83(2011) / Indiana West (ftUS)</v>
      </c>
    </row>
    <row r="3134" spans="1:3" x14ac:dyDescent="0.3">
      <c r="A3134" t="s">
        <v>3191</v>
      </c>
      <c r="B3134">
        <f>IF(ISNUMBER(SEARCH(Form!$C$11,Tabel2[[#This Row],[Coordinate Projection System]])),MAX($B$1:B3133)+1,0)</f>
        <v>3133</v>
      </c>
      <c r="C3134" t="str">
        <f t="shared" si="48"/>
        <v>NAD83(2011) / Iowa North</v>
      </c>
    </row>
    <row r="3135" spans="1:3" x14ac:dyDescent="0.3">
      <c r="A3135" t="s">
        <v>3192</v>
      </c>
      <c r="B3135">
        <f>IF(ISNUMBER(SEARCH(Form!$C$11,Tabel2[[#This Row],[Coordinate Projection System]])),MAX($B$1:B3134)+1,0)</f>
        <v>3134</v>
      </c>
      <c r="C3135" t="str">
        <f t="shared" si="48"/>
        <v>NAD83(2011) / Iowa North (ftUS)</v>
      </c>
    </row>
    <row r="3136" spans="1:3" x14ac:dyDescent="0.3">
      <c r="A3136" t="s">
        <v>3193</v>
      </c>
      <c r="B3136">
        <f>IF(ISNUMBER(SEARCH(Form!$C$11,Tabel2[[#This Row],[Coordinate Projection System]])),MAX($B$1:B3135)+1,0)</f>
        <v>3135</v>
      </c>
      <c r="C3136" t="str">
        <f t="shared" si="48"/>
        <v>NAD83(2011) / Iowa South</v>
      </c>
    </row>
    <row r="3137" spans="1:3" x14ac:dyDescent="0.3">
      <c r="A3137" t="s">
        <v>3194</v>
      </c>
      <c r="B3137">
        <f>IF(ISNUMBER(SEARCH(Form!$C$11,Tabel2[[#This Row],[Coordinate Projection System]])),MAX($B$1:B3136)+1,0)</f>
        <v>3136</v>
      </c>
      <c r="C3137" t="str">
        <f t="shared" si="48"/>
        <v>NAD83(2011) / Iowa South (ftUS)</v>
      </c>
    </row>
    <row r="3138" spans="1:3" x14ac:dyDescent="0.3">
      <c r="A3138" t="s">
        <v>3195</v>
      </c>
      <c r="B3138">
        <f>IF(ISNUMBER(SEARCH(Form!$C$11,Tabel2[[#This Row],[Coordinate Projection System]])),MAX($B$1:B3137)+1,0)</f>
        <v>3137</v>
      </c>
      <c r="C3138" t="str">
        <f t="shared" si="48"/>
        <v>NAD83(2011) / Kansas North</v>
      </c>
    </row>
    <row r="3139" spans="1:3" x14ac:dyDescent="0.3">
      <c r="A3139" t="s">
        <v>3196</v>
      </c>
      <c r="B3139">
        <f>IF(ISNUMBER(SEARCH(Form!$C$11,Tabel2[[#This Row],[Coordinate Projection System]])),MAX($B$1:B3138)+1,0)</f>
        <v>3138</v>
      </c>
      <c r="C3139" t="str">
        <f t="shared" ref="C3139:C3202" si="49">_xlfn.IFNA(INDEX(A3139:A8650,MATCH(ROW(C3138),B3139:B8650,0)),"")</f>
        <v>NAD83(2011) / Kansas North (ftUS)</v>
      </c>
    </row>
    <row r="3140" spans="1:3" x14ac:dyDescent="0.3">
      <c r="A3140" t="s">
        <v>3197</v>
      </c>
      <c r="B3140">
        <f>IF(ISNUMBER(SEARCH(Form!$C$11,Tabel2[[#This Row],[Coordinate Projection System]])),MAX($B$1:B3139)+1,0)</f>
        <v>3139</v>
      </c>
      <c r="C3140" t="str">
        <f t="shared" si="49"/>
        <v>NAD83(2011) / Kansas South</v>
      </c>
    </row>
    <row r="3141" spans="1:3" x14ac:dyDescent="0.3">
      <c r="A3141" t="s">
        <v>3198</v>
      </c>
      <c r="B3141">
        <f>IF(ISNUMBER(SEARCH(Form!$C$11,Tabel2[[#This Row],[Coordinate Projection System]])),MAX($B$1:B3140)+1,0)</f>
        <v>3140</v>
      </c>
      <c r="C3141" t="str">
        <f t="shared" si="49"/>
        <v>NAD83(2011) / Kansas South (ftUS)</v>
      </c>
    </row>
    <row r="3142" spans="1:3" x14ac:dyDescent="0.3">
      <c r="A3142" t="s">
        <v>3199</v>
      </c>
      <c r="B3142">
        <f>IF(ISNUMBER(SEARCH(Form!$C$11,Tabel2[[#This Row],[Coordinate Projection System]])),MAX($B$1:B3141)+1,0)</f>
        <v>3141</v>
      </c>
      <c r="C3142" t="str">
        <f t="shared" si="49"/>
        <v>NAD83(2011) / Kentucky North</v>
      </c>
    </row>
    <row r="3143" spans="1:3" x14ac:dyDescent="0.3">
      <c r="A3143" t="s">
        <v>3200</v>
      </c>
      <c r="B3143">
        <f>IF(ISNUMBER(SEARCH(Form!$C$11,Tabel2[[#This Row],[Coordinate Projection System]])),MAX($B$1:B3142)+1,0)</f>
        <v>3142</v>
      </c>
      <c r="C3143" t="str">
        <f t="shared" si="49"/>
        <v>NAD83(2011) / Kentucky North (ftUS)</v>
      </c>
    </row>
    <row r="3144" spans="1:3" x14ac:dyDescent="0.3">
      <c r="A3144" t="s">
        <v>3201</v>
      </c>
      <c r="B3144">
        <f>IF(ISNUMBER(SEARCH(Form!$C$11,Tabel2[[#This Row],[Coordinate Projection System]])),MAX($B$1:B3143)+1,0)</f>
        <v>3143</v>
      </c>
      <c r="C3144" t="str">
        <f t="shared" si="49"/>
        <v>NAD83(2011) / Kentucky Single Zone</v>
      </c>
    </row>
    <row r="3145" spans="1:3" x14ac:dyDescent="0.3">
      <c r="A3145" t="s">
        <v>3202</v>
      </c>
      <c r="B3145">
        <f>IF(ISNUMBER(SEARCH(Form!$C$11,Tabel2[[#This Row],[Coordinate Projection System]])),MAX($B$1:B3144)+1,0)</f>
        <v>3144</v>
      </c>
      <c r="C3145" t="str">
        <f t="shared" si="49"/>
        <v>NAD83(2011) / Kentucky Single Zone (ftUS)</v>
      </c>
    </row>
    <row r="3146" spans="1:3" x14ac:dyDescent="0.3">
      <c r="A3146" t="s">
        <v>3203</v>
      </c>
      <c r="B3146">
        <f>IF(ISNUMBER(SEARCH(Form!$C$11,Tabel2[[#This Row],[Coordinate Projection System]])),MAX($B$1:B3145)+1,0)</f>
        <v>3145</v>
      </c>
      <c r="C3146" t="str">
        <f t="shared" si="49"/>
        <v>NAD83(2011) / Kentucky South</v>
      </c>
    </row>
    <row r="3147" spans="1:3" x14ac:dyDescent="0.3">
      <c r="A3147" t="s">
        <v>3204</v>
      </c>
      <c r="B3147">
        <f>IF(ISNUMBER(SEARCH(Form!$C$11,Tabel2[[#This Row],[Coordinate Projection System]])),MAX($B$1:B3146)+1,0)</f>
        <v>3146</v>
      </c>
      <c r="C3147" t="str">
        <f t="shared" si="49"/>
        <v>NAD83(2011) / Kentucky South (ftUS)</v>
      </c>
    </row>
    <row r="3148" spans="1:3" x14ac:dyDescent="0.3">
      <c r="A3148" t="s">
        <v>3205</v>
      </c>
      <c r="B3148">
        <f>IF(ISNUMBER(SEARCH(Form!$C$11,Tabel2[[#This Row],[Coordinate Projection System]])),MAX($B$1:B3147)+1,0)</f>
        <v>3147</v>
      </c>
      <c r="C3148" t="str">
        <f t="shared" si="49"/>
        <v>NAD83(2011) / Louisiana North</v>
      </c>
    </row>
    <row r="3149" spans="1:3" x14ac:dyDescent="0.3">
      <c r="A3149" t="s">
        <v>3206</v>
      </c>
      <c r="B3149">
        <f>IF(ISNUMBER(SEARCH(Form!$C$11,Tabel2[[#This Row],[Coordinate Projection System]])),MAX($B$1:B3148)+1,0)</f>
        <v>3148</v>
      </c>
      <c r="C3149" t="str">
        <f t="shared" si="49"/>
        <v>NAD83(2011) / Louisiana North (ftUS)</v>
      </c>
    </row>
    <row r="3150" spans="1:3" x14ac:dyDescent="0.3">
      <c r="A3150" t="s">
        <v>3207</v>
      </c>
      <c r="B3150">
        <f>IF(ISNUMBER(SEARCH(Form!$C$11,Tabel2[[#This Row],[Coordinate Projection System]])),MAX($B$1:B3149)+1,0)</f>
        <v>3149</v>
      </c>
      <c r="C3150" t="str">
        <f t="shared" si="49"/>
        <v>NAD83(2011) / Louisiana South</v>
      </c>
    </row>
    <row r="3151" spans="1:3" x14ac:dyDescent="0.3">
      <c r="A3151" t="s">
        <v>3208</v>
      </c>
      <c r="B3151">
        <f>IF(ISNUMBER(SEARCH(Form!$C$11,Tabel2[[#This Row],[Coordinate Projection System]])),MAX($B$1:B3150)+1,0)</f>
        <v>3150</v>
      </c>
      <c r="C3151" t="str">
        <f t="shared" si="49"/>
        <v>NAD83(2011) / Louisiana South (ftUS)</v>
      </c>
    </row>
    <row r="3152" spans="1:3" x14ac:dyDescent="0.3">
      <c r="A3152" t="s">
        <v>3209</v>
      </c>
      <c r="B3152">
        <f>IF(ISNUMBER(SEARCH(Form!$C$11,Tabel2[[#This Row],[Coordinate Projection System]])),MAX($B$1:B3151)+1,0)</f>
        <v>3151</v>
      </c>
      <c r="C3152" t="str">
        <f t="shared" si="49"/>
        <v>NAD83(2011) / Maine CS2000 Central</v>
      </c>
    </row>
    <row r="3153" spans="1:3" x14ac:dyDescent="0.3">
      <c r="A3153" t="s">
        <v>3210</v>
      </c>
      <c r="B3153">
        <f>IF(ISNUMBER(SEARCH(Form!$C$11,Tabel2[[#This Row],[Coordinate Projection System]])),MAX($B$1:B3152)+1,0)</f>
        <v>3152</v>
      </c>
      <c r="C3153" t="str">
        <f t="shared" si="49"/>
        <v>NAD83(2011) / Maine CS2000 East</v>
      </c>
    </row>
    <row r="3154" spans="1:3" x14ac:dyDescent="0.3">
      <c r="A3154" t="s">
        <v>3211</v>
      </c>
      <c r="B3154">
        <f>IF(ISNUMBER(SEARCH(Form!$C$11,Tabel2[[#This Row],[Coordinate Projection System]])),MAX($B$1:B3153)+1,0)</f>
        <v>3153</v>
      </c>
      <c r="C3154" t="str">
        <f t="shared" si="49"/>
        <v>NAD83(2011) / Maine CS2000 West</v>
      </c>
    </row>
    <row r="3155" spans="1:3" x14ac:dyDescent="0.3">
      <c r="A3155" t="s">
        <v>3212</v>
      </c>
      <c r="B3155">
        <f>IF(ISNUMBER(SEARCH(Form!$C$11,Tabel2[[#This Row],[Coordinate Projection System]])),MAX($B$1:B3154)+1,0)</f>
        <v>3154</v>
      </c>
      <c r="C3155" t="str">
        <f t="shared" si="49"/>
        <v>NAD83(2011) / Maine East</v>
      </c>
    </row>
    <row r="3156" spans="1:3" x14ac:dyDescent="0.3">
      <c r="A3156" t="s">
        <v>3213</v>
      </c>
      <c r="B3156">
        <f>IF(ISNUMBER(SEARCH(Form!$C$11,Tabel2[[#This Row],[Coordinate Projection System]])),MAX($B$1:B3155)+1,0)</f>
        <v>3155</v>
      </c>
      <c r="C3156" t="str">
        <f t="shared" si="49"/>
        <v>NAD83(2011) / Maine East (ftUS)</v>
      </c>
    </row>
    <row r="3157" spans="1:3" x14ac:dyDescent="0.3">
      <c r="A3157" t="s">
        <v>3214</v>
      </c>
      <c r="B3157">
        <f>IF(ISNUMBER(SEARCH(Form!$C$11,Tabel2[[#This Row],[Coordinate Projection System]])),MAX($B$1:B3156)+1,0)</f>
        <v>3156</v>
      </c>
      <c r="C3157" t="str">
        <f t="shared" si="49"/>
        <v>NAD83(2011) / Maine West</v>
      </c>
    </row>
    <row r="3158" spans="1:3" x14ac:dyDescent="0.3">
      <c r="A3158" t="s">
        <v>3215</v>
      </c>
      <c r="B3158">
        <f>IF(ISNUMBER(SEARCH(Form!$C$11,Tabel2[[#This Row],[Coordinate Projection System]])),MAX($B$1:B3157)+1,0)</f>
        <v>3157</v>
      </c>
      <c r="C3158" t="str">
        <f t="shared" si="49"/>
        <v>NAD83(2011) / Maine West (ftUS)</v>
      </c>
    </row>
    <row r="3159" spans="1:3" x14ac:dyDescent="0.3">
      <c r="A3159" t="s">
        <v>3216</v>
      </c>
      <c r="B3159">
        <f>IF(ISNUMBER(SEARCH(Form!$C$11,Tabel2[[#This Row],[Coordinate Projection System]])),MAX($B$1:B3158)+1,0)</f>
        <v>3158</v>
      </c>
      <c r="C3159" t="str">
        <f t="shared" si="49"/>
        <v>NAD83(2011) / Maryland</v>
      </c>
    </row>
    <row r="3160" spans="1:3" x14ac:dyDescent="0.3">
      <c r="A3160" t="s">
        <v>3217</v>
      </c>
      <c r="B3160">
        <f>IF(ISNUMBER(SEARCH(Form!$C$11,Tabel2[[#This Row],[Coordinate Projection System]])),MAX($B$1:B3159)+1,0)</f>
        <v>3159</v>
      </c>
      <c r="C3160" t="str">
        <f t="shared" si="49"/>
        <v>NAD83(2011) / Maryland (ftUS)</v>
      </c>
    </row>
    <row r="3161" spans="1:3" x14ac:dyDescent="0.3">
      <c r="A3161" t="s">
        <v>3218</v>
      </c>
      <c r="B3161">
        <f>IF(ISNUMBER(SEARCH(Form!$C$11,Tabel2[[#This Row],[Coordinate Projection System]])),MAX($B$1:B3160)+1,0)</f>
        <v>3160</v>
      </c>
      <c r="C3161" t="str">
        <f t="shared" si="49"/>
        <v>NAD83(2011) / Massachusetts Island</v>
      </c>
    </row>
    <row r="3162" spans="1:3" x14ac:dyDescent="0.3">
      <c r="A3162" t="s">
        <v>3219</v>
      </c>
      <c r="B3162">
        <f>IF(ISNUMBER(SEARCH(Form!$C$11,Tabel2[[#This Row],[Coordinate Projection System]])),MAX($B$1:B3161)+1,0)</f>
        <v>3161</v>
      </c>
      <c r="C3162" t="str">
        <f t="shared" si="49"/>
        <v>NAD83(2011) / Massachusetts Island (ftUS)</v>
      </c>
    </row>
    <row r="3163" spans="1:3" x14ac:dyDescent="0.3">
      <c r="A3163" t="s">
        <v>3220</v>
      </c>
      <c r="B3163">
        <f>IF(ISNUMBER(SEARCH(Form!$C$11,Tabel2[[#This Row],[Coordinate Projection System]])),MAX($B$1:B3162)+1,0)</f>
        <v>3162</v>
      </c>
      <c r="C3163" t="str">
        <f t="shared" si="49"/>
        <v>NAD83(2011) / Massachusetts Mainland</v>
      </c>
    </row>
    <row r="3164" spans="1:3" x14ac:dyDescent="0.3">
      <c r="A3164" t="s">
        <v>3221</v>
      </c>
      <c r="B3164">
        <f>IF(ISNUMBER(SEARCH(Form!$C$11,Tabel2[[#This Row],[Coordinate Projection System]])),MAX($B$1:B3163)+1,0)</f>
        <v>3163</v>
      </c>
      <c r="C3164" t="str">
        <f t="shared" si="49"/>
        <v>NAD83(2011) / Massachusetts Mainland (ftUS)</v>
      </c>
    </row>
    <row r="3165" spans="1:3" x14ac:dyDescent="0.3">
      <c r="A3165" t="s">
        <v>3222</v>
      </c>
      <c r="B3165">
        <f>IF(ISNUMBER(SEARCH(Form!$C$11,Tabel2[[#This Row],[Coordinate Projection System]])),MAX($B$1:B3164)+1,0)</f>
        <v>3164</v>
      </c>
      <c r="C3165" t="str">
        <f t="shared" si="49"/>
        <v>NAD83(2011) / Michigan Central</v>
      </c>
    </row>
    <row r="3166" spans="1:3" x14ac:dyDescent="0.3">
      <c r="A3166" t="s">
        <v>3223</v>
      </c>
      <c r="B3166">
        <f>IF(ISNUMBER(SEARCH(Form!$C$11,Tabel2[[#This Row],[Coordinate Projection System]])),MAX($B$1:B3165)+1,0)</f>
        <v>3165</v>
      </c>
      <c r="C3166" t="str">
        <f t="shared" si="49"/>
        <v>NAD83(2011) / Michigan Central (ft)</v>
      </c>
    </row>
    <row r="3167" spans="1:3" x14ac:dyDescent="0.3">
      <c r="A3167" t="s">
        <v>3224</v>
      </c>
      <c r="B3167">
        <f>IF(ISNUMBER(SEARCH(Form!$C$11,Tabel2[[#This Row],[Coordinate Projection System]])),MAX($B$1:B3166)+1,0)</f>
        <v>3166</v>
      </c>
      <c r="C3167" t="str">
        <f t="shared" si="49"/>
        <v>NAD83(2011) / Michigan North</v>
      </c>
    </row>
    <row r="3168" spans="1:3" x14ac:dyDescent="0.3">
      <c r="A3168" t="s">
        <v>3225</v>
      </c>
      <c r="B3168">
        <f>IF(ISNUMBER(SEARCH(Form!$C$11,Tabel2[[#This Row],[Coordinate Projection System]])),MAX($B$1:B3167)+1,0)</f>
        <v>3167</v>
      </c>
      <c r="C3168" t="str">
        <f t="shared" si="49"/>
        <v>NAD83(2011) / Michigan North (ft)</v>
      </c>
    </row>
    <row r="3169" spans="1:3" x14ac:dyDescent="0.3">
      <c r="A3169" t="s">
        <v>3226</v>
      </c>
      <c r="B3169">
        <f>IF(ISNUMBER(SEARCH(Form!$C$11,Tabel2[[#This Row],[Coordinate Projection System]])),MAX($B$1:B3168)+1,0)</f>
        <v>3168</v>
      </c>
      <c r="C3169" t="str">
        <f t="shared" si="49"/>
        <v>NAD83(2011) / Michigan Oblique Mercator</v>
      </c>
    </row>
    <row r="3170" spans="1:3" x14ac:dyDescent="0.3">
      <c r="A3170" t="s">
        <v>3227</v>
      </c>
      <c r="B3170">
        <f>IF(ISNUMBER(SEARCH(Form!$C$11,Tabel2[[#This Row],[Coordinate Projection System]])),MAX($B$1:B3169)+1,0)</f>
        <v>3169</v>
      </c>
      <c r="C3170" t="str">
        <f t="shared" si="49"/>
        <v>NAD83(2011) / Michigan South</v>
      </c>
    </row>
    <row r="3171" spans="1:3" x14ac:dyDescent="0.3">
      <c r="A3171" t="s">
        <v>3228</v>
      </c>
      <c r="B3171">
        <f>IF(ISNUMBER(SEARCH(Form!$C$11,Tabel2[[#This Row],[Coordinate Projection System]])),MAX($B$1:B3170)+1,0)</f>
        <v>3170</v>
      </c>
      <c r="C3171" t="str">
        <f t="shared" si="49"/>
        <v>NAD83(2011) / Michigan South (ft)</v>
      </c>
    </row>
    <row r="3172" spans="1:3" x14ac:dyDescent="0.3">
      <c r="A3172" t="s">
        <v>3229</v>
      </c>
      <c r="B3172">
        <f>IF(ISNUMBER(SEARCH(Form!$C$11,Tabel2[[#This Row],[Coordinate Projection System]])),MAX($B$1:B3171)+1,0)</f>
        <v>3171</v>
      </c>
      <c r="C3172" t="str">
        <f t="shared" si="49"/>
        <v>NAD83(2011) / Minnesota Central</v>
      </c>
    </row>
    <row r="3173" spans="1:3" x14ac:dyDescent="0.3">
      <c r="A3173" t="s">
        <v>3230</v>
      </c>
      <c r="B3173">
        <f>IF(ISNUMBER(SEARCH(Form!$C$11,Tabel2[[#This Row],[Coordinate Projection System]])),MAX($B$1:B3172)+1,0)</f>
        <v>3172</v>
      </c>
      <c r="C3173" t="str">
        <f t="shared" si="49"/>
        <v>NAD83(2011) / Minnesota Central (ftUS)</v>
      </c>
    </row>
    <row r="3174" spans="1:3" x14ac:dyDescent="0.3">
      <c r="A3174" t="s">
        <v>3231</v>
      </c>
      <c r="B3174">
        <f>IF(ISNUMBER(SEARCH(Form!$C$11,Tabel2[[#This Row],[Coordinate Projection System]])),MAX($B$1:B3173)+1,0)</f>
        <v>3173</v>
      </c>
      <c r="C3174" t="str">
        <f t="shared" si="49"/>
        <v>NAD83(2011) / Minnesota North</v>
      </c>
    </row>
    <row r="3175" spans="1:3" x14ac:dyDescent="0.3">
      <c r="A3175" t="s">
        <v>3232</v>
      </c>
      <c r="B3175">
        <f>IF(ISNUMBER(SEARCH(Form!$C$11,Tabel2[[#This Row],[Coordinate Projection System]])),MAX($B$1:B3174)+1,0)</f>
        <v>3174</v>
      </c>
      <c r="C3175" t="str">
        <f t="shared" si="49"/>
        <v>NAD83(2011) / Minnesota North (ftUS)</v>
      </c>
    </row>
    <row r="3176" spans="1:3" x14ac:dyDescent="0.3">
      <c r="A3176" t="s">
        <v>3233</v>
      </c>
      <c r="B3176">
        <f>IF(ISNUMBER(SEARCH(Form!$C$11,Tabel2[[#This Row],[Coordinate Projection System]])),MAX($B$1:B3175)+1,0)</f>
        <v>3175</v>
      </c>
      <c r="C3176" t="str">
        <f t="shared" si="49"/>
        <v>NAD83(2011) / Minnesota South</v>
      </c>
    </row>
    <row r="3177" spans="1:3" x14ac:dyDescent="0.3">
      <c r="A3177" t="s">
        <v>3234</v>
      </c>
      <c r="B3177">
        <f>IF(ISNUMBER(SEARCH(Form!$C$11,Tabel2[[#This Row],[Coordinate Projection System]])),MAX($B$1:B3176)+1,0)</f>
        <v>3176</v>
      </c>
      <c r="C3177" t="str">
        <f t="shared" si="49"/>
        <v>NAD83(2011) / Minnesota South (ftUS)</v>
      </c>
    </row>
    <row r="3178" spans="1:3" x14ac:dyDescent="0.3">
      <c r="A3178" t="s">
        <v>3235</v>
      </c>
      <c r="B3178">
        <f>IF(ISNUMBER(SEARCH(Form!$C$11,Tabel2[[#This Row],[Coordinate Projection System]])),MAX($B$1:B3177)+1,0)</f>
        <v>3177</v>
      </c>
      <c r="C3178" t="str">
        <f t="shared" si="49"/>
        <v>NAD83(2011) / Mississippi East</v>
      </c>
    </row>
    <row r="3179" spans="1:3" x14ac:dyDescent="0.3">
      <c r="A3179" t="s">
        <v>3236</v>
      </c>
      <c r="B3179">
        <f>IF(ISNUMBER(SEARCH(Form!$C$11,Tabel2[[#This Row],[Coordinate Projection System]])),MAX($B$1:B3178)+1,0)</f>
        <v>3178</v>
      </c>
      <c r="C3179" t="str">
        <f t="shared" si="49"/>
        <v>NAD83(2011) / Mississippi East (ftUS)</v>
      </c>
    </row>
    <row r="3180" spans="1:3" x14ac:dyDescent="0.3">
      <c r="A3180" t="s">
        <v>3237</v>
      </c>
      <c r="B3180">
        <f>IF(ISNUMBER(SEARCH(Form!$C$11,Tabel2[[#This Row],[Coordinate Projection System]])),MAX($B$1:B3179)+1,0)</f>
        <v>3179</v>
      </c>
      <c r="C3180" t="str">
        <f t="shared" si="49"/>
        <v>NAD83(2011) / Mississippi TM</v>
      </c>
    </row>
    <row r="3181" spans="1:3" x14ac:dyDescent="0.3">
      <c r="A3181" t="s">
        <v>3238</v>
      </c>
      <c r="B3181">
        <f>IF(ISNUMBER(SEARCH(Form!$C$11,Tabel2[[#This Row],[Coordinate Projection System]])),MAX($B$1:B3180)+1,0)</f>
        <v>3180</v>
      </c>
      <c r="C3181" t="str">
        <f t="shared" si="49"/>
        <v>NAD83(2011) / Mississippi West</v>
      </c>
    </row>
    <row r="3182" spans="1:3" x14ac:dyDescent="0.3">
      <c r="A3182" t="s">
        <v>3239</v>
      </c>
      <c r="B3182">
        <f>IF(ISNUMBER(SEARCH(Form!$C$11,Tabel2[[#This Row],[Coordinate Projection System]])),MAX($B$1:B3181)+1,0)</f>
        <v>3181</v>
      </c>
      <c r="C3182" t="str">
        <f t="shared" si="49"/>
        <v>NAD83(2011) / Mississippi West (ftUS)</v>
      </c>
    </row>
    <row r="3183" spans="1:3" x14ac:dyDescent="0.3">
      <c r="A3183" t="s">
        <v>3240</v>
      </c>
      <c r="B3183">
        <f>IF(ISNUMBER(SEARCH(Form!$C$11,Tabel2[[#This Row],[Coordinate Projection System]])),MAX($B$1:B3182)+1,0)</f>
        <v>3182</v>
      </c>
      <c r="C3183" t="str">
        <f t="shared" si="49"/>
        <v>NAD83(2011) / Missouri Central</v>
      </c>
    </row>
    <row r="3184" spans="1:3" x14ac:dyDescent="0.3">
      <c r="A3184" t="s">
        <v>3241</v>
      </c>
      <c r="B3184">
        <f>IF(ISNUMBER(SEARCH(Form!$C$11,Tabel2[[#This Row],[Coordinate Projection System]])),MAX($B$1:B3183)+1,0)</f>
        <v>3183</v>
      </c>
      <c r="C3184" t="str">
        <f t="shared" si="49"/>
        <v>NAD83(2011) / Missouri East</v>
      </c>
    </row>
    <row r="3185" spans="1:3" x14ac:dyDescent="0.3">
      <c r="A3185" t="s">
        <v>3242</v>
      </c>
      <c r="B3185">
        <f>IF(ISNUMBER(SEARCH(Form!$C$11,Tabel2[[#This Row],[Coordinate Projection System]])),MAX($B$1:B3184)+1,0)</f>
        <v>3184</v>
      </c>
      <c r="C3185" t="str">
        <f t="shared" si="49"/>
        <v>NAD83(2011) / Missouri West</v>
      </c>
    </row>
    <row r="3186" spans="1:3" x14ac:dyDescent="0.3">
      <c r="A3186" t="s">
        <v>3243</v>
      </c>
      <c r="B3186">
        <f>IF(ISNUMBER(SEARCH(Form!$C$11,Tabel2[[#This Row],[Coordinate Projection System]])),MAX($B$1:B3185)+1,0)</f>
        <v>3185</v>
      </c>
      <c r="C3186" t="str">
        <f t="shared" si="49"/>
        <v>NAD83(2011) / Montana</v>
      </c>
    </row>
    <row r="3187" spans="1:3" x14ac:dyDescent="0.3">
      <c r="A3187" t="s">
        <v>3244</v>
      </c>
      <c r="B3187">
        <f>IF(ISNUMBER(SEARCH(Form!$C$11,Tabel2[[#This Row],[Coordinate Projection System]])),MAX($B$1:B3186)+1,0)</f>
        <v>3186</v>
      </c>
      <c r="C3187" t="str">
        <f t="shared" si="49"/>
        <v>NAD83(2011) / Montana (ft)</v>
      </c>
    </row>
    <row r="3188" spans="1:3" x14ac:dyDescent="0.3">
      <c r="A3188" t="s">
        <v>3245</v>
      </c>
      <c r="B3188">
        <f>IF(ISNUMBER(SEARCH(Form!$C$11,Tabel2[[#This Row],[Coordinate Projection System]])),MAX($B$1:B3187)+1,0)</f>
        <v>3187</v>
      </c>
      <c r="C3188" t="str">
        <f t="shared" si="49"/>
        <v>NAD83(2011) / Nebraska</v>
      </c>
    </row>
    <row r="3189" spans="1:3" x14ac:dyDescent="0.3">
      <c r="A3189" t="s">
        <v>3246</v>
      </c>
      <c r="B3189">
        <f>IF(ISNUMBER(SEARCH(Form!$C$11,Tabel2[[#This Row],[Coordinate Projection System]])),MAX($B$1:B3188)+1,0)</f>
        <v>3188</v>
      </c>
      <c r="C3189" t="str">
        <f t="shared" si="49"/>
        <v>NAD83(2011) / Nebraska (ftUS) (deprecated)</v>
      </c>
    </row>
    <row r="3190" spans="1:3" x14ac:dyDescent="0.3">
      <c r="A3190" t="s">
        <v>3247</v>
      </c>
      <c r="B3190">
        <f>IF(ISNUMBER(SEARCH(Form!$C$11,Tabel2[[#This Row],[Coordinate Projection System]])),MAX($B$1:B3189)+1,0)</f>
        <v>3189</v>
      </c>
      <c r="C3190" t="str">
        <f t="shared" si="49"/>
        <v>NAD83(2011) / Nevada Central</v>
      </c>
    </row>
    <row r="3191" spans="1:3" x14ac:dyDescent="0.3">
      <c r="A3191" t="s">
        <v>3248</v>
      </c>
      <c r="B3191">
        <f>IF(ISNUMBER(SEARCH(Form!$C$11,Tabel2[[#This Row],[Coordinate Projection System]])),MAX($B$1:B3190)+1,0)</f>
        <v>3190</v>
      </c>
      <c r="C3191" t="str">
        <f t="shared" si="49"/>
        <v>NAD83(2011) / Nevada Central (ftUS)</v>
      </c>
    </row>
    <row r="3192" spans="1:3" x14ac:dyDescent="0.3">
      <c r="A3192" t="s">
        <v>3249</v>
      </c>
      <c r="B3192">
        <f>IF(ISNUMBER(SEARCH(Form!$C$11,Tabel2[[#This Row],[Coordinate Projection System]])),MAX($B$1:B3191)+1,0)</f>
        <v>3191</v>
      </c>
      <c r="C3192" t="str">
        <f t="shared" si="49"/>
        <v>NAD83(2011) / Nevada East</v>
      </c>
    </row>
    <row r="3193" spans="1:3" x14ac:dyDescent="0.3">
      <c r="A3193" t="s">
        <v>3250</v>
      </c>
      <c r="B3193">
        <f>IF(ISNUMBER(SEARCH(Form!$C$11,Tabel2[[#This Row],[Coordinate Projection System]])),MAX($B$1:B3192)+1,0)</f>
        <v>3192</v>
      </c>
      <c r="C3193" t="str">
        <f t="shared" si="49"/>
        <v>NAD83(2011) / Nevada East (ftUS)</v>
      </c>
    </row>
    <row r="3194" spans="1:3" x14ac:dyDescent="0.3">
      <c r="A3194" t="s">
        <v>3251</v>
      </c>
      <c r="B3194">
        <f>IF(ISNUMBER(SEARCH(Form!$C$11,Tabel2[[#This Row],[Coordinate Projection System]])),MAX($B$1:B3193)+1,0)</f>
        <v>3193</v>
      </c>
      <c r="C3194" t="str">
        <f t="shared" si="49"/>
        <v>NAD83(2011) / Nevada West</v>
      </c>
    </row>
    <row r="3195" spans="1:3" x14ac:dyDescent="0.3">
      <c r="A3195" t="s">
        <v>3252</v>
      </c>
      <c r="B3195">
        <f>IF(ISNUMBER(SEARCH(Form!$C$11,Tabel2[[#This Row],[Coordinate Projection System]])),MAX($B$1:B3194)+1,0)</f>
        <v>3194</v>
      </c>
      <c r="C3195" t="str">
        <f t="shared" si="49"/>
        <v>NAD83(2011) / Nevada West (ftUS)</v>
      </c>
    </row>
    <row r="3196" spans="1:3" x14ac:dyDescent="0.3">
      <c r="A3196" t="s">
        <v>3253</v>
      </c>
      <c r="B3196">
        <f>IF(ISNUMBER(SEARCH(Form!$C$11,Tabel2[[#This Row],[Coordinate Projection System]])),MAX($B$1:B3195)+1,0)</f>
        <v>3195</v>
      </c>
      <c r="C3196" t="str">
        <f t="shared" si="49"/>
        <v>NAD83(2011) / New Hampshire</v>
      </c>
    </row>
    <row r="3197" spans="1:3" x14ac:dyDescent="0.3">
      <c r="A3197" t="s">
        <v>3254</v>
      </c>
      <c r="B3197">
        <f>IF(ISNUMBER(SEARCH(Form!$C$11,Tabel2[[#This Row],[Coordinate Projection System]])),MAX($B$1:B3196)+1,0)</f>
        <v>3196</v>
      </c>
      <c r="C3197" t="str">
        <f t="shared" si="49"/>
        <v>NAD83(2011) / New Hampshire (ftUS)</v>
      </c>
    </row>
    <row r="3198" spans="1:3" x14ac:dyDescent="0.3">
      <c r="A3198" t="s">
        <v>3255</v>
      </c>
      <c r="B3198">
        <f>IF(ISNUMBER(SEARCH(Form!$C$11,Tabel2[[#This Row],[Coordinate Projection System]])),MAX($B$1:B3197)+1,0)</f>
        <v>3197</v>
      </c>
      <c r="C3198" t="str">
        <f t="shared" si="49"/>
        <v>NAD83(2011) / New Jersey</v>
      </c>
    </row>
    <row r="3199" spans="1:3" x14ac:dyDescent="0.3">
      <c r="A3199" t="s">
        <v>3256</v>
      </c>
      <c r="B3199">
        <f>IF(ISNUMBER(SEARCH(Form!$C$11,Tabel2[[#This Row],[Coordinate Projection System]])),MAX($B$1:B3198)+1,0)</f>
        <v>3198</v>
      </c>
      <c r="C3199" t="str">
        <f t="shared" si="49"/>
        <v>NAD83(2011) / New Jersey (ftUS)</v>
      </c>
    </row>
    <row r="3200" spans="1:3" x14ac:dyDescent="0.3">
      <c r="A3200" t="s">
        <v>3257</v>
      </c>
      <c r="B3200">
        <f>IF(ISNUMBER(SEARCH(Form!$C$11,Tabel2[[#This Row],[Coordinate Projection System]])),MAX($B$1:B3199)+1,0)</f>
        <v>3199</v>
      </c>
      <c r="C3200" t="str">
        <f t="shared" si="49"/>
        <v>NAD83(2011) / New Mexico Central</v>
      </c>
    </row>
    <row r="3201" spans="1:3" x14ac:dyDescent="0.3">
      <c r="A3201" t="s">
        <v>3258</v>
      </c>
      <c r="B3201">
        <f>IF(ISNUMBER(SEARCH(Form!$C$11,Tabel2[[#This Row],[Coordinate Projection System]])),MAX($B$1:B3200)+1,0)</f>
        <v>3200</v>
      </c>
      <c r="C3201" t="str">
        <f t="shared" si="49"/>
        <v>NAD83(2011) / New Mexico Central (ftUS)</v>
      </c>
    </row>
    <row r="3202" spans="1:3" x14ac:dyDescent="0.3">
      <c r="A3202" t="s">
        <v>3259</v>
      </c>
      <c r="B3202">
        <f>IF(ISNUMBER(SEARCH(Form!$C$11,Tabel2[[#This Row],[Coordinate Projection System]])),MAX($B$1:B3201)+1,0)</f>
        <v>3201</v>
      </c>
      <c r="C3202" t="str">
        <f t="shared" si="49"/>
        <v>NAD83(2011) / New Mexico East</v>
      </c>
    </row>
    <row r="3203" spans="1:3" x14ac:dyDescent="0.3">
      <c r="A3203" t="s">
        <v>3260</v>
      </c>
      <c r="B3203">
        <f>IF(ISNUMBER(SEARCH(Form!$C$11,Tabel2[[#This Row],[Coordinate Projection System]])),MAX($B$1:B3202)+1,0)</f>
        <v>3202</v>
      </c>
      <c r="C3203" t="str">
        <f t="shared" ref="C3203:C3266" si="50">_xlfn.IFNA(INDEX(A3203:A8714,MATCH(ROW(C3202),B3203:B8714,0)),"")</f>
        <v>NAD83(2011) / New Mexico East (ftUS)</v>
      </c>
    </row>
    <row r="3204" spans="1:3" x14ac:dyDescent="0.3">
      <c r="A3204" t="s">
        <v>3261</v>
      </c>
      <c r="B3204">
        <f>IF(ISNUMBER(SEARCH(Form!$C$11,Tabel2[[#This Row],[Coordinate Projection System]])),MAX($B$1:B3203)+1,0)</f>
        <v>3203</v>
      </c>
      <c r="C3204" t="str">
        <f t="shared" si="50"/>
        <v>NAD83(2011) / New Mexico West</v>
      </c>
    </row>
    <row r="3205" spans="1:3" x14ac:dyDescent="0.3">
      <c r="A3205" t="s">
        <v>3262</v>
      </c>
      <c r="B3205">
        <f>IF(ISNUMBER(SEARCH(Form!$C$11,Tabel2[[#This Row],[Coordinate Projection System]])),MAX($B$1:B3204)+1,0)</f>
        <v>3204</v>
      </c>
      <c r="C3205" t="str">
        <f t="shared" si="50"/>
        <v>NAD83(2011) / New Mexico West (ftUS)</v>
      </c>
    </row>
    <row r="3206" spans="1:3" x14ac:dyDescent="0.3">
      <c r="A3206" t="s">
        <v>3263</v>
      </c>
      <c r="B3206">
        <f>IF(ISNUMBER(SEARCH(Form!$C$11,Tabel2[[#This Row],[Coordinate Projection System]])),MAX($B$1:B3205)+1,0)</f>
        <v>3205</v>
      </c>
      <c r="C3206" t="str">
        <f t="shared" si="50"/>
        <v>NAD83(2011) / New York Central</v>
      </c>
    </row>
    <row r="3207" spans="1:3" x14ac:dyDescent="0.3">
      <c r="A3207" t="s">
        <v>3264</v>
      </c>
      <c r="B3207">
        <f>IF(ISNUMBER(SEARCH(Form!$C$11,Tabel2[[#This Row],[Coordinate Projection System]])),MAX($B$1:B3206)+1,0)</f>
        <v>3206</v>
      </c>
      <c r="C3207" t="str">
        <f t="shared" si="50"/>
        <v>NAD83(2011) / New York Central (ftUS)</v>
      </c>
    </row>
    <row r="3208" spans="1:3" x14ac:dyDescent="0.3">
      <c r="A3208" t="s">
        <v>3265</v>
      </c>
      <c r="B3208">
        <f>IF(ISNUMBER(SEARCH(Form!$C$11,Tabel2[[#This Row],[Coordinate Projection System]])),MAX($B$1:B3207)+1,0)</f>
        <v>3207</v>
      </c>
      <c r="C3208" t="str">
        <f t="shared" si="50"/>
        <v>NAD83(2011) / New York East</v>
      </c>
    </row>
    <row r="3209" spans="1:3" x14ac:dyDescent="0.3">
      <c r="A3209" t="s">
        <v>3266</v>
      </c>
      <c r="B3209">
        <f>IF(ISNUMBER(SEARCH(Form!$C$11,Tabel2[[#This Row],[Coordinate Projection System]])),MAX($B$1:B3208)+1,0)</f>
        <v>3208</v>
      </c>
      <c r="C3209" t="str">
        <f t="shared" si="50"/>
        <v>NAD83(2011) / New York East (ftUS)</v>
      </c>
    </row>
    <row r="3210" spans="1:3" x14ac:dyDescent="0.3">
      <c r="A3210" t="s">
        <v>3267</v>
      </c>
      <c r="B3210">
        <f>IF(ISNUMBER(SEARCH(Form!$C$11,Tabel2[[#This Row],[Coordinate Projection System]])),MAX($B$1:B3209)+1,0)</f>
        <v>3209</v>
      </c>
      <c r="C3210" t="str">
        <f t="shared" si="50"/>
        <v>NAD83(2011) / New York Long Island</v>
      </c>
    </row>
    <row r="3211" spans="1:3" x14ac:dyDescent="0.3">
      <c r="A3211" t="s">
        <v>3268</v>
      </c>
      <c r="B3211">
        <f>IF(ISNUMBER(SEARCH(Form!$C$11,Tabel2[[#This Row],[Coordinate Projection System]])),MAX($B$1:B3210)+1,0)</f>
        <v>3210</v>
      </c>
      <c r="C3211" t="str">
        <f t="shared" si="50"/>
        <v>NAD83(2011) / New York Long Island (ftUS)</v>
      </c>
    </row>
    <row r="3212" spans="1:3" x14ac:dyDescent="0.3">
      <c r="A3212" t="s">
        <v>3269</v>
      </c>
      <c r="B3212">
        <f>IF(ISNUMBER(SEARCH(Form!$C$11,Tabel2[[#This Row],[Coordinate Projection System]])),MAX($B$1:B3211)+1,0)</f>
        <v>3211</v>
      </c>
      <c r="C3212" t="str">
        <f t="shared" si="50"/>
        <v>NAD83(2011) / New York West</v>
      </c>
    </row>
    <row r="3213" spans="1:3" x14ac:dyDescent="0.3">
      <c r="A3213" t="s">
        <v>3270</v>
      </c>
      <c r="B3213">
        <f>IF(ISNUMBER(SEARCH(Form!$C$11,Tabel2[[#This Row],[Coordinate Projection System]])),MAX($B$1:B3212)+1,0)</f>
        <v>3212</v>
      </c>
      <c r="C3213" t="str">
        <f t="shared" si="50"/>
        <v>NAD83(2011) / New York West (ftUS)</v>
      </c>
    </row>
    <row r="3214" spans="1:3" x14ac:dyDescent="0.3">
      <c r="A3214" t="s">
        <v>3271</v>
      </c>
      <c r="B3214">
        <f>IF(ISNUMBER(SEARCH(Form!$C$11,Tabel2[[#This Row],[Coordinate Projection System]])),MAX($B$1:B3213)+1,0)</f>
        <v>3213</v>
      </c>
      <c r="C3214" t="str">
        <f t="shared" si="50"/>
        <v>NAD83(2011) / North Carolina</v>
      </c>
    </row>
    <row r="3215" spans="1:3" x14ac:dyDescent="0.3">
      <c r="A3215" t="s">
        <v>3272</v>
      </c>
      <c r="B3215">
        <f>IF(ISNUMBER(SEARCH(Form!$C$11,Tabel2[[#This Row],[Coordinate Projection System]])),MAX($B$1:B3214)+1,0)</f>
        <v>3214</v>
      </c>
      <c r="C3215" t="str">
        <f t="shared" si="50"/>
        <v>NAD83(2011) / North Carolina (ftUS)</v>
      </c>
    </row>
    <row r="3216" spans="1:3" x14ac:dyDescent="0.3">
      <c r="A3216" t="s">
        <v>3273</v>
      </c>
      <c r="B3216">
        <f>IF(ISNUMBER(SEARCH(Form!$C$11,Tabel2[[#This Row],[Coordinate Projection System]])),MAX($B$1:B3215)+1,0)</f>
        <v>3215</v>
      </c>
      <c r="C3216" t="str">
        <f t="shared" si="50"/>
        <v>NAD83(2011) / North Dakota North</v>
      </c>
    </row>
    <row r="3217" spans="1:3" x14ac:dyDescent="0.3">
      <c r="A3217" t="s">
        <v>3274</v>
      </c>
      <c r="B3217">
        <f>IF(ISNUMBER(SEARCH(Form!$C$11,Tabel2[[#This Row],[Coordinate Projection System]])),MAX($B$1:B3216)+1,0)</f>
        <v>3216</v>
      </c>
      <c r="C3217" t="str">
        <f t="shared" si="50"/>
        <v>NAD83(2011) / North Dakota North (ft)</v>
      </c>
    </row>
    <row r="3218" spans="1:3" x14ac:dyDescent="0.3">
      <c r="A3218" t="s">
        <v>3275</v>
      </c>
      <c r="B3218">
        <f>IF(ISNUMBER(SEARCH(Form!$C$11,Tabel2[[#This Row],[Coordinate Projection System]])),MAX($B$1:B3217)+1,0)</f>
        <v>3217</v>
      </c>
      <c r="C3218" t="str">
        <f t="shared" si="50"/>
        <v>NAD83(2011) / North Dakota South</v>
      </c>
    </row>
    <row r="3219" spans="1:3" x14ac:dyDescent="0.3">
      <c r="A3219" t="s">
        <v>3276</v>
      </c>
      <c r="B3219">
        <f>IF(ISNUMBER(SEARCH(Form!$C$11,Tabel2[[#This Row],[Coordinate Projection System]])),MAX($B$1:B3218)+1,0)</f>
        <v>3218</v>
      </c>
      <c r="C3219" t="str">
        <f t="shared" si="50"/>
        <v>NAD83(2011) / North Dakota South (ft)</v>
      </c>
    </row>
    <row r="3220" spans="1:3" x14ac:dyDescent="0.3">
      <c r="A3220" t="s">
        <v>3277</v>
      </c>
      <c r="B3220">
        <f>IF(ISNUMBER(SEARCH(Form!$C$11,Tabel2[[#This Row],[Coordinate Projection System]])),MAX($B$1:B3219)+1,0)</f>
        <v>3219</v>
      </c>
      <c r="C3220" t="str">
        <f t="shared" si="50"/>
        <v>NAD83(2011) / Ohio North</v>
      </c>
    </row>
    <row r="3221" spans="1:3" x14ac:dyDescent="0.3">
      <c r="A3221" t="s">
        <v>3278</v>
      </c>
      <c r="B3221">
        <f>IF(ISNUMBER(SEARCH(Form!$C$11,Tabel2[[#This Row],[Coordinate Projection System]])),MAX($B$1:B3220)+1,0)</f>
        <v>3220</v>
      </c>
      <c r="C3221" t="str">
        <f t="shared" si="50"/>
        <v>NAD83(2011) / Ohio North (ftUS)</v>
      </c>
    </row>
    <row r="3222" spans="1:3" x14ac:dyDescent="0.3">
      <c r="A3222" t="s">
        <v>3279</v>
      </c>
      <c r="B3222">
        <f>IF(ISNUMBER(SEARCH(Form!$C$11,Tabel2[[#This Row],[Coordinate Projection System]])),MAX($B$1:B3221)+1,0)</f>
        <v>3221</v>
      </c>
      <c r="C3222" t="str">
        <f t="shared" si="50"/>
        <v>NAD83(2011) / Ohio South</v>
      </c>
    </row>
    <row r="3223" spans="1:3" x14ac:dyDescent="0.3">
      <c r="A3223" t="s">
        <v>3280</v>
      </c>
      <c r="B3223">
        <f>IF(ISNUMBER(SEARCH(Form!$C$11,Tabel2[[#This Row],[Coordinate Projection System]])),MAX($B$1:B3222)+1,0)</f>
        <v>3222</v>
      </c>
      <c r="C3223" t="str">
        <f t="shared" si="50"/>
        <v>NAD83(2011) / Ohio South (ftUS)</v>
      </c>
    </row>
    <row r="3224" spans="1:3" x14ac:dyDescent="0.3">
      <c r="A3224" t="s">
        <v>3281</v>
      </c>
      <c r="B3224">
        <f>IF(ISNUMBER(SEARCH(Form!$C$11,Tabel2[[#This Row],[Coordinate Projection System]])),MAX($B$1:B3223)+1,0)</f>
        <v>3223</v>
      </c>
      <c r="C3224" t="str">
        <f t="shared" si="50"/>
        <v>NAD83(2011) / Oklahoma North</v>
      </c>
    </row>
    <row r="3225" spans="1:3" x14ac:dyDescent="0.3">
      <c r="A3225" t="s">
        <v>3282</v>
      </c>
      <c r="B3225">
        <f>IF(ISNUMBER(SEARCH(Form!$C$11,Tabel2[[#This Row],[Coordinate Projection System]])),MAX($B$1:B3224)+1,0)</f>
        <v>3224</v>
      </c>
      <c r="C3225" t="str">
        <f t="shared" si="50"/>
        <v>NAD83(2011) / Oklahoma North (ftUS)</v>
      </c>
    </row>
    <row r="3226" spans="1:3" x14ac:dyDescent="0.3">
      <c r="A3226" t="s">
        <v>3283</v>
      </c>
      <c r="B3226">
        <f>IF(ISNUMBER(SEARCH(Form!$C$11,Tabel2[[#This Row],[Coordinate Projection System]])),MAX($B$1:B3225)+1,0)</f>
        <v>3225</v>
      </c>
      <c r="C3226" t="str">
        <f t="shared" si="50"/>
        <v>NAD83(2011) / Oklahoma South</v>
      </c>
    </row>
    <row r="3227" spans="1:3" x14ac:dyDescent="0.3">
      <c r="A3227" t="s">
        <v>3284</v>
      </c>
      <c r="B3227">
        <f>IF(ISNUMBER(SEARCH(Form!$C$11,Tabel2[[#This Row],[Coordinate Projection System]])),MAX($B$1:B3226)+1,0)</f>
        <v>3226</v>
      </c>
      <c r="C3227" t="str">
        <f t="shared" si="50"/>
        <v>NAD83(2011) / Oklahoma South (ftUS)</v>
      </c>
    </row>
    <row r="3228" spans="1:3" x14ac:dyDescent="0.3">
      <c r="A3228" t="s">
        <v>3285</v>
      </c>
      <c r="B3228">
        <f>IF(ISNUMBER(SEARCH(Form!$C$11,Tabel2[[#This Row],[Coordinate Projection System]])),MAX($B$1:B3227)+1,0)</f>
        <v>3227</v>
      </c>
      <c r="C3228" t="str">
        <f t="shared" si="50"/>
        <v>NAD83(2011) / Oregon LCC (m)</v>
      </c>
    </row>
    <row r="3229" spans="1:3" x14ac:dyDescent="0.3">
      <c r="A3229" t="s">
        <v>3286</v>
      </c>
      <c r="B3229">
        <f>IF(ISNUMBER(SEARCH(Form!$C$11,Tabel2[[#This Row],[Coordinate Projection System]])),MAX($B$1:B3228)+1,0)</f>
        <v>3228</v>
      </c>
      <c r="C3229" t="str">
        <f t="shared" si="50"/>
        <v>NAD83(2011) / Oregon GIC Lambert (ft)</v>
      </c>
    </row>
    <row r="3230" spans="1:3" x14ac:dyDescent="0.3">
      <c r="A3230" t="s">
        <v>3287</v>
      </c>
      <c r="B3230">
        <f>IF(ISNUMBER(SEARCH(Form!$C$11,Tabel2[[#This Row],[Coordinate Projection System]])),MAX($B$1:B3229)+1,0)</f>
        <v>3229</v>
      </c>
      <c r="C3230" t="str">
        <f t="shared" si="50"/>
        <v>NAD83(2011) / Oregon North</v>
      </c>
    </row>
    <row r="3231" spans="1:3" x14ac:dyDescent="0.3">
      <c r="A3231" t="s">
        <v>3288</v>
      </c>
      <c r="B3231">
        <f>IF(ISNUMBER(SEARCH(Form!$C$11,Tabel2[[#This Row],[Coordinate Projection System]])),MAX($B$1:B3230)+1,0)</f>
        <v>3230</v>
      </c>
      <c r="C3231" t="str">
        <f t="shared" si="50"/>
        <v>NAD83(2011) / Oregon North (ft)</v>
      </c>
    </row>
    <row r="3232" spans="1:3" x14ac:dyDescent="0.3">
      <c r="A3232" t="s">
        <v>3289</v>
      </c>
      <c r="B3232">
        <f>IF(ISNUMBER(SEARCH(Form!$C$11,Tabel2[[#This Row],[Coordinate Projection System]])),MAX($B$1:B3231)+1,0)</f>
        <v>3231</v>
      </c>
      <c r="C3232" t="str">
        <f t="shared" si="50"/>
        <v>NAD83(2011) / Oregon South</v>
      </c>
    </row>
    <row r="3233" spans="1:3" x14ac:dyDescent="0.3">
      <c r="A3233" t="s">
        <v>3290</v>
      </c>
      <c r="B3233">
        <f>IF(ISNUMBER(SEARCH(Form!$C$11,Tabel2[[#This Row],[Coordinate Projection System]])),MAX($B$1:B3232)+1,0)</f>
        <v>3232</v>
      </c>
      <c r="C3233" t="str">
        <f t="shared" si="50"/>
        <v>NAD83(2011) / Oregon South (ft)</v>
      </c>
    </row>
    <row r="3234" spans="1:3" x14ac:dyDescent="0.3">
      <c r="A3234" t="s">
        <v>3291</v>
      </c>
      <c r="B3234">
        <f>IF(ISNUMBER(SEARCH(Form!$C$11,Tabel2[[#This Row],[Coordinate Projection System]])),MAX($B$1:B3233)+1,0)</f>
        <v>3233</v>
      </c>
      <c r="C3234" t="str">
        <f t="shared" si="50"/>
        <v>NAD83(2011) / Pennsylvania North</v>
      </c>
    </row>
    <row r="3235" spans="1:3" x14ac:dyDescent="0.3">
      <c r="A3235" t="s">
        <v>3292</v>
      </c>
      <c r="B3235">
        <f>IF(ISNUMBER(SEARCH(Form!$C$11,Tabel2[[#This Row],[Coordinate Projection System]])),MAX($B$1:B3234)+1,0)</f>
        <v>3234</v>
      </c>
      <c r="C3235" t="str">
        <f t="shared" si="50"/>
        <v>NAD83(2011) / Pennsylvania North (ftUS)</v>
      </c>
    </row>
    <row r="3236" spans="1:3" x14ac:dyDescent="0.3">
      <c r="A3236" t="s">
        <v>3293</v>
      </c>
      <c r="B3236">
        <f>IF(ISNUMBER(SEARCH(Form!$C$11,Tabel2[[#This Row],[Coordinate Projection System]])),MAX($B$1:B3235)+1,0)</f>
        <v>3235</v>
      </c>
      <c r="C3236" t="str">
        <f t="shared" si="50"/>
        <v>NAD83(2011) / Pennsylvania South</v>
      </c>
    </row>
    <row r="3237" spans="1:3" x14ac:dyDescent="0.3">
      <c r="A3237" t="s">
        <v>3294</v>
      </c>
      <c r="B3237">
        <f>IF(ISNUMBER(SEARCH(Form!$C$11,Tabel2[[#This Row],[Coordinate Projection System]])),MAX($B$1:B3236)+1,0)</f>
        <v>3236</v>
      </c>
      <c r="C3237" t="str">
        <f t="shared" si="50"/>
        <v>NAD83(2011) / Pennsylvania South (ftUS)</v>
      </c>
    </row>
    <row r="3238" spans="1:3" x14ac:dyDescent="0.3">
      <c r="A3238" t="s">
        <v>3295</v>
      </c>
      <c r="B3238">
        <f>IF(ISNUMBER(SEARCH(Form!$C$11,Tabel2[[#This Row],[Coordinate Projection System]])),MAX($B$1:B3237)+1,0)</f>
        <v>3237</v>
      </c>
      <c r="C3238" t="str">
        <f t="shared" si="50"/>
        <v>NAD83(2011) / Puerto Rico and Virgin Is.</v>
      </c>
    </row>
    <row r="3239" spans="1:3" x14ac:dyDescent="0.3">
      <c r="A3239" t="s">
        <v>3296</v>
      </c>
      <c r="B3239">
        <f>IF(ISNUMBER(SEARCH(Form!$C$11,Tabel2[[#This Row],[Coordinate Projection System]])),MAX($B$1:B3238)+1,0)</f>
        <v>3238</v>
      </c>
      <c r="C3239" t="str">
        <f t="shared" si="50"/>
        <v>NAD83(2011) / Rhode Island</v>
      </c>
    </row>
    <row r="3240" spans="1:3" x14ac:dyDescent="0.3">
      <c r="A3240" t="s">
        <v>3297</v>
      </c>
      <c r="B3240">
        <f>IF(ISNUMBER(SEARCH(Form!$C$11,Tabel2[[#This Row],[Coordinate Projection System]])),MAX($B$1:B3239)+1,0)</f>
        <v>3239</v>
      </c>
      <c r="C3240" t="str">
        <f t="shared" si="50"/>
        <v>NAD83(2011) / Rhode Island (ftUS)</v>
      </c>
    </row>
    <row r="3241" spans="1:3" x14ac:dyDescent="0.3">
      <c r="A3241" t="s">
        <v>3298</v>
      </c>
      <c r="B3241">
        <f>IF(ISNUMBER(SEARCH(Form!$C$11,Tabel2[[#This Row],[Coordinate Projection System]])),MAX($B$1:B3240)+1,0)</f>
        <v>3240</v>
      </c>
      <c r="C3241" t="str">
        <f t="shared" si="50"/>
        <v>NAD83(2011) / South Carolina</v>
      </c>
    </row>
    <row r="3242" spans="1:3" x14ac:dyDescent="0.3">
      <c r="A3242" t="s">
        <v>3299</v>
      </c>
      <c r="B3242">
        <f>IF(ISNUMBER(SEARCH(Form!$C$11,Tabel2[[#This Row],[Coordinate Projection System]])),MAX($B$1:B3241)+1,0)</f>
        <v>3241</v>
      </c>
      <c r="C3242" t="str">
        <f t="shared" si="50"/>
        <v>NAD83(2011) / South Carolina (ft)</v>
      </c>
    </row>
    <row r="3243" spans="1:3" x14ac:dyDescent="0.3">
      <c r="A3243" t="s">
        <v>3300</v>
      </c>
      <c r="B3243">
        <f>IF(ISNUMBER(SEARCH(Form!$C$11,Tabel2[[#This Row],[Coordinate Projection System]])),MAX($B$1:B3242)+1,0)</f>
        <v>3242</v>
      </c>
      <c r="C3243" t="str">
        <f t="shared" si="50"/>
        <v>NAD83(2011) / South Dakota North</v>
      </c>
    </row>
    <row r="3244" spans="1:3" x14ac:dyDescent="0.3">
      <c r="A3244" t="s">
        <v>3301</v>
      </c>
      <c r="B3244">
        <f>IF(ISNUMBER(SEARCH(Form!$C$11,Tabel2[[#This Row],[Coordinate Projection System]])),MAX($B$1:B3243)+1,0)</f>
        <v>3243</v>
      </c>
      <c r="C3244" t="str">
        <f t="shared" si="50"/>
        <v>NAD83(2011) / South Dakota North (ftUS)</v>
      </c>
    </row>
    <row r="3245" spans="1:3" x14ac:dyDescent="0.3">
      <c r="A3245" t="s">
        <v>3302</v>
      </c>
      <c r="B3245">
        <f>IF(ISNUMBER(SEARCH(Form!$C$11,Tabel2[[#This Row],[Coordinate Projection System]])),MAX($B$1:B3244)+1,0)</f>
        <v>3244</v>
      </c>
      <c r="C3245" t="str">
        <f t="shared" si="50"/>
        <v>NAD83(2011) / South Dakota South</v>
      </c>
    </row>
    <row r="3246" spans="1:3" x14ac:dyDescent="0.3">
      <c r="A3246" t="s">
        <v>3303</v>
      </c>
      <c r="B3246">
        <f>IF(ISNUMBER(SEARCH(Form!$C$11,Tabel2[[#This Row],[Coordinate Projection System]])),MAX($B$1:B3245)+1,0)</f>
        <v>3245</v>
      </c>
      <c r="C3246" t="str">
        <f t="shared" si="50"/>
        <v>NAD83(2011) / South Dakota South (ftUS)</v>
      </c>
    </row>
    <row r="3247" spans="1:3" x14ac:dyDescent="0.3">
      <c r="A3247" t="s">
        <v>3304</v>
      </c>
      <c r="B3247">
        <f>IF(ISNUMBER(SEARCH(Form!$C$11,Tabel2[[#This Row],[Coordinate Projection System]])),MAX($B$1:B3246)+1,0)</f>
        <v>3246</v>
      </c>
      <c r="C3247" t="str">
        <f t="shared" si="50"/>
        <v>NAD83(2011) / Tennessee</v>
      </c>
    </row>
    <row r="3248" spans="1:3" x14ac:dyDescent="0.3">
      <c r="A3248" t="s">
        <v>3305</v>
      </c>
      <c r="B3248">
        <f>IF(ISNUMBER(SEARCH(Form!$C$11,Tabel2[[#This Row],[Coordinate Projection System]])),MAX($B$1:B3247)+1,0)</f>
        <v>3247</v>
      </c>
      <c r="C3248" t="str">
        <f t="shared" si="50"/>
        <v>NAD83(2011) / Tennessee (ftUS)</v>
      </c>
    </row>
    <row r="3249" spans="1:3" x14ac:dyDescent="0.3">
      <c r="A3249" t="s">
        <v>3306</v>
      </c>
      <c r="B3249">
        <f>IF(ISNUMBER(SEARCH(Form!$C$11,Tabel2[[#This Row],[Coordinate Projection System]])),MAX($B$1:B3248)+1,0)</f>
        <v>3248</v>
      </c>
      <c r="C3249" t="str">
        <f t="shared" si="50"/>
        <v>NAD83(2011) / Texas Central</v>
      </c>
    </row>
    <row r="3250" spans="1:3" x14ac:dyDescent="0.3">
      <c r="A3250" t="s">
        <v>3307</v>
      </c>
      <c r="B3250">
        <f>IF(ISNUMBER(SEARCH(Form!$C$11,Tabel2[[#This Row],[Coordinate Projection System]])),MAX($B$1:B3249)+1,0)</f>
        <v>3249</v>
      </c>
      <c r="C3250" t="str">
        <f t="shared" si="50"/>
        <v>NAD83(2011) / Texas Central (ftUS)</v>
      </c>
    </row>
    <row r="3251" spans="1:3" x14ac:dyDescent="0.3">
      <c r="A3251" t="s">
        <v>3308</v>
      </c>
      <c r="B3251">
        <f>IF(ISNUMBER(SEARCH(Form!$C$11,Tabel2[[#This Row],[Coordinate Projection System]])),MAX($B$1:B3250)+1,0)</f>
        <v>3250</v>
      </c>
      <c r="C3251" t="str">
        <f t="shared" si="50"/>
        <v>NAD83(2011) / Texas Centric Albers Equal Area</v>
      </c>
    </row>
    <row r="3252" spans="1:3" x14ac:dyDescent="0.3">
      <c r="A3252" t="s">
        <v>3309</v>
      </c>
      <c r="B3252">
        <f>IF(ISNUMBER(SEARCH(Form!$C$11,Tabel2[[#This Row],[Coordinate Projection System]])),MAX($B$1:B3251)+1,0)</f>
        <v>3251</v>
      </c>
      <c r="C3252" t="str">
        <f t="shared" si="50"/>
        <v>NAD83(2011) / Texas Centric Lambert Conformal</v>
      </c>
    </row>
    <row r="3253" spans="1:3" x14ac:dyDescent="0.3">
      <c r="A3253" t="s">
        <v>3310</v>
      </c>
      <c r="B3253">
        <f>IF(ISNUMBER(SEARCH(Form!$C$11,Tabel2[[#This Row],[Coordinate Projection System]])),MAX($B$1:B3252)+1,0)</f>
        <v>3252</v>
      </c>
      <c r="C3253" t="str">
        <f t="shared" si="50"/>
        <v>NAD83(2011) / Texas North</v>
      </c>
    </row>
    <row r="3254" spans="1:3" x14ac:dyDescent="0.3">
      <c r="A3254" t="s">
        <v>3311</v>
      </c>
      <c r="B3254">
        <f>IF(ISNUMBER(SEARCH(Form!$C$11,Tabel2[[#This Row],[Coordinate Projection System]])),MAX($B$1:B3253)+1,0)</f>
        <v>3253</v>
      </c>
      <c r="C3254" t="str">
        <f t="shared" si="50"/>
        <v>NAD83(2011) / Texas North (ftUS)</v>
      </c>
    </row>
    <row r="3255" spans="1:3" x14ac:dyDescent="0.3">
      <c r="A3255" t="s">
        <v>3312</v>
      </c>
      <c r="B3255">
        <f>IF(ISNUMBER(SEARCH(Form!$C$11,Tabel2[[#This Row],[Coordinate Projection System]])),MAX($B$1:B3254)+1,0)</f>
        <v>3254</v>
      </c>
      <c r="C3255" t="str">
        <f t="shared" si="50"/>
        <v>NAD83(2011) / Texas North Central</v>
      </c>
    </row>
    <row r="3256" spans="1:3" x14ac:dyDescent="0.3">
      <c r="A3256" t="s">
        <v>3313</v>
      </c>
      <c r="B3256">
        <f>IF(ISNUMBER(SEARCH(Form!$C$11,Tabel2[[#This Row],[Coordinate Projection System]])),MAX($B$1:B3255)+1,0)</f>
        <v>3255</v>
      </c>
      <c r="C3256" t="str">
        <f t="shared" si="50"/>
        <v>NAD83(2011) / Texas North Central (ftUS)</v>
      </c>
    </row>
    <row r="3257" spans="1:3" x14ac:dyDescent="0.3">
      <c r="A3257" t="s">
        <v>3314</v>
      </c>
      <c r="B3257">
        <f>IF(ISNUMBER(SEARCH(Form!$C$11,Tabel2[[#This Row],[Coordinate Projection System]])),MAX($B$1:B3256)+1,0)</f>
        <v>3256</v>
      </c>
      <c r="C3257" t="str">
        <f t="shared" si="50"/>
        <v>NAD83(2011) / Texas South</v>
      </c>
    </row>
    <row r="3258" spans="1:3" x14ac:dyDescent="0.3">
      <c r="A3258" t="s">
        <v>3315</v>
      </c>
      <c r="B3258">
        <f>IF(ISNUMBER(SEARCH(Form!$C$11,Tabel2[[#This Row],[Coordinate Projection System]])),MAX($B$1:B3257)+1,0)</f>
        <v>3257</v>
      </c>
      <c r="C3258" t="str">
        <f t="shared" si="50"/>
        <v>NAD83(2011) / Texas South (ftUS)</v>
      </c>
    </row>
    <row r="3259" spans="1:3" x14ac:dyDescent="0.3">
      <c r="A3259" t="s">
        <v>3316</v>
      </c>
      <c r="B3259">
        <f>IF(ISNUMBER(SEARCH(Form!$C$11,Tabel2[[#This Row],[Coordinate Projection System]])),MAX($B$1:B3258)+1,0)</f>
        <v>3258</v>
      </c>
      <c r="C3259" t="str">
        <f t="shared" si="50"/>
        <v>NAD83(2011) / Texas South Central</v>
      </c>
    </row>
    <row r="3260" spans="1:3" x14ac:dyDescent="0.3">
      <c r="A3260" t="s">
        <v>3317</v>
      </c>
      <c r="B3260">
        <f>IF(ISNUMBER(SEARCH(Form!$C$11,Tabel2[[#This Row],[Coordinate Projection System]])),MAX($B$1:B3259)+1,0)</f>
        <v>3259</v>
      </c>
      <c r="C3260" t="str">
        <f t="shared" si="50"/>
        <v>NAD83(2011) / Texas South Central (ftUS)</v>
      </c>
    </row>
    <row r="3261" spans="1:3" x14ac:dyDescent="0.3">
      <c r="A3261" t="s">
        <v>3318</v>
      </c>
      <c r="B3261">
        <f>IF(ISNUMBER(SEARCH(Form!$C$11,Tabel2[[#This Row],[Coordinate Projection System]])),MAX($B$1:B3260)+1,0)</f>
        <v>3260</v>
      </c>
      <c r="C3261" t="str">
        <f t="shared" si="50"/>
        <v>NAD83(2011) / Vermont</v>
      </c>
    </row>
    <row r="3262" spans="1:3" x14ac:dyDescent="0.3">
      <c r="A3262" t="s">
        <v>3319</v>
      </c>
      <c r="B3262">
        <f>IF(ISNUMBER(SEARCH(Form!$C$11,Tabel2[[#This Row],[Coordinate Projection System]])),MAX($B$1:B3261)+1,0)</f>
        <v>3261</v>
      </c>
      <c r="C3262" t="str">
        <f t="shared" si="50"/>
        <v>NAD83(2011) / Vermont (ftUS)</v>
      </c>
    </row>
    <row r="3263" spans="1:3" x14ac:dyDescent="0.3">
      <c r="A3263" t="s">
        <v>3320</v>
      </c>
      <c r="B3263">
        <f>IF(ISNUMBER(SEARCH(Form!$C$11,Tabel2[[#This Row],[Coordinate Projection System]])),MAX($B$1:B3262)+1,0)</f>
        <v>3262</v>
      </c>
      <c r="C3263" t="str">
        <f t="shared" si="50"/>
        <v>NAD83(2011) / Virginia Lambert</v>
      </c>
    </row>
    <row r="3264" spans="1:3" x14ac:dyDescent="0.3">
      <c r="A3264" t="s">
        <v>3321</v>
      </c>
      <c r="B3264">
        <f>IF(ISNUMBER(SEARCH(Form!$C$11,Tabel2[[#This Row],[Coordinate Projection System]])),MAX($B$1:B3263)+1,0)</f>
        <v>3263</v>
      </c>
      <c r="C3264" t="str">
        <f t="shared" si="50"/>
        <v>NAD83(2011) / Virginia North</v>
      </c>
    </row>
    <row r="3265" spans="1:3" x14ac:dyDescent="0.3">
      <c r="A3265" t="s">
        <v>3322</v>
      </c>
      <c r="B3265">
        <f>IF(ISNUMBER(SEARCH(Form!$C$11,Tabel2[[#This Row],[Coordinate Projection System]])),MAX($B$1:B3264)+1,0)</f>
        <v>3264</v>
      </c>
      <c r="C3265" t="str">
        <f t="shared" si="50"/>
        <v>NAD83(2011) / Virginia North (ftUS)</v>
      </c>
    </row>
    <row r="3266" spans="1:3" x14ac:dyDescent="0.3">
      <c r="A3266" t="s">
        <v>3323</v>
      </c>
      <c r="B3266">
        <f>IF(ISNUMBER(SEARCH(Form!$C$11,Tabel2[[#This Row],[Coordinate Projection System]])),MAX($B$1:B3265)+1,0)</f>
        <v>3265</v>
      </c>
      <c r="C3266" t="str">
        <f t="shared" si="50"/>
        <v>NAD83(2011) / Virginia South</v>
      </c>
    </row>
    <row r="3267" spans="1:3" x14ac:dyDescent="0.3">
      <c r="A3267" t="s">
        <v>3324</v>
      </c>
      <c r="B3267">
        <f>IF(ISNUMBER(SEARCH(Form!$C$11,Tabel2[[#This Row],[Coordinate Projection System]])),MAX($B$1:B3266)+1,0)</f>
        <v>3266</v>
      </c>
      <c r="C3267" t="str">
        <f t="shared" ref="C3267:C3330" si="51">_xlfn.IFNA(INDEX(A3267:A8778,MATCH(ROW(C3266),B3267:B8778,0)),"")</f>
        <v>NAD83(2011) / Virginia South (ftUS)</v>
      </c>
    </row>
    <row r="3268" spans="1:3" x14ac:dyDescent="0.3">
      <c r="A3268" t="s">
        <v>3325</v>
      </c>
      <c r="B3268">
        <f>IF(ISNUMBER(SEARCH(Form!$C$11,Tabel2[[#This Row],[Coordinate Projection System]])),MAX($B$1:B3267)+1,0)</f>
        <v>3267</v>
      </c>
      <c r="C3268" t="str">
        <f t="shared" si="51"/>
        <v>NAD83(2011) / Washington North</v>
      </c>
    </row>
    <row r="3269" spans="1:3" x14ac:dyDescent="0.3">
      <c r="A3269" t="s">
        <v>3326</v>
      </c>
      <c r="B3269">
        <f>IF(ISNUMBER(SEARCH(Form!$C$11,Tabel2[[#This Row],[Coordinate Projection System]])),MAX($B$1:B3268)+1,0)</f>
        <v>3268</v>
      </c>
      <c r="C3269" t="str">
        <f t="shared" si="51"/>
        <v>NAD83(2011) / Washington North (ftUS)</v>
      </c>
    </row>
    <row r="3270" spans="1:3" x14ac:dyDescent="0.3">
      <c r="A3270" t="s">
        <v>3327</v>
      </c>
      <c r="B3270">
        <f>IF(ISNUMBER(SEARCH(Form!$C$11,Tabel2[[#This Row],[Coordinate Projection System]])),MAX($B$1:B3269)+1,0)</f>
        <v>3269</v>
      </c>
      <c r="C3270" t="str">
        <f t="shared" si="51"/>
        <v>NAD83(2011) / Washington South</v>
      </c>
    </row>
    <row r="3271" spans="1:3" x14ac:dyDescent="0.3">
      <c r="A3271" t="s">
        <v>3328</v>
      </c>
      <c r="B3271">
        <f>IF(ISNUMBER(SEARCH(Form!$C$11,Tabel2[[#This Row],[Coordinate Projection System]])),MAX($B$1:B3270)+1,0)</f>
        <v>3270</v>
      </c>
      <c r="C3271" t="str">
        <f t="shared" si="51"/>
        <v>NAD83(2011) / Washington South (ftUS)</v>
      </c>
    </row>
    <row r="3272" spans="1:3" x14ac:dyDescent="0.3">
      <c r="A3272" t="s">
        <v>3329</v>
      </c>
      <c r="B3272">
        <f>IF(ISNUMBER(SEARCH(Form!$C$11,Tabel2[[#This Row],[Coordinate Projection System]])),MAX($B$1:B3271)+1,0)</f>
        <v>3271</v>
      </c>
      <c r="C3272" t="str">
        <f t="shared" si="51"/>
        <v>NAD83(2011) / West Virginia North</v>
      </c>
    </row>
    <row r="3273" spans="1:3" x14ac:dyDescent="0.3">
      <c r="A3273" t="s">
        <v>3330</v>
      </c>
      <c r="B3273">
        <f>IF(ISNUMBER(SEARCH(Form!$C$11,Tabel2[[#This Row],[Coordinate Projection System]])),MAX($B$1:B3272)+1,0)</f>
        <v>3272</v>
      </c>
      <c r="C3273" t="str">
        <f t="shared" si="51"/>
        <v>NAD83(2011) / West Virginia North (ftUS)</v>
      </c>
    </row>
    <row r="3274" spans="1:3" x14ac:dyDescent="0.3">
      <c r="A3274" t="s">
        <v>3331</v>
      </c>
      <c r="B3274">
        <f>IF(ISNUMBER(SEARCH(Form!$C$11,Tabel2[[#This Row],[Coordinate Projection System]])),MAX($B$1:B3273)+1,0)</f>
        <v>3273</v>
      </c>
      <c r="C3274" t="str">
        <f t="shared" si="51"/>
        <v>NAD83(2011) / West Virginia South</v>
      </c>
    </row>
    <row r="3275" spans="1:3" x14ac:dyDescent="0.3">
      <c r="A3275" t="s">
        <v>3332</v>
      </c>
      <c r="B3275">
        <f>IF(ISNUMBER(SEARCH(Form!$C$11,Tabel2[[#This Row],[Coordinate Projection System]])),MAX($B$1:B3274)+1,0)</f>
        <v>3274</v>
      </c>
      <c r="C3275" t="str">
        <f t="shared" si="51"/>
        <v>NAD83(2011) / West Virginia South (ftUS)</v>
      </c>
    </row>
    <row r="3276" spans="1:3" x14ac:dyDescent="0.3">
      <c r="A3276" t="s">
        <v>3333</v>
      </c>
      <c r="B3276">
        <f>IF(ISNUMBER(SEARCH(Form!$C$11,Tabel2[[#This Row],[Coordinate Projection System]])),MAX($B$1:B3275)+1,0)</f>
        <v>3275</v>
      </c>
      <c r="C3276" t="str">
        <f t="shared" si="51"/>
        <v>NAD83(2011) / Wisconsin Central (deprecated)</v>
      </c>
    </row>
    <row r="3277" spans="1:3" x14ac:dyDescent="0.3">
      <c r="A3277" t="s">
        <v>3334</v>
      </c>
      <c r="B3277">
        <f>IF(ISNUMBER(SEARCH(Form!$C$11,Tabel2[[#This Row],[Coordinate Projection System]])),MAX($B$1:B3276)+1,0)</f>
        <v>3276</v>
      </c>
      <c r="C3277" t="str">
        <f t="shared" si="51"/>
        <v>NAD83(2011) / Wisconsin Central (ftUS)</v>
      </c>
    </row>
    <row r="3278" spans="1:3" x14ac:dyDescent="0.3">
      <c r="A3278" t="s">
        <v>3335</v>
      </c>
      <c r="B3278">
        <f>IF(ISNUMBER(SEARCH(Form!$C$11,Tabel2[[#This Row],[Coordinate Projection System]])),MAX($B$1:B3277)+1,0)</f>
        <v>3277</v>
      </c>
      <c r="C3278" t="str">
        <f t="shared" si="51"/>
        <v>NAD83(2011) / Wisconsin North</v>
      </c>
    </row>
    <row r="3279" spans="1:3" x14ac:dyDescent="0.3">
      <c r="A3279" t="s">
        <v>3336</v>
      </c>
      <c r="B3279">
        <f>IF(ISNUMBER(SEARCH(Form!$C$11,Tabel2[[#This Row],[Coordinate Projection System]])),MAX($B$1:B3278)+1,0)</f>
        <v>3278</v>
      </c>
      <c r="C3279" t="str">
        <f t="shared" si="51"/>
        <v>NAD83(2011) / Wisconsin North (ftUS)</v>
      </c>
    </row>
    <row r="3280" spans="1:3" x14ac:dyDescent="0.3">
      <c r="A3280" t="s">
        <v>3337</v>
      </c>
      <c r="B3280">
        <f>IF(ISNUMBER(SEARCH(Form!$C$11,Tabel2[[#This Row],[Coordinate Projection System]])),MAX($B$1:B3279)+1,0)</f>
        <v>3279</v>
      </c>
      <c r="C3280" t="str">
        <f t="shared" si="51"/>
        <v>NAD83(2011) / Wisconsin South</v>
      </c>
    </row>
    <row r="3281" spans="1:3" x14ac:dyDescent="0.3">
      <c r="A3281" t="s">
        <v>3338</v>
      </c>
      <c r="B3281">
        <f>IF(ISNUMBER(SEARCH(Form!$C$11,Tabel2[[#This Row],[Coordinate Projection System]])),MAX($B$1:B3280)+1,0)</f>
        <v>3280</v>
      </c>
      <c r="C3281" t="str">
        <f t="shared" si="51"/>
        <v>NAD83(2011) / Wisconsin South (ftUS)</v>
      </c>
    </row>
    <row r="3282" spans="1:3" x14ac:dyDescent="0.3">
      <c r="A3282" t="s">
        <v>3339</v>
      </c>
      <c r="B3282">
        <f>IF(ISNUMBER(SEARCH(Form!$C$11,Tabel2[[#This Row],[Coordinate Projection System]])),MAX($B$1:B3281)+1,0)</f>
        <v>3281</v>
      </c>
      <c r="C3282" t="str">
        <f t="shared" si="51"/>
        <v>NAD83(2011) / Wisconsin Transverse Mercator</v>
      </c>
    </row>
    <row r="3283" spans="1:3" x14ac:dyDescent="0.3">
      <c r="A3283" t="s">
        <v>3340</v>
      </c>
      <c r="B3283">
        <f>IF(ISNUMBER(SEARCH(Form!$C$11,Tabel2[[#This Row],[Coordinate Projection System]])),MAX($B$1:B3282)+1,0)</f>
        <v>3282</v>
      </c>
      <c r="C3283" t="str">
        <f t="shared" si="51"/>
        <v>NAD83(2011) / Wyoming East</v>
      </c>
    </row>
    <row r="3284" spans="1:3" x14ac:dyDescent="0.3">
      <c r="A3284" t="s">
        <v>3341</v>
      </c>
      <c r="B3284">
        <f>IF(ISNUMBER(SEARCH(Form!$C$11,Tabel2[[#This Row],[Coordinate Projection System]])),MAX($B$1:B3283)+1,0)</f>
        <v>3283</v>
      </c>
      <c r="C3284" t="str">
        <f t="shared" si="51"/>
        <v>NAD83(2011) / Wyoming East (ftUS)</v>
      </c>
    </row>
    <row r="3285" spans="1:3" x14ac:dyDescent="0.3">
      <c r="A3285" t="s">
        <v>3342</v>
      </c>
      <c r="B3285">
        <f>IF(ISNUMBER(SEARCH(Form!$C$11,Tabel2[[#This Row],[Coordinate Projection System]])),MAX($B$1:B3284)+1,0)</f>
        <v>3284</v>
      </c>
      <c r="C3285" t="str">
        <f t="shared" si="51"/>
        <v>NAD83(2011) / Wyoming East Central</v>
      </c>
    </row>
    <row r="3286" spans="1:3" x14ac:dyDescent="0.3">
      <c r="A3286" t="s">
        <v>3343</v>
      </c>
      <c r="B3286">
        <f>IF(ISNUMBER(SEARCH(Form!$C$11,Tabel2[[#This Row],[Coordinate Projection System]])),MAX($B$1:B3285)+1,0)</f>
        <v>3285</v>
      </c>
      <c r="C3286" t="str">
        <f t="shared" si="51"/>
        <v>NAD83(2011) / Wyoming East Central (ftUS)</v>
      </c>
    </row>
    <row r="3287" spans="1:3" x14ac:dyDescent="0.3">
      <c r="A3287" t="s">
        <v>3344</v>
      </c>
      <c r="B3287">
        <f>IF(ISNUMBER(SEARCH(Form!$C$11,Tabel2[[#This Row],[Coordinate Projection System]])),MAX($B$1:B3286)+1,0)</f>
        <v>3286</v>
      </c>
      <c r="C3287" t="str">
        <f t="shared" si="51"/>
        <v>NAD83(2011) / Wyoming West</v>
      </c>
    </row>
    <row r="3288" spans="1:3" x14ac:dyDescent="0.3">
      <c r="A3288" t="s">
        <v>3345</v>
      </c>
      <c r="B3288">
        <f>IF(ISNUMBER(SEARCH(Form!$C$11,Tabel2[[#This Row],[Coordinate Projection System]])),MAX($B$1:B3287)+1,0)</f>
        <v>3287</v>
      </c>
      <c r="C3288" t="str">
        <f t="shared" si="51"/>
        <v>NAD83(2011) / Wyoming West (ftUS)</v>
      </c>
    </row>
    <row r="3289" spans="1:3" x14ac:dyDescent="0.3">
      <c r="A3289" t="s">
        <v>3346</v>
      </c>
      <c r="B3289">
        <f>IF(ISNUMBER(SEARCH(Form!$C$11,Tabel2[[#This Row],[Coordinate Projection System]])),MAX($B$1:B3288)+1,0)</f>
        <v>3288</v>
      </c>
      <c r="C3289" t="str">
        <f t="shared" si="51"/>
        <v>NAD83(2011) / Wyoming West Central</v>
      </c>
    </row>
    <row r="3290" spans="1:3" x14ac:dyDescent="0.3">
      <c r="A3290" t="s">
        <v>3347</v>
      </c>
      <c r="B3290">
        <f>IF(ISNUMBER(SEARCH(Form!$C$11,Tabel2[[#This Row],[Coordinate Projection System]])),MAX($B$1:B3289)+1,0)</f>
        <v>3289</v>
      </c>
      <c r="C3290" t="str">
        <f t="shared" si="51"/>
        <v>NAD83(2011) / Wyoming West Central (ftUS)</v>
      </c>
    </row>
    <row r="3291" spans="1:3" x14ac:dyDescent="0.3">
      <c r="A3291" t="s">
        <v>3348</v>
      </c>
      <c r="B3291">
        <f>IF(ISNUMBER(SEARCH(Form!$C$11,Tabel2[[#This Row],[Coordinate Projection System]])),MAX($B$1:B3290)+1,0)</f>
        <v>3290</v>
      </c>
      <c r="C3291" t="str">
        <f t="shared" si="51"/>
        <v>NAD83(2011) / Utah Central</v>
      </c>
    </row>
    <row r="3292" spans="1:3" x14ac:dyDescent="0.3">
      <c r="A3292" t="s">
        <v>3349</v>
      </c>
      <c r="B3292">
        <f>IF(ISNUMBER(SEARCH(Form!$C$11,Tabel2[[#This Row],[Coordinate Projection System]])),MAX($B$1:B3291)+1,0)</f>
        <v>3291</v>
      </c>
      <c r="C3292" t="str">
        <f t="shared" si="51"/>
        <v>NAD83(2011) / Utah North</v>
      </c>
    </row>
    <row r="3293" spans="1:3" x14ac:dyDescent="0.3">
      <c r="A3293" t="s">
        <v>3350</v>
      </c>
      <c r="B3293">
        <f>IF(ISNUMBER(SEARCH(Form!$C$11,Tabel2[[#This Row],[Coordinate Projection System]])),MAX($B$1:B3292)+1,0)</f>
        <v>3292</v>
      </c>
      <c r="C3293" t="str">
        <f t="shared" si="51"/>
        <v>NAD83(2011) / Utah South</v>
      </c>
    </row>
    <row r="3294" spans="1:3" x14ac:dyDescent="0.3">
      <c r="A3294" t="s">
        <v>3351</v>
      </c>
      <c r="B3294">
        <f>IF(ISNUMBER(SEARCH(Form!$C$11,Tabel2[[#This Row],[Coordinate Projection System]])),MAX($B$1:B3293)+1,0)</f>
        <v>3293</v>
      </c>
      <c r="C3294" t="str">
        <f t="shared" si="51"/>
        <v>NAD83(CSRS) / Quebec Lambert</v>
      </c>
    </row>
    <row r="3295" spans="1:3" x14ac:dyDescent="0.3">
      <c r="A3295" t="s">
        <v>3352</v>
      </c>
      <c r="B3295">
        <f>IF(ISNUMBER(SEARCH(Form!$C$11,Tabel2[[#This Row],[Coordinate Projection System]])),MAX($B$1:B3294)+1,0)</f>
        <v>3294</v>
      </c>
      <c r="C3295" t="str">
        <f t="shared" si="51"/>
        <v>NAD83 / Quebec Albers</v>
      </c>
    </row>
    <row r="3296" spans="1:3" x14ac:dyDescent="0.3">
      <c r="A3296" t="s">
        <v>3353</v>
      </c>
      <c r="B3296">
        <f>IF(ISNUMBER(SEARCH(Form!$C$11,Tabel2[[#This Row],[Coordinate Projection System]])),MAX($B$1:B3295)+1,0)</f>
        <v>3295</v>
      </c>
      <c r="C3296" t="str">
        <f t="shared" si="51"/>
        <v>NAD83(CSRS) / Quebec Albers</v>
      </c>
    </row>
    <row r="3297" spans="1:3" x14ac:dyDescent="0.3">
      <c r="A3297" t="s">
        <v>3354</v>
      </c>
      <c r="B3297">
        <f>IF(ISNUMBER(SEARCH(Form!$C$11,Tabel2[[#This Row],[Coordinate Projection System]])),MAX($B$1:B3296)+1,0)</f>
        <v>3296</v>
      </c>
      <c r="C3297" t="str">
        <f t="shared" si="51"/>
        <v>NAD83(2011) / Utah Central (ftUS)</v>
      </c>
    </row>
    <row r="3298" spans="1:3" x14ac:dyDescent="0.3">
      <c r="A3298" t="s">
        <v>3355</v>
      </c>
      <c r="B3298">
        <f>IF(ISNUMBER(SEARCH(Form!$C$11,Tabel2[[#This Row],[Coordinate Projection System]])),MAX($B$1:B3297)+1,0)</f>
        <v>3297</v>
      </c>
      <c r="C3298" t="str">
        <f t="shared" si="51"/>
        <v>NAD83(2011) / Utah North (ftUS)</v>
      </c>
    </row>
    <row r="3299" spans="1:3" x14ac:dyDescent="0.3">
      <c r="A3299" t="s">
        <v>3356</v>
      </c>
      <c r="B3299">
        <f>IF(ISNUMBER(SEARCH(Form!$C$11,Tabel2[[#This Row],[Coordinate Projection System]])),MAX($B$1:B3298)+1,0)</f>
        <v>3298</v>
      </c>
      <c r="C3299" t="str">
        <f t="shared" si="51"/>
        <v>NAD83(2011) / Utah South (ftUS)</v>
      </c>
    </row>
    <row r="3300" spans="1:3" x14ac:dyDescent="0.3">
      <c r="A3300" t="s">
        <v>3357</v>
      </c>
      <c r="B3300">
        <f>IF(ISNUMBER(SEARCH(Form!$C$11,Tabel2[[#This Row],[Coordinate Projection System]])),MAX($B$1:B3299)+1,0)</f>
        <v>3299</v>
      </c>
      <c r="C3300" t="str">
        <f t="shared" si="51"/>
        <v>NAD83(PA11) / Hawaii zone 1</v>
      </c>
    </row>
    <row r="3301" spans="1:3" x14ac:dyDescent="0.3">
      <c r="A3301" t="s">
        <v>3358</v>
      </c>
      <c r="B3301">
        <f>IF(ISNUMBER(SEARCH(Form!$C$11,Tabel2[[#This Row],[Coordinate Projection System]])),MAX($B$1:B3300)+1,0)</f>
        <v>3300</v>
      </c>
      <c r="C3301" t="str">
        <f t="shared" si="51"/>
        <v>NAD83(PA11) / Hawaii zone 2</v>
      </c>
    </row>
    <row r="3302" spans="1:3" x14ac:dyDescent="0.3">
      <c r="A3302" t="s">
        <v>3359</v>
      </c>
      <c r="B3302">
        <f>IF(ISNUMBER(SEARCH(Form!$C$11,Tabel2[[#This Row],[Coordinate Projection System]])),MAX($B$1:B3301)+1,0)</f>
        <v>3301</v>
      </c>
      <c r="C3302" t="str">
        <f t="shared" si="51"/>
        <v>NAD83(PA11) / Hawaii zone 3</v>
      </c>
    </row>
    <row r="3303" spans="1:3" x14ac:dyDescent="0.3">
      <c r="A3303" t="s">
        <v>3360</v>
      </c>
      <c r="B3303">
        <f>IF(ISNUMBER(SEARCH(Form!$C$11,Tabel2[[#This Row],[Coordinate Projection System]])),MAX($B$1:B3302)+1,0)</f>
        <v>3302</v>
      </c>
      <c r="C3303" t="str">
        <f t="shared" si="51"/>
        <v>NAD83(PA11) / Hawaii zone 4</v>
      </c>
    </row>
    <row r="3304" spans="1:3" x14ac:dyDescent="0.3">
      <c r="A3304" t="s">
        <v>3361</v>
      </c>
      <c r="B3304">
        <f>IF(ISNUMBER(SEARCH(Form!$C$11,Tabel2[[#This Row],[Coordinate Projection System]])),MAX($B$1:B3303)+1,0)</f>
        <v>3303</v>
      </c>
      <c r="C3304" t="str">
        <f t="shared" si="51"/>
        <v>NAD83(PA11) / Hawaii zone 5</v>
      </c>
    </row>
    <row r="3305" spans="1:3" x14ac:dyDescent="0.3">
      <c r="A3305" t="s">
        <v>3362</v>
      </c>
      <c r="B3305">
        <f>IF(ISNUMBER(SEARCH(Form!$C$11,Tabel2[[#This Row],[Coordinate Projection System]])),MAX($B$1:B3304)+1,0)</f>
        <v>3304</v>
      </c>
      <c r="C3305" t="str">
        <f t="shared" si="51"/>
        <v>NAD83(PA11) / Hawaii zone 3 (ftUS)</v>
      </c>
    </row>
    <row r="3306" spans="1:3" x14ac:dyDescent="0.3">
      <c r="A3306" t="s">
        <v>3363</v>
      </c>
      <c r="B3306">
        <f>IF(ISNUMBER(SEARCH(Form!$C$11,Tabel2[[#This Row],[Coordinate Projection System]])),MAX($B$1:B3305)+1,0)</f>
        <v>3305</v>
      </c>
      <c r="C3306" t="str">
        <f t="shared" si="51"/>
        <v>NAD83(PA11) / UTM zone 4N</v>
      </c>
    </row>
    <row r="3307" spans="1:3" x14ac:dyDescent="0.3">
      <c r="A3307" t="s">
        <v>3364</v>
      </c>
      <c r="B3307">
        <f>IF(ISNUMBER(SEARCH(Form!$C$11,Tabel2[[#This Row],[Coordinate Projection System]])),MAX($B$1:B3306)+1,0)</f>
        <v>3306</v>
      </c>
      <c r="C3307" t="str">
        <f t="shared" si="51"/>
        <v>NAD83(PA11) / UTM zone 5N</v>
      </c>
    </row>
    <row r="3308" spans="1:3" x14ac:dyDescent="0.3">
      <c r="A3308" t="s">
        <v>3365</v>
      </c>
      <c r="B3308">
        <f>IF(ISNUMBER(SEARCH(Form!$C$11,Tabel2[[#This Row],[Coordinate Projection System]])),MAX($B$1:B3307)+1,0)</f>
        <v>3307</v>
      </c>
      <c r="C3308" t="str">
        <f t="shared" si="51"/>
        <v>NAD83(PA11) / UTM zone 2S</v>
      </c>
    </row>
    <row r="3309" spans="1:3" x14ac:dyDescent="0.3">
      <c r="A3309" t="s">
        <v>3366</v>
      </c>
      <c r="B3309">
        <f>IF(ISNUMBER(SEARCH(Form!$C$11,Tabel2[[#This Row],[Coordinate Projection System]])),MAX($B$1:B3308)+1,0)</f>
        <v>3308</v>
      </c>
      <c r="C3309" t="str">
        <f t="shared" si="51"/>
        <v>NAD83(MA11) / Guam Map Grid</v>
      </c>
    </row>
    <row r="3310" spans="1:3" x14ac:dyDescent="0.3">
      <c r="A3310" t="s">
        <v>3367</v>
      </c>
      <c r="B3310">
        <f>IF(ISNUMBER(SEARCH(Form!$C$11,Tabel2[[#This Row],[Coordinate Projection System]])),MAX($B$1:B3309)+1,0)</f>
        <v>3309</v>
      </c>
      <c r="C3310" t="str">
        <f t="shared" si="51"/>
        <v>Karbala 1979 / Iraq National Grid</v>
      </c>
    </row>
    <row r="3311" spans="1:3" x14ac:dyDescent="0.3">
      <c r="A3311" t="s">
        <v>3368</v>
      </c>
      <c r="B3311">
        <f>IF(ISNUMBER(SEARCH(Form!$C$11,Tabel2[[#This Row],[Coordinate Projection System]])),MAX($B$1:B3310)+1,0)</f>
        <v>3310</v>
      </c>
      <c r="C3311" t="str">
        <f t="shared" si="51"/>
        <v>JGD2011 / Japan Plane Rectangular CS I</v>
      </c>
    </row>
    <row r="3312" spans="1:3" x14ac:dyDescent="0.3">
      <c r="A3312" t="s">
        <v>3369</v>
      </c>
      <c r="B3312">
        <f>IF(ISNUMBER(SEARCH(Form!$C$11,Tabel2[[#This Row],[Coordinate Projection System]])),MAX($B$1:B3311)+1,0)</f>
        <v>3311</v>
      </c>
      <c r="C3312" t="str">
        <f t="shared" si="51"/>
        <v>JGD2011 / Japan Plane Rectangular CS II</v>
      </c>
    </row>
    <row r="3313" spans="1:3" x14ac:dyDescent="0.3">
      <c r="A3313" t="s">
        <v>3370</v>
      </c>
      <c r="B3313">
        <f>IF(ISNUMBER(SEARCH(Form!$C$11,Tabel2[[#This Row],[Coordinate Projection System]])),MAX($B$1:B3312)+1,0)</f>
        <v>3312</v>
      </c>
      <c r="C3313" t="str">
        <f t="shared" si="51"/>
        <v>JGD2011 / Japan Plane Rectangular CS III</v>
      </c>
    </row>
    <row r="3314" spans="1:3" x14ac:dyDescent="0.3">
      <c r="A3314" t="s">
        <v>3371</v>
      </c>
      <c r="B3314">
        <f>IF(ISNUMBER(SEARCH(Form!$C$11,Tabel2[[#This Row],[Coordinate Projection System]])),MAX($B$1:B3313)+1,0)</f>
        <v>3313</v>
      </c>
      <c r="C3314" t="str">
        <f t="shared" si="51"/>
        <v>JGD2011 / Japan Plane Rectangular CS IV</v>
      </c>
    </row>
    <row r="3315" spans="1:3" x14ac:dyDescent="0.3">
      <c r="A3315" t="s">
        <v>3372</v>
      </c>
      <c r="B3315">
        <f>IF(ISNUMBER(SEARCH(Form!$C$11,Tabel2[[#This Row],[Coordinate Projection System]])),MAX($B$1:B3314)+1,0)</f>
        <v>3314</v>
      </c>
      <c r="C3315" t="str">
        <f t="shared" si="51"/>
        <v>JGD2011 / Japan Plane Rectangular CS V</v>
      </c>
    </row>
    <row r="3316" spans="1:3" x14ac:dyDescent="0.3">
      <c r="A3316" t="s">
        <v>3373</v>
      </c>
      <c r="B3316">
        <f>IF(ISNUMBER(SEARCH(Form!$C$11,Tabel2[[#This Row],[Coordinate Projection System]])),MAX($B$1:B3315)+1,0)</f>
        <v>3315</v>
      </c>
      <c r="C3316" t="str">
        <f t="shared" si="51"/>
        <v>JGD2011 / Japan Plane Rectangular CS VI</v>
      </c>
    </row>
    <row r="3317" spans="1:3" x14ac:dyDescent="0.3">
      <c r="A3317" t="s">
        <v>3374</v>
      </c>
      <c r="B3317">
        <f>IF(ISNUMBER(SEARCH(Form!$C$11,Tabel2[[#This Row],[Coordinate Projection System]])),MAX($B$1:B3316)+1,0)</f>
        <v>3316</v>
      </c>
      <c r="C3317" t="str">
        <f t="shared" si="51"/>
        <v>JGD2011 / Japan Plane Rectangular CS VII</v>
      </c>
    </row>
    <row r="3318" spans="1:3" x14ac:dyDescent="0.3">
      <c r="A3318" t="s">
        <v>3375</v>
      </c>
      <c r="B3318">
        <f>IF(ISNUMBER(SEARCH(Form!$C$11,Tabel2[[#This Row],[Coordinate Projection System]])),MAX($B$1:B3317)+1,0)</f>
        <v>3317</v>
      </c>
      <c r="C3318" t="str">
        <f t="shared" si="51"/>
        <v>JGD2011 / Japan Plane Rectangular CS VIII</v>
      </c>
    </row>
    <row r="3319" spans="1:3" x14ac:dyDescent="0.3">
      <c r="A3319" t="s">
        <v>3376</v>
      </c>
      <c r="B3319">
        <f>IF(ISNUMBER(SEARCH(Form!$C$11,Tabel2[[#This Row],[Coordinate Projection System]])),MAX($B$1:B3318)+1,0)</f>
        <v>3318</v>
      </c>
      <c r="C3319" t="str">
        <f t="shared" si="51"/>
        <v>JGD2011 / Japan Plane Rectangular CS IX</v>
      </c>
    </row>
    <row r="3320" spans="1:3" x14ac:dyDescent="0.3">
      <c r="A3320" t="s">
        <v>3377</v>
      </c>
      <c r="B3320">
        <f>IF(ISNUMBER(SEARCH(Form!$C$11,Tabel2[[#This Row],[Coordinate Projection System]])),MAX($B$1:B3319)+1,0)</f>
        <v>3319</v>
      </c>
      <c r="C3320" t="str">
        <f t="shared" si="51"/>
        <v>JGD2011 / Japan Plane Rectangular CS X</v>
      </c>
    </row>
    <row r="3321" spans="1:3" x14ac:dyDescent="0.3">
      <c r="A3321" t="s">
        <v>3378</v>
      </c>
      <c r="B3321">
        <f>IF(ISNUMBER(SEARCH(Form!$C$11,Tabel2[[#This Row],[Coordinate Projection System]])),MAX($B$1:B3320)+1,0)</f>
        <v>3320</v>
      </c>
      <c r="C3321" t="str">
        <f t="shared" si="51"/>
        <v>JGD2011 / Japan Plane Rectangular CS XI</v>
      </c>
    </row>
    <row r="3322" spans="1:3" x14ac:dyDescent="0.3">
      <c r="A3322" t="s">
        <v>3379</v>
      </c>
      <c r="B3322">
        <f>IF(ISNUMBER(SEARCH(Form!$C$11,Tabel2[[#This Row],[Coordinate Projection System]])),MAX($B$1:B3321)+1,0)</f>
        <v>3321</v>
      </c>
      <c r="C3322" t="str">
        <f t="shared" si="51"/>
        <v>JGD2011 / Japan Plane Rectangular CS XII</v>
      </c>
    </row>
    <row r="3323" spans="1:3" x14ac:dyDescent="0.3">
      <c r="A3323" t="s">
        <v>3380</v>
      </c>
      <c r="B3323">
        <f>IF(ISNUMBER(SEARCH(Form!$C$11,Tabel2[[#This Row],[Coordinate Projection System]])),MAX($B$1:B3322)+1,0)</f>
        <v>3322</v>
      </c>
      <c r="C3323" t="str">
        <f t="shared" si="51"/>
        <v>JGD2011 / Japan Plane Rectangular CS XIII</v>
      </c>
    </row>
    <row r="3324" spans="1:3" x14ac:dyDescent="0.3">
      <c r="A3324" t="s">
        <v>3381</v>
      </c>
      <c r="B3324">
        <f>IF(ISNUMBER(SEARCH(Form!$C$11,Tabel2[[#This Row],[Coordinate Projection System]])),MAX($B$1:B3323)+1,0)</f>
        <v>3323</v>
      </c>
      <c r="C3324" t="str">
        <f t="shared" si="51"/>
        <v>JGD2011 / Japan Plane Rectangular CS XIV</v>
      </c>
    </row>
    <row r="3325" spans="1:3" x14ac:dyDescent="0.3">
      <c r="A3325" t="s">
        <v>3382</v>
      </c>
      <c r="B3325">
        <f>IF(ISNUMBER(SEARCH(Form!$C$11,Tabel2[[#This Row],[Coordinate Projection System]])),MAX($B$1:B3324)+1,0)</f>
        <v>3324</v>
      </c>
      <c r="C3325" t="str">
        <f t="shared" si="51"/>
        <v>JGD2011 / Japan Plane Rectangular CS XV</v>
      </c>
    </row>
    <row r="3326" spans="1:3" x14ac:dyDescent="0.3">
      <c r="A3326" t="s">
        <v>3383</v>
      </c>
      <c r="B3326">
        <f>IF(ISNUMBER(SEARCH(Form!$C$11,Tabel2[[#This Row],[Coordinate Projection System]])),MAX($B$1:B3325)+1,0)</f>
        <v>3325</v>
      </c>
      <c r="C3326" t="str">
        <f t="shared" si="51"/>
        <v>JGD2011 / Japan Plane Rectangular CS XVI</v>
      </c>
    </row>
    <row r="3327" spans="1:3" x14ac:dyDescent="0.3">
      <c r="A3327" t="s">
        <v>3384</v>
      </c>
      <c r="B3327">
        <f>IF(ISNUMBER(SEARCH(Form!$C$11,Tabel2[[#This Row],[Coordinate Projection System]])),MAX($B$1:B3326)+1,0)</f>
        <v>3326</v>
      </c>
      <c r="C3327" t="str">
        <f t="shared" si="51"/>
        <v>JGD2011 / Japan Plane Rectangular CS XVII</v>
      </c>
    </row>
    <row r="3328" spans="1:3" x14ac:dyDescent="0.3">
      <c r="A3328" t="s">
        <v>3385</v>
      </c>
      <c r="B3328">
        <f>IF(ISNUMBER(SEARCH(Form!$C$11,Tabel2[[#This Row],[Coordinate Projection System]])),MAX($B$1:B3327)+1,0)</f>
        <v>3327</v>
      </c>
      <c r="C3328" t="str">
        <f t="shared" si="51"/>
        <v>JGD2011 / Japan Plane Rectangular CS XVIII</v>
      </c>
    </row>
    <row r="3329" spans="1:3" x14ac:dyDescent="0.3">
      <c r="A3329" t="s">
        <v>3386</v>
      </c>
      <c r="B3329">
        <f>IF(ISNUMBER(SEARCH(Form!$C$11,Tabel2[[#This Row],[Coordinate Projection System]])),MAX($B$1:B3328)+1,0)</f>
        <v>3328</v>
      </c>
      <c r="C3329" t="str">
        <f t="shared" si="51"/>
        <v>JGD2011 / Japan Plane Rectangular CS XIX</v>
      </c>
    </row>
    <row r="3330" spans="1:3" x14ac:dyDescent="0.3">
      <c r="A3330" t="s">
        <v>3387</v>
      </c>
      <c r="B3330">
        <f>IF(ISNUMBER(SEARCH(Form!$C$11,Tabel2[[#This Row],[Coordinate Projection System]])),MAX($B$1:B3329)+1,0)</f>
        <v>3329</v>
      </c>
      <c r="C3330" t="str">
        <f t="shared" si="51"/>
        <v>JGD2011 / UTM zone 51N</v>
      </c>
    </row>
    <row r="3331" spans="1:3" x14ac:dyDescent="0.3">
      <c r="A3331" t="s">
        <v>3388</v>
      </c>
      <c r="B3331">
        <f>IF(ISNUMBER(SEARCH(Form!$C$11,Tabel2[[#This Row],[Coordinate Projection System]])),MAX($B$1:B3330)+1,0)</f>
        <v>3330</v>
      </c>
      <c r="C3331" t="str">
        <f t="shared" ref="C3331:C3394" si="52">_xlfn.IFNA(INDEX(A3331:A8842,MATCH(ROW(C3330),B3331:B8842,0)),"")</f>
        <v>JGD2011 / UTM zone 52N</v>
      </c>
    </row>
    <row r="3332" spans="1:3" x14ac:dyDescent="0.3">
      <c r="A3332" t="s">
        <v>3389</v>
      </c>
      <c r="B3332">
        <f>IF(ISNUMBER(SEARCH(Form!$C$11,Tabel2[[#This Row],[Coordinate Projection System]])),MAX($B$1:B3331)+1,0)</f>
        <v>3331</v>
      </c>
      <c r="C3332" t="str">
        <f t="shared" si="52"/>
        <v>JGD2011 / UTM zone 53N</v>
      </c>
    </row>
    <row r="3333" spans="1:3" x14ac:dyDescent="0.3">
      <c r="A3333" t="s">
        <v>3390</v>
      </c>
      <c r="B3333">
        <f>IF(ISNUMBER(SEARCH(Form!$C$11,Tabel2[[#This Row],[Coordinate Projection System]])),MAX($B$1:B3332)+1,0)</f>
        <v>3332</v>
      </c>
      <c r="C3333" t="str">
        <f t="shared" si="52"/>
        <v>JGD2011 / UTM zone 54N</v>
      </c>
    </row>
    <row r="3334" spans="1:3" x14ac:dyDescent="0.3">
      <c r="A3334" t="s">
        <v>3391</v>
      </c>
      <c r="B3334">
        <f>IF(ISNUMBER(SEARCH(Form!$C$11,Tabel2[[#This Row],[Coordinate Projection System]])),MAX($B$1:B3333)+1,0)</f>
        <v>3333</v>
      </c>
      <c r="C3334" t="str">
        <f t="shared" si="52"/>
        <v>JGD2011 / UTM zone 55N</v>
      </c>
    </row>
    <row r="3335" spans="1:3" x14ac:dyDescent="0.3">
      <c r="A3335" t="s">
        <v>3392</v>
      </c>
      <c r="B3335">
        <f>IF(ISNUMBER(SEARCH(Form!$C$11,Tabel2[[#This Row],[Coordinate Projection System]])),MAX($B$1:B3334)+1,0)</f>
        <v>3334</v>
      </c>
      <c r="C3335" t="str">
        <f t="shared" si="52"/>
        <v>WGS 84 / TM 60 SW</v>
      </c>
    </row>
    <row r="3336" spans="1:3" x14ac:dyDescent="0.3">
      <c r="A3336" t="s">
        <v>3393</v>
      </c>
      <c r="B3336">
        <f>IF(ISNUMBER(SEARCH(Form!$C$11,Tabel2[[#This Row],[Coordinate Projection System]])),MAX($B$1:B3335)+1,0)</f>
        <v>3335</v>
      </c>
      <c r="C3336" t="str">
        <f t="shared" si="52"/>
        <v>RDN2008 / TM32</v>
      </c>
    </row>
    <row r="3337" spans="1:3" x14ac:dyDescent="0.3">
      <c r="A3337" t="s">
        <v>3394</v>
      </c>
      <c r="B3337">
        <f>IF(ISNUMBER(SEARCH(Form!$C$11,Tabel2[[#This Row],[Coordinate Projection System]])),MAX($B$1:B3336)+1,0)</f>
        <v>3336</v>
      </c>
      <c r="C3337" t="str">
        <f t="shared" si="52"/>
        <v>RDN2008 / TM33</v>
      </c>
    </row>
    <row r="3338" spans="1:3" x14ac:dyDescent="0.3">
      <c r="A3338" t="s">
        <v>3395</v>
      </c>
      <c r="B3338">
        <f>IF(ISNUMBER(SEARCH(Form!$C$11,Tabel2[[#This Row],[Coordinate Projection System]])),MAX($B$1:B3337)+1,0)</f>
        <v>3337</v>
      </c>
      <c r="C3338" t="str">
        <f t="shared" si="52"/>
        <v>RDN2008 / TM34</v>
      </c>
    </row>
    <row r="3339" spans="1:3" x14ac:dyDescent="0.3">
      <c r="A3339" t="s">
        <v>3396</v>
      </c>
      <c r="B3339">
        <f>IF(ISNUMBER(SEARCH(Form!$C$11,Tabel2[[#This Row],[Coordinate Projection System]])),MAX($B$1:B3338)+1,0)</f>
        <v>3338</v>
      </c>
      <c r="C3339" t="str">
        <f t="shared" si="52"/>
        <v>WGS 84 / CIG92</v>
      </c>
    </row>
    <row r="3340" spans="1:3" x14ac:dyDescent="0.3">
      <c r="A3340" t="s">
        <v>3397</v>
      </c>
      <c r="B3340">
        <f>IF(ISNUMBER(SEARCH(Form!$C$11,Tabel2[[#This Row],[Coordinate Projection System]])),MAX($B$1:B3339)+1,0)</f>
        <v>3339</v>
      </c>
      <c r="C3340" t="str">
        <f t="shared" si="52"/>
        <v>GDA94 / CIG94</v>
      </c>
    </row>
    <row r="3341" spans="1:3" x14ac:dyDescent="0.3">
      <c r="A3341" t="s">
        <v>3398</v>
      </c>
      <c r="B3341">
        <f>IF(ISNUMBER(SEARCH(Form!$C$11,Tabel2[[#This Row],[Coordinate Projection System]])),MAX($B$1:B3340)+1,0)</f>
        <v>3340</v>
      </c>
      <c r="C3341" t="str">
        <f t="shared" si="52"/>
        <v>WGS 84 / CKIG92</v>
      </c>
    </row>
    <row r="3342" spans="1:3" x14ac:dyDescent="0.3">
      <c r="A3342" t="s">
        <v>3399</v>
      </c>
      <c r="B3342">
        <f>IF(ISNUMBER(SEARCH(Form!$C$11,Tabel2[[#This Row],[Coordinate Projection System]])),MAX($B$1:B3341)+1,0)</f>
        <v>3341</v>
      </c>
      <c r="C3342" t="str">
        <f t="shared" si="52"/>
        <v>GDA94 / CKIG94</v>
      </c>
    </row>
    <row r="3343" spans="1:3" x14ac:dyDescent="0.3">
      <c r="A3343" t="s">
        <v>3400</v>
      </c>
      <c r="B3343">
        <f>IF(ISNUMBER(SEARCH(Form!$C$11,Tabel2[[#This Row],[Coordinate Projection System]])),MAX($B$1:B3342)+1,0)</f>
        <v>3342</v>
      </c>
      <c r="C3343" t="str">
        <f t="shared" si="52"/>
        <v>GDA94 / MGA zone 41 (deprecated)</v>
      </c>
    </row>
    <row r="3344" spans="1:3" x14ac:dyDescent="0.3">
      <c r="A3344" t="s">
        <v>3401</v>
      </c>
      <c r="B3344">
        <f>IF(ISNUMBER(SEARCH(Form!$C$11,Tabel2[[#This Row],[Coordinate Projection System]])),MAX($B$1:B3343)+1,0)</f>
        <v>3343</v>
      </c>
      <c r="C3344" t="str">
        <f t="shared" si="52"/>
        <v>GDA94 / MGA zone 42 (deprecated)</v>
      </c>
    </row>
    <row r="3345" spans="1:3" x14ac:dyDescent="0.3">
      <c r="A3345" t="s">
        <v>3402</v>
      </c>
      <c r="B3345">
        <f>IF(ISNUMBER(SEARCH(Form!$C$11,Tabel2[[#This Row],[Coordinate Projection System]])),MAX($B$1:B3344)+1,0)</f>
        <v>3344</v>
      </c>
      <c r="C3345" t="str">
        <f t="shared" si="52"/>
        <v>GDA94 / MGA zone 43 (deprecated)</v>
      </c>
    </row>
    <row r="3346" spans="1:3" x14ac:dyDescent="0.3">
      <c r="A3346" t="s">
        <v>3403</v>
      </c>
      <c r="B3346">
        <f>IF(ISNUMBER(SEARCH(Form!$C$11,Tabel2[[#This Row],[Coordinate Projection System]])),MAX($B$1:B3345)+1,0)</f>
        <v>3345</v>
      </c>
      <c r="C3346" t="str">
        <f t="shared" si="52"/>
        <v>GDA94 / MGA zone 44 (deprecated)</v>
      </c>
    </row>
    <row r="3347" spans="1:3" x14ac:dyDescent="0.3">
      <c r="A3347" t="s">
        <v>3404</v>
      </c>
      <c r="B3347">
        <f>IF(ISNUMBER(SEARCH(Form!$C$11,Tabel2[[#This Row],[Coordinate Projection System]])),MAX($B$1:B3346)+1,0)</f>
        <v>3346</v>
      </c>
      <c r="C3347" t="str">
        <f t="shared" si="52"/>
        <v>GDA94 / MGA zone 46</v>
      </c>
    </row>
    <row r="3348" spans="1:3" x14ac:dyDescent="0.3">
      <c r="A3348" t="s">
        <v>3405</v>
      </c>
      <c r="B3348">
        <f>IF(ISNUMBER(SEARCH(Form!$C$11,Tabel2[[#This Row],[Coordinate Projection System]])),MAX($B$1:B3347)+1,0)</f>
        <v>3347</v>
      </c>
      <c r="C3348" t="str">
        <f t="shared" si="52"/>
        <v>GDA94 / MGA zone 47</v>
      </c>
    </row>
    <row r="3349" spans="1:3" x14ac:dyDescent="0.3">
      <c r="A3349" t="s">
        <v>3406</v>
      </c>
      <c r="B3349">
        <f>IF(ISNUMBER(SEARCH(Form!$C$11,Tabel2[[#This Row],[Coordinate Projection System]])),MAX($B$1:B3348)+1,0)</f>
        <v>3348</v>
      </c>
      <c r="C3349" t="str">
        <f t="shared" si="52"/>
        <v>GDA94 / MGA zone 59</v>
      </c>
    </row>
    <row r="3350" spans="1:3" x14ac:dyDescent="0.3">
      <c r="A3350" t="s">
        <v>3407</v>
      </c>
      <c r="B3350">
        <f>IF(ISNUMBER(SEARCH(Form!$C$11,Tabel2[[#This Row],[Coordinate Projection System]])),MAX($B$1:B3349)+1,0)</f>
        <v>3349</v>
      </c>
      <c r="C3350" t="str">
        <f t="shared" si="52"/>
        <v>NAD83(CORS96) / Oregon Baker zone (m)</v>
      </c>
    </row>
    <row r="3351" spans="1:3" x14ac:dyDescent="0.3">
      <c r="A3351" t="s">
        <v>3408</v>
      </c>
      <c r="B3351">
        <f>IF(ISNUMBER(SEARCH(Form!$C$11,Tabel2[[#This Row],[Coordinate Projection System]])),MAX($B$1:B3350)+1,0)</f>
        <v>3350</v>
      </c>
      <c r="C3351" t="str">
        <f t="shared" si="52"/>
        <v>NAD83(CORS96) / Oregon Baker zone (ft)</v>
      </c>
    </row>
    <row r="3352" spans="1:3" x14ac:dyDescent="0.3">
      <c r="A3352" t="s">
        <v>3409</v>
      </c>
      <c r="B3352">
        <f>IF(ISNUMBER(SEARCH(Form!$C$11,Tabel2[[#This Row],[Coordinate Projection System]])),MAX($B$1:B3351)+1,0)</f>
        <v>3351</v>
      </c>
      <c r="C3352" t="str">
        <f t="shared" si="52"/>
        <v>NAD83(2011) / Oregon Baker zone (m)</v>
      </c>
    </row>
    <row r="3353" spans="1:3" x14ac:dyDescent="0.3">
      <c r="A3353" t="s">
        <v>3410</v>
      </c>
      <c r="B3353">
        <f>IF(ISNUMBER(SEARCH(Form!$C$11,Tabel2[[#This Row],[Coordinate Projection System]])),MAX($B$1:B3352)+1,0)</f>
        <v>3352</v>
      </c>
      <c r="C3353" t="str">
        <f t="shared" si="52"/>
        <v>NAD83(2011) / Oregon Baker zone (ft)</v>
      </c>
    </row>
    <row r="3354" spans="1:3" x14ac:dyDescent="0.3">
      <c r="A3354" t="s">
        <v>3411</v>
      </c>
      <c r="B3354">
        <f>IF(ISNUMBER(SEARCH(Form!$C$11,Tabel2[[#This Row],[Coordinate Projection System]])),MAX($B$1:B3353)+1,0)</f>
        <v>3353</v>
      </c>
      <c r="C3354" t="str">
        <f t="shared" si="52"/>
        <v>NAD83(CORS96) / Oregon Bend-Klamath Falls zone (m)</v>
      </c>
    </row>
    <row r="3355" spans="1:3" x14ac:dyDescent="0.3">
      <c r="A3355" t="s">
        <v>3412</v>
      </c>
      <c r="B3355">
        <f>IF(ISNUMBER(SEARCH(Form!$C$11,Tabel2[[#This Row],[Coordinate Projection System]])),MAX($B$1:B3354)+1,0)</f>
        <v>3354</v>
      </c>
      <c r="C3355" t="str">
        <f t="shared" si="52"/>
        <v>NAD83(CORS96) / Oregon Bend-Klamath Falls zone (ft)</v>
      </c>
    </row>
    <row r="3356" spans="1:3" x14ac:dyDescent="0.3">
      <c r="A3356" t="s">
        <v>3413</v>
      </c>
      <c r="B3356">
        <f>IF(ISNUMBER(SEARCH(Form!$C$11,Tabel2[[#This Row],[Coordinate Projection System]])),MAX($B$1:B3355)+1,0)</f>
        <v>3355</v>
      </c>
      <c r="C3356" t="str">
        <f t="shared" si="52"/>
        <v>NAD83(2011) / Oregon Bend-Klamath Falls zone (m)</v>
      </c>
    </row>
    <row r="3357" spans="1:3" x14ac:dyDescent="0.3">
      <c r="A3357" t="s">
        <v>3414</v>
      </c>
      <c r="B3357">
        <f>IF(ISNUMBER(SEARCH(Form!$C$11,Tabel2[[#This Row],[Coordinate Projection System]])),MAX($B$1:B3356)+1,0)</f>
        <v>3356</v>
      </c>
      <c r="C3357" t="str">
        <f t="shared" si="52"/>
        <v>NAD83(2011) / Oregon Bend-Klamath Falls zone (ft)</v>
      </c>
    </row>
    <row r="3358" spans="1:3" x14ac:dyDescent="0.3">
      <c r="A3358" t="s">
        <v>3415</v>
      </c>
      <c r="B3358">
        <f>IF(ISNUMBER(SEARCH(Form!$C$11,Tabel2[[#This Row],[Coordinate Projection System]])),MAX($B$1:B3357)+1,0)</f>
        <v>3357</v>
      </c>
      <c r="C3358" t="str">
        <f t="shared" si="52"/>
        <v>NAD83(CORS96) / Oregon Bend-Redmond-Prineville zone (m)</v>
      </c>
    </row>
    <row r="3359" spans="1:3" x14ac:dyDescent="0.3">
      <c r="A3359" t="s">
        <v>3416</v>
      </c>
      <c r="B3359">
        <f>IF(ISNUMBER(SEARCH(Form!$C$11,Tabel2[[#This Row],[Coordinate Projection System]])),MAX($B$1:B3358)+1,0)</f>
        <v>3358</v>
      </c>
      <c r="C3359" t="str">
        <f t="shared" si="52"/>
        <v>NAD83(CORS96) / Oregon Bend-Redmond-Prineville zone (ft)</v>
      </c>
    </row>
    <row r="3360" spans="1:3" x14ac:dyDescent="0.3">
      <c r="A3360" t="s">
        <v>3417</v>
      </c>
      <c r="B3360">
        <f>IF(ISNUMBER(SEARCH(Form!$C$11,Tabel2[[#This Row],[Coordinate Projection System]])),MAX($B$1:B3359)+1,0)</f>
        <v>3359</v>
      </c>
      <c r="C3360" t="str">
        <f t="shared" si="52"/>
        <v>NAD83(2011) / Oregon Bend-Redmond-Prineville zone (m)</v>
      </c>
    </row>
    <row r="3361" spans="1:3" x14ac:dyDescent="0.3">
      <c r="A3361" t="s">
        <v>3418</v>
      </c>
      <c r="B3361">
        <f>IF(ISNUMBER(SEARCH(Form!$C$11,Tabel2[[#This Row],[Coordinate Projection System]])),MAX($B$1:B3360)+1,0)</f>
        <v>3360</v>
      </c>
      <c r="C3361" t="str">
        <f t="shared" si="52"/>
        <v>NAD83(2011) / Oregon Bend-Redmond-Prineville zone (ft)</v>
      </c>
    </row>
    <row r="3362" spans="1:3" x14ac:dyDescent="0.3">
      <c r="A3362" t="s">
        <v>3419</v>
      </c>
      <c r="B3362">
        <f>IF(ISNUMBER(SEARCH(Form!$C$11,Tabel2[[#This Row],[Coordinate Projection System]])),MAX($B$1:B3361)+1,0)</f>
        <v>3361</v>
      </c>
      <c r="C3362" t="str">
        <f t="shared" si="52"/>
        <v>NAD83(CORS96) / Oregon Bend-Burns zone (m)</v>
      </c>
    </row>
    <row r="3363" spans="1:3" x14ac:dyDescent="0.3">
      <c r="A3363" t="s">
        <v>3420</v>
      </c>
      <c r="B3363">
        <f>IF(ISNUMBER(SEARCH(Form!$C$11,Tabel2[[#This Row],[Coordinate Projection System]])),MAX($B$1:B3362)+1,0)</f>
        <v>3362</v>
      </c>
      <c r="C3363" t="str">
        <f t="shared" si="52"/>
        <v>NAD83(CORS96) / Oregon Bend-Burns zone (ft)</v>
      </c>
    </row>
    <row r="3364" spans="1:3" x14ac:dyDescent="0.3">
      <c r="A3364" t="s">
        <v>3421</v>
      </c>
      <c r="B3364">
        <f>IF(ISNUMBER(SEARCH(Form!$C$11,Tabel2[[#This Row],[Coordinate Projection System]])),MAX($B$1:B3363)+1,0)</f>
        <v>3363</v>
      </c>
      <c r="C3364" t="str">
        <f t="shared" si="52"/>
        <v>NAD83(2011) / Oregon Bend-Burns zone (m)</v>
      </c>
    </row>
    <row r="3365" spans="1:3" x14ac:dyDescent="0.3">
      <c r="A3365" t="s">
        <v>3422</v>
      </c>
      <c r="B3365">
        <f>IF(ISNUMBER(SEARCH(Form!$C$11,Tabel2[[#This Row],[Coordinate Projection System]])),MAX($B$1:B3364)+1,0)</f>
        <v>3364</v>
      </c>
      <c r="C3365" t="str">
        <f t="shared" si="52"/>
        <v>NAD83(2011) / Oregon Bend-Burns zone (ft)</v>
      </c>
    </row>
    <row r="3366" spans="1:3" x14ac:dyDescent="0.3">
      <c r="A3366" t="s">
        <v>3423</v>
      </c>
      <c r="B3366">
        <f>IF(ISNUMBER(SEARCH(Form!$C$11,Tabel2[[#This Row],[Coordinate Projection System]])),MAX($B$1:B3365)+1,0)</f>
        <v>3365</v>
      </c>
      <c r="C3366" t="str">
        <f t="shared" si="52"/>
        <v>NAD83(CORS96) / Oregon Canyonville-Grants Pass zone (m)</v>
      </c>
    </row>
    <row r="3367" spans="1:3" x14ac:dyDescent="0.3">
      <c r="A3367" t="s">
        <v>3424</v>
      </c>
      <c r="B3367">
        <f>IF(ISNUMBER(SEARCH(Form!$C$11,Tabel2[[#This Row],[Coordinate Projection System]])),MAX($B$1:B3366)+1,0)</f>
        <v>3366</v>
      </c>
      <c r="C3367" t="str">
        <f t="shared" si="52"/>
        <v>NAD83(CORS96) / Oregon Canyonville-Grants Pass zone (ft)</v>
      </c>
    </row>
    <row r="3368" spans="1:3" x14ac:dyDescent="0.3">
      <c r="A3368" t="s">
        <v>3425</v>
      </c>
      <c r="B3368">
        <f>IF(ISNUMBER(SEARCH(Form!$C$11,Tabel2[[#This Row],[Coordinate Projection System]])),MAX($B$1:B3367)+1,0)</f>
        <v>3367</v>
      </c>
      <c r="C3368" t="str">
        <f t="shared" si="52"/>
        <v>NAD83(2011) / Oregon Canyonville-Grants Pass zone (m)</v>
      </c>
    </row>
    <row r="3369" spans="1:3" x14ac:dyDescent="0.3">
      <c r="A3369" t="s">
        <v>3426</v>
      </c>
      <c r="B3369">
        <f>IF(ISNUMBER(SEARCH(Form!$C$11,Tabel2[[#This Row],[Coordinate Projection System]])),MAX($B$1:B3368)+1,0)</f>
        <v>3368</v>
      </c>
      <c r="C3369" t="str">
        <f t="shared" si="52"/>
        <v>NAD83(2011) / Oregon Canyonville-Grants Pass zone (ft)</v>
      </c>
    </row>
    <row r="3370" spans="1:3" x14ac:dyDescent="0.3">
      <c r="A3370" t="s">
        <v>3427</v>
      </c>
      <c r="B3370">
        <f>IF(ISNUMBER(SEARCH(Form!$C$11,Tabel2[[#This Row],[Coordinate Projection System]])),MAX($B$1:B3369)+1,0)</f>
        <v>3369</v>
      </c>
      <c r="C3370" t="str">
        <f t="shared" si="52"/>
        <v>NAD83(CORS96) / Oregon Columbia River East zone (m)</v>
      </c>
    </row>
    <row r="3371" spans="1:3" x14ac:dyDescent="0.3">
      <c r="A3371" t="s">
        <v>3428</v>
      </c>
      <c r="B3371">
        <f>IF(ISNUMBER(SEARCH(Form!$C$11,Tabel2[[#This Row],[Coordinate Projection System]])),MAX($B$1:B3370)+1,0)</f>
        <v>3370</v>
      </c>
      <c r="C3371" t="str">
        <f t="shared" si="52"/>
        <v>NAD83(CORS96) / Oregon Columbia River East zone (ft)</v>
      </c>
    </row>
    <row r="3372" spans="1:3" x14ac:dyDescent="0.3">
      <c r="A3372" t="s">
        <v>3429</v>
      </c>
      <c r="B3372">
        <f>IF(ISNUMBER(SEARCH(Form!$C$11,Tabel2[[#This Row],[Coordinate Projection System]])),MAX($B$1:B3371)+1,0)</f>
        <v>3371</v>
      </c>
      <c r="C3372" t="str">
        <f t="shared" si="52"/>
        <v>NAD83(2011) / Oregon Columbia River East zone (m)</v>
      </c>
    </row>
    <row r="3373" spans="1:3" x14ac:dyDescent="0.3">
      <c r="A3373" t="s">
        <v>3430</v>
      </c>
      <c r="B3373">
        <f>IF(ISNUMBER(SEARCH(Form!$C$11,Tabel2[[#This Row],[Coordinate Projection System]])),MAX($B$1:B3372)+1,0)</f>
        <v>3372</v>
      </c>
      <c r="C3373" t="str">
        <f t="shared" si="52"/>
        <v>NAD83(2011) / Oregon Columbia River East zone (ft)</v>
      </c>
    </row>
    <row r="3374" spans="1:3" x14ac:dyDescent="0.3">
      <c r="A3374" t="s">
        <v>3431</v>
      </c>
      <c r="B3374">
        <f>IF(ISNUMBER(SEARCH(Form!$C$11,Tabel2[[#This Row],[Coordinate Projection System]])),MAX($B$1:B3373)+1,0)</f>
        <v>3373</v>
      </c>
      <c r="C3374" t="str">
        <f t="shared" si="52"/>
        <v>NAD83(CORS96) / Oregon Columbia River West zone (m)</v>
      </c>
    </row>
    <row r="3375" spans="1:3" x14ac:dyDescent="0.3">
      <c r="A3375" t="s">
        <v>3432</v>
      </c>
      <c r="B3375">
        <f>IF(ISNUMBER(SEARCH(Form!$C$11,Tabel2[[#This Row],[Coordinate Projection System]])),MAX($B$1:B3374)+1,0)</f>
        <v>3374</v>
      </c>
      <c r="C3375" t="str">
        <f t="shared" si="52"/>
        <v>NAD83(CORS96) / Oregon Columbia River West zone (ft)</v>
      </c>
    </row>
    <row r="3376" spans="1:3" x14ac:dyDescent="0.3">
      <c r="A3376" t="s">
        <v>3433</v>
      </c>
      <c r="B3376">
        <f>IF(ISNUMBER(SEARCH(Form!$C$11,Tabel2[[#This Row],[Coordinate Projection System]])),MAX($B$1:B3375)+1,0)</f>
        <v>3375</v>
      </c>
      <c r="C3376" t="str">
        <f t="shared" si="52"/>
        <v>NAD83(2011) / Oregon Columbia River West zone (m)</v>
      </c>
    </row>
    <row r="3377" spans="1:3" x14ac:dyDescent="0.3">
      <c r="A3377" t="s">
        <v>3434</v>
      </c>
      <c r="B3377">
        <f>IF(ISNUMBER(SEARCH(Form!$C$11,Tabel2[[#This Row],[Coordinate Projection System]])),MAX($B$1:B3376)+1,0)</f>
        <v>3376</v>
      </c>
      <c r="C3377" t="str">
        <f t="shared" si="52"/>
        <v>NAD83(2011) / Oregon Columbia River West zone (ft)</v>
      </c>
    </row>
    <row r="3378" spans="1:3" x14ac:dyDescent="0.3">
      <c r="A3378" t="s">
        <v>3435</v>
      </c>
      <c r="B3378">
        <f>IF(ISNUMBER(SEARCH(Form!$C$11,Tabel2[[#This Row],[Coordinate Projection System]])),MAX($B$1:B3377)+1,0)</f>
        <v>3377</v>
      </c>
      <c r="C3378" t="str">
        <f t="shared" si="52"/>
        <v>NAD83(CORS96) / Oregon Cottage Grove-Canyonville zone (m)</v>
      </c>
    </row>
    <row r="3379" spans="1:3" x14ac:dyDescent="0.3">
      <c r="A3379" t="s">
        <v>3436</v>
      </c>
      <c r="B3379">
        <f>IF(ISNUMBER(SEARCH(Form!$C$11,Tabel2[[#This Row],[Coordinate Projection System]])),MAX($B$1:B3378)+1,0)</f>
        <v>3378</v>
      </c>
      <c r="C3379" t="str">
        <f t="shared" si="52"/>
        <v>NAD83(CORS96) / Oregon Cottage Grove-Canyonville zone (ft)</v>
      </c>
    </row>
    <row r="3380" spans="1:3" x14ac:dyDescent="0.3">
      <c r="A3380" t="s">
        <v>3437</v>
      </c>
      <c r="B3380">
        <f>IF(ISNUMBER(SEARCH(Form!$C$11,Tabel2[[#This Row],[Coordinate Projection System]])),MAX($B$1:B3379)+1,0)</f>
        <v>3379</v>
      </c>
      <c r="C3380" t="str">
        <f t="shared" si="52"/>
        <v>NAD83(2011) / Oregon Cottage Grove-Canyonville zone (m)</v>
      </c>
    </row>
    <row r="3381" spans="1:3" x14ac:dyDescent="0.3">
      <c r="A3381" t="s">
        <v>3438</v>
      </c>
      <c r="B3381">
        <f>IF(ISNUMBER(SEARCH(Form!$C$11,Tabel2[[#This Row],[Coordinate Projection System]])),MAX($B$1:B3380)+1,0)</f>
        <v>3380</v>
      </c>
      <c r="C3381" t="str">
        <f t="shared" si="52"/>
        <v>NAD83(2011) / Oregon Cottage Grove-Canyonville zone (ft)</v>
      </c>
    </row>
    <row r="3382" spans="1:3" x14ac:dyDescent="0.3">
      <c r="A3382" t="s">
        <v>3439</v>
      </c>
      <c r="B3382">
        <f>IF(ISNUMBER(SEARCH(Form!$C$11,Tabel2[[#This Row],[Coordinate Projection System]])),MAX($B$1:B3381)+1,0)</f>
        <v>3381</v>
      </c>
      <c r="C3382" t="str">
        <f t="shared" si="52"/>
        <v>NAD83(CORS96) / Oregon Dufur-Madras zone (m)</v>
      </c>
    </row>
    <row r="3383" spans="1:3" x14ac:dyDescent="0.3">
      <c r="A3383" t="s">
        <v>3440</v>
      </c>
      <c r="B3383">
        <f>IF(ISNUMBER(SEARCH(Form!$C$11,Tabel2[[#This Row],[Coordinate Projection System]])),MAX($B$1:B3382)+1,0)</f>
        <v>3382</v>
      </c>
      <c r="C3383" t="str">
        <f t="shared" si="52"/>
        <v>NAD83(CORS96) / Oregon Dufur-Madras zone (ft)</v>
      </c>
    </row>
    <row r="3384" spans="1:3" x14ac:dyDescent="0.3">
      <c r="A3384" t="s">
        <v>3441</v>
      </c>
      <c r="B3384">
        <f>IF(ISNUMBER(SEARCH(Form!$C$11,Tabel2[[#This Row],[Coordinate Projection System]])),MAX($B$1:B3383)+1,0)</f>
        <v>3383</v>
      </c>
      <c r="C3384" t="str">
        <f t="shared" si="52"/>
        <v>NAD83(2011) / Oregon Dufur-Madras zone (m)</v>
      </c>
    </row>
    <row r="3385" spans="1:3" x14ac:dyDescent="0.3">
      <c r="A3385" t="s">
        <v>3442</v>
      </c>
      <c r="B3385">
        <f>IF(ISNUMBER(SEARCH(Form!$C$11,Tabel2[[#This Row],[Coordinate Projection System]])),MAX($B$1:B3384)+1,0)</f>
        <v>3384</v>
      </c>
      <c r="C3385" t="str">
        <f t="shared" si="52"/>
        <v>NAD83(2011) / Oregon Dufur-Madras zone (ft)</v>
      </c>
    </row>
    <row r="3386" spans="1:3" x14ac:dyDescent="0.3">
      <c r="A3386" t="s">
        <v>3443</v>
      </c>
      <c r="B3386">
        <f>IF(ISNUMBER(SEARCH(Form!$C$11,Tabel2[[#This Row],[Coordinate Projection System]])),MAX($B$1:B3385)+1,0)</f>
        <v>3385</v>
      </c>
      <c r="C3386" t="str">
        <f t="shared" si="52"/>
        <v>NAD83(CORS96) / Oregon Eugene zone (m)</v>
      </c>
    </row>
    <row r="3387" spans="1:3" x14ac:dyDescent="0.3">
      <c r="A3387" t="s">
        <v>3444</v>
      </c>
      <c r="B3387">
        <f>IF(ISNUMBER(SEARCH(Form!$C$11,Tabel2[[#This Row],[Coordinate Projection System]])),MAX($B$1:B3386)+1,0)</f>
        <v>3386</v>
      </c>
      <c r="C3387" t="str">
        <f t="shared" si="52"/>
        <v>NAD83(CORS96) / Oregon Eugene zone (ft)</v>
      </c>
    </row>
    <row r="3388" spans="1:3" x14ac:dyDescent="0.3">
      <c r="A3388" t="s">
        <v>3445</v>
      </c>
      <c r="B3388">
        <f>IF(ISNUMBER(SEARCH(Form!$C$11,Tabel2[[#This Row],[Coordinate Projection System]])),MAX($B$1:B3387)+1,0)</f>
        <v>3387</v>
      </c>
      <c r="C3388" t="str">
        <f t="shared" si="52"/>
        <v>NAD83(2011) / Oregon Eugene zone (m)</v>
      </c>
    </row>
    <row r="3389" spans="1:3" x14ac:dyDescent="0.3">
      <c r="A3389" t="s">
        <v>3446</v>
      </c>
      <c r="B3389">
        <f>IF(ISNUMBER(SEARCH(Form!$C$11,Tabel2[[#This Row],[Coordinate Projection System]])),MAX($B$1:B3388)+1,0)</f>
        <v>3388</v>
      </c>
      <c r="C3389" t="str">
        <f t="shared" si="52"/>
        <v>NAD83(2011) / Oregon Eugene zone (ft)</v>
      </c>
    </row>
    <row r="3390" spans="1:3" x14ac:dyDescent="0.3">
      <c r="A3390" t="s">
        <v>3447</v>
      </c>
      <c r="B3390">
        <f>IF(ISNUMBER(SEARCH(Form!$C$11,Tabel2[[#This Row],[Coordinate Projection System]])),MAX($B$1:B3389)+1,0)</f>
        <v>3389</v>
      </c>
      <c r="C3390" t="str">
        <f t="shared" si="52"/>
        <v>NAD83(CORS96) / Oregon Grants Pass-Ashland zone (m)</v>
      </c>
    </row>
    <row r="3391" spans="1:3" x14ac:dyDescent="0.3">
      <c r="A3391" t="s">
        <v>3448</v>
      </c>
      <c r="B3391">
        <f>IF(ISNUMBER(SEARCH(Form!$C$11,Tabel2[[#This Row],[Coordinate Projection System]])),MAX($B$1:B3390)+1,0)</f>
        <v>3390</v>
      </c>
      <c r="C3391" t="str">
        <f t="shared" si="52"/>
        <v>NAD83(CORS96) / Oregon Grants Pass-Ashland zone (ft)</v>
      </c>
    </row>
    <row r="3392" spans="1:3" x14ac:dyDescent="0.3">
      <c r="A3392" t="s">
        <v>3449</v>
      </c>
      <c r="B3392">
        <f>IF(ISNUMBER(SEARCH(Form!$C$11,Tabel2[[#This Row],[Coordinate Projection System]])),MAX($B$1:B3391)+1,0)</f>
        <v>3391</v>
      </c>
      <c r="C3392" t="str">
        <f t="shared" si="52"/>
        <v>NAD83(2011) / Oregon Grants Pass-Ashland zone (m)</v>
      </c>
    </row>
    <row r="3393" spans="1:3" x14ac:dyDescent="0.3">
      <c r="A3393" t="s">
        <v>3450</v>
      </c>
      <c r="B3393">
        <f>IF(ISNUMBER(SEARCH(Form!$C$11,Tabel2[[#This Row],[Coordinate Projection System]])),MAX($B$1:B3392)+1,0)</f>
        <v>3392</v>
      </c>
      <c r="C3393" t="str">
        <f t="shared" si="52"/>
        <v>NAD83(2011) / Oregon Grants Pass-Ashland zone (ft)</v>
      </c>
    </row>
    <row r="3394" spans="1:3" x14ac:dyDescent="0.3">
      <c r="A3394" t="s">
        <v>3451</v>
      </c>
      <c r="B3394">
        <f>IF(ISNUMBER(SEARCH(Form!$C$11,Tabel2[[#This Row],[Coordinate Projection System]])),MAX($B$1:B3393)+1,0)</f>
        <v>3393</v>
      </c>
      <c r="C3394" t="str">
        <f t="shared" si="52"/>
        <v>NAD83(CORS96) / Oregon Gresham-Warm Springs zone (m)</v>
      </c>
    </row>
    <row r="3395" spans="1:3" x14ac:dyDescent="0.3">
      <c r="A3395" t="s">
        <v>3452</v>
      </c>
      <c r="B3395">
        <f>IF(ISNUMBER(SEARCH(Form!$C$11,Tabel2[[#This Row],[Coordinate Projection System]])),MAX($B$1:B3394)+1,0)</f>
        <v>3394</v>
      </c>
      <c r="C3395" t="str">
        <f t="shared" ref="C3395:C3458" si="53">_xlfn.IFNA(INDEX(A3395:A8906,MATCH(ROW(C3394),B3395:B8906,0)),"")</f>
        <v>NAD83(CORS96) / Oregon Gresham-Warm Springs zone (ft)</v>
      </c>
    </row>
    <row r="3396" spans="1:3" x14ac:dyDescent="0.3">
      <c r="A3396" t="s">
        <v>3453</v>
      </c>
      <c r="B3396">
        <f>IF(ISNUMBER(SEARCH(Form!$C$11,Tabel2[[#This Row],[Coordinate Projection System]])),MAX($B$1:B3395)+1,0)</f>
        <v>3395</v>
      </c>
      <c r="C3396" t="str">
        <f t="shared" si="53"/>
        <v>NAD83(2011) / Oregon Gresham-Warm Springs zone (m)</v>
      </c>
    </row>
    <row r="3397" spans="1:3" x14ac:dyDescent="0.3">
      <c r="A3397" t="s">
        <v>3454</v>
      </c>
      <c r="B3397">
        <f>IF(ISNUMBER(SEARCH(Form!$C$11,Tabel2[[#This Row],[Coordinate Projection System]])),MAX($B$1:B3396)+1,0)</f>
        <v>3396</v>
      </c>
      <c r="C3397" t="str">
        <f t="shared" si="53"/>
        <v>NAD83(2011) / Oregon Gresham-Warm Springs zone (ft)</v>
      </c>
    </row>
    <row r="3398" spans="1:3" x14ac:dyDescent="0.3">
      <c r="A3398" t="s">
        <v>3455</v>
      </c>
      <c r="B3398">
        <f>IF(ISNUMBER(SEARCH(Form!$C$11,Tabel2[[#This Row],[Coordinate Projection System]])),MAX($B$1:B3397)+1,0)</f>
        <v>3397</v>
      </c>
      <c r="C3398" t="str">
        <f t="shared" si="53"/>
        <v>NAD83(CORS96) / Oregon La Grande zone (m)</v>
      </c>
    </row>
    <row r="3399" spans="1:3" x14ac:dyDescent="0.3">
      <c r="A3399" t="s">
        <v>3456</v>
      </c>
      <c r="B3399">
        <f>IF(ISNUMBER(SEARCH(Form!$C$11,Tabel2[[#This Row],[Coordinate Projection System]])),MAX($B$1:B3398)+1,0)</f>
        <v>3398</v>
      </c>
      <c r="C3399" t="str">
        <f t="shared" si="53"/>
        <v>NAD83(CORS96) / Oregon La Grande zone (ft)</v>
      </c>
    </row>
    <row r="3400" spans="1:3" x14ac:dyDescent="0.3">
      <c r="A3400" t="s">
        <v>3457</v>
      </c>
      <c r="B3400">
        <f>IF(ISNUMBER(SEARCH(Form!$C$11,Tabel2[[#This Row],[Coordinate Projection System]])),MAX($B$1:B3399)+1,0)</f>
        <v>3399</v>
      </c>
      <c r="C3400" t="str">
        <f t="shared" si="53"/>
        <v>NAD83(2011) / Oregon La Grande zone (m)</v>
      </c>
    </row>
    <row r="3401" spans="1:3" x14ac:dyDescent="0.3">
      <c r="A3401" t="s">
        <v>3458</v>
      </c>
      <c r="B3401">
        <f>IF(ISNUMBER(SEARCH(Form!$C$11,Tabel2[[#This Row],[Coordinate Projection System]])),MAX($B$1:B3400)+1,0)</f>
        <v>3400</v>
      </c>
      <c r="C3401" t="str">
        <f t="shared" si="53"/>
        <v>NAD83(2011) / Oregon La Grande zone (ft)</v>
      </c>
    </row>
    <row r="3402" spans="1:3" x14ac:dyDescent="0.3">
      <c r="A3402" t="s">
        <v>3459</v>
      </c>
      <c r="B3402">
        <f>IF(ISNUMBER(SEARCH(Form!$C$11,Tabel2[[#This Row],[Coordinate Projection System]])),MAX($B$1:B3401)+1,0)</f>
        <v>3401</v>
      </c>
      <c r="C3402" t="str">
        <f t="shared" si="53"/>
        <v>NAD83(CORS96) / Oregon Ontario zone (m)</v>
      </c>
    </row>
    <row r="3403" spans="1:3" x14ac:dyDescent="0.3">
      <c r="A3403" t="s">
        <v>3460</v>
      </c>
      <c r="B3403">
        <f>IF(ISNUMBER(SEARCH(Form!$C$11,Tabel2[[#This Row],[Coordinate Projection System]])),MAX($B$1:B3402)+1,0)</f>
        <v>3402</v>
      </c>
      <c r="C3403" t="str">
        <f t="shared" si="53"/>
        <v>NAD83(CORS96) / Oregon Ontario zone (ft)</v>
      </c>
    </row>
    <row r="3404" spans="1:3" x14ac:dyDescent="0.3">
      <c r="A3404" t="s">
        <v>3461</v>
      </c>
      <c r="B3404">
        <f>IF(ISNUMBER(SEARCH(Form!$C$11,Tabel2[[#This Row],[Coordinate Projection System]])),MAX($B$1:B3403)+1,0)</f>
        <v>3403</v>
      </c>
      <c r="C3404" t="str">
        <f t="shared" si="53"/>
        <v>NAD83(2011) / Oregon Ontario zone (m)</v>
      </c>
    </row>
    <row r="3405" spans="1:3" x14ac:dyDescent="0.3">
      <c r="A3405" t="s">
        <v>3462</v>
      </c>
      <c r="B3405">
        <f>IF(ISNUMBER(SEARCH(Form!$C$11,Tabel2[[#This Row],[Coordinate Projection System]])),MAX($B$1:B3404)+1,0)</f>
        <v>3404</v>
      </c>
      <c r="C3405" t="str">
        <f t="shared" si="53"/>
        <v>NAD83(2011) / Oregon Ontario zone (ft)</v>
      </c>
    </row>
    <row r="3406" spans="1:3" x14ac:dyDescent="0.3">
      <c r="A3406" t="s">
        <v>3463</v>
      </c>
      <c r="B3406">
        <f>IF(ISNUMBER(SEARCH(Form!$C$11,Tabel2[[#This Row],[Coordinate Projection System]])),MAX($B$1:B3405)+1,0)</f>
        <v>3405</v>
      </c>
      <c r="C3406" t="str">
        <f t="shared" si="53"/>
        <v>NAD83(CORS96) / Oregon Coast zone (m)</v>
      </c>
    </row>
    <row r="3407" spans="1:3" x14ac:dyDescent="0.3">
      <c r="A3407" t="s">
        <v>3464</v>
      </c>
      <c r="B3407">
        <f>IF(ISNUMBER(SEARCH(Form!$C$11,Tabel2[[#This Row],[Coordinate Projection System]])),MAX($B$1:B3406)+1,0)</f>
        <v>3406</v>
      </c>
      <c r="C3407" t="str">
        <f t="shared" si="53"/>
        <v>NAD83(CORS96) / Oregon Coast zone (ft)</v>
      </c>
    </row>
    <row r="3408" spans="1:3" x14ac:dyDescent="0.3">
      <c r="A3408" t="s">
        <v>3465</v>
      </c>
      <c r="B3408">
        <f>IF(ISNUMBER(SEARCH(Form!$C$11,Tabel2[[#This Row],[Coordinate Projection System]])),MAX($B$1:B3407)+1,0)</f>
        <v>3407</v>
      </c>
      <c r="C3408" t="str">
        <f t="shared" si="53"/>
        <v>NAD83(2011) / Oregon Coast zone (m)</v>
      </c>
    </row>
    <row r="3409" spans="1:3" x14ac:dyDescent="0.3">
      <c r="A3409" t="s">
        <v>3466</v>
      </c>
      <c r="B3409">
        <f>IF(ISNUMBER(SEARCH(Form!$C$11,Tabel2[[#This Row],[Coordinate Projection System]])),MAX($B$1:B3408)+1,0)</f>
        <v>3408</v>
      </c>
      <c r="C3409" t="str">
        <f t="shared" si="53"/>
        <v>NAD83(2011) / Oregon Coast zone (ft)</v>
      </c>
    </row>
    <row r="3410" spans="1:3" x14ac:dyDescent="0.3">
      <c r="A3410" t="s">
        <v>3467</v>
      </c>
      <c r="B3410">
        <f>IF(ISNUMBER(SEARCH(Form!$C$11,Tabel2[[#This Row],[Coordinate Projection System]])),MAX($B$1:B3409)+1,0)</f>
        <v>3409</v>
      </c>
      <c r="C3410" t="str">
        <f t="shared" si="53"/>
        <v>NAD83(CORS96) / Oregon Pendleton zone (m)</v>
      </c>
    </row>
    <row r="3411" spans="1:3" x14ac:dyDescent="0.3">
      <c r="A3411" t="s">
        <v>3468</v>
      </c>
      <c r="B3411">
        <f>IF(ISNUMBER(SEARCH(Form!$C$11,Tabel2[[#This Row],[Coordinate Projection System]])),MAX($B$1:B3410)+1,0)</f>
        <v>3410</v>
      </c>
      <c r="C3411" t="str">
        <f t="shared" si="53"/>
        <v>NAD83(CORS96) / Oregon Pendleton zone (ft)</v>
      </c>
    </row>
    <row r="3412" spans="1:3" x14ac:dyDescent="0.3">
      <c r="A3412" t="s">
        <v>3469</v>
      </c>
      <c r="B3412">
        <f>IF(ISNUMBER(SEARCH(Form!$C$11,Tabel2[[#This Row],[Coordinate Projection System]])),MAX($B$1:B3411)+1,0)</f>
        <v>3411</v>
      </c>
      <c r="C3412" t="str">
        <f t="shared" si="53"/>
        <v>NAD83(2011) / Oregon Pendleton zone (m)</v>
      </c>
    </row>
    <row r="3413" spans="1:3" x14ac:dyDescent="0.3">
      <c r="A3413" t="s">
        <v>3470</v>
      </c>
      <c r="B3413">
        <f>IF(ISNUMBER(SEARCH(Form!$C$11,Tabel2[[#This Row],[Coordinate Projection System]])),MAX($B$1:B3412)+1,0)</f>
        <v>3412</v>
      </c>
      <c r="C3413" t="str">
        <f t="shared" si="53"/>
        <v>NAD83(2011) / Oregon Pendleton zone (ft)</v>
      </c>
    </row>
    <row r="3414" spans="1:3" x14ac:dyDescent="0.3">
      <c r="A3414" t="s">
        <v>3471</v>
      </c>
      <c r="B3414">
        <f>IF(ISNUMBER(SEARCH(Form!$C$11,Tabel2[[#This Row],[Coordinate Projection System]])),MAX($B$1:B3413)+1,0)</f>
        <v>3413</v>
      </c>
      <c r="C3414" t="str">
        <f t="shared" si="53"/>
        <v>NAD83(CORS96) / Oregon Pendleton-La Grande zone (m)</v>
      </c>
    </row>
    <row r="3415" spans="1:3" x14ac:dyDescent="0.3">
      <c r="A3415" t="s">
        <v>3472</v>
      </c>
      <c r="B3415">
        <f>IF(ISNUMBER(SEARCH(Form!$C$11,Tabel2[[#This Row],[Coordinate Projection System]])),MAX($B$1:B3414)+1,0)</f>
        <v>3414</v>
      </c>
      <c r="C3415" t="str">
        <f t="shared" si="53"/>
        <v>NAD83(CORS96) / Oregon Pendleton-La Grande zone (ft)</v>
      </c>
    </row>
    <row r="3416" spans="1:3" x14ac:dyDescent="0.3">
      <c r="A3416" t="s">
        <v>3473</v>
      </c>
      <c r="B3416">
        <f>IF(ISNUMBER(SEARCH(Form!$C$11,Tabel2[[#This Row],[Coordinate Projection System]])),MAX($B$1:B3415)+1,0)</f>
        <v>3415</v>
      </c>
      <c r="C3416" t="str">
        <f t="shared" si="53"/>
        <v>NAD83(2011) / Oregon Pendleton-La Grande zone (m)</v>
      </c>
    </row>
    <row r="3417" spans="1:3" x14ac:dyDescent="0.3">
      <c r="A3417" t="s">
        <v>3474</v>
      </c>
      <c r="B3417">
        <f>IF(ISNUMBER(SEARCH(Form!$C$11,Tabel2[[#This Row],[Coordinate Projection System]])),MAX($B$1:B3416)+1,0)</f>
        <v>3416</v>
      </c>
      <c r="C3417" t="str">
        <f t="shared" si="53"/>
        <v>NAD83(2011) / Oregon Pendleton-La Grande zone (ft)</v>
      </c>
    </row>
    <row r="3418" spans="1:3" x14ac:dyDescent="0.3">
      <c r="A3418" t="s">
        <v>3475</v>
      </c>
      <c r="B3418">
        <f>IF(ISNUMBER(SEARCH(Form!$C$11,Tabel2[[#This Row],[Coordinate Projection System]])),MAX($B$1:B3417)+1,0)</f>
        <v>3417</v>
      </c>
      <c r="C3418" t="str">
        <f t="shared" si="53"/>
        <v>NAD83(CORS96) / Oregon Portland zone (m)</v>
      </c>
    </row>
    <row r="3419" spans="1:3" x14ac:dyDescent="0.3">
      <c r="A3419" t="s">
        <v>3476</v>
      </c>
      <c r="B3419">
        <f>IF(ISNUMBER(SEARCH(Form!$C$11,Tabel2[[#This Row],[Coordinate Projection System]])),MAX($B$1:B3418)+1,0)</f>
        <v>3418</v>
      </c>
      <c r="C3419" t="str">
        <f t="shared" si="53"/>
        <v>NAD83(CORS96) / Oregon Portland zone (ft)</v>
      </c>
    </row>
    <row r="3420" spans="1:3" x14ac:dyDescent="0.3">
      <c r="A3420" t="s">
        <v>3477</v>
      </c>
      <c r="B3420">
        <f>IF(ISNUMBER(SEARCH(Form!$C$11,Tabel2[[#This Row],[Coordinate Projection System]])),MAX($B$1:B3419)+1,0)</f>
        <v>3419</v>
      </c>
      <c r="C3420" t="str">
        <f t="shared" si="53"/>
        <v>NAD83(2011) / Oregon Portland zone (m)</v>
      </c>
    </row>
    <row r="3421" spans="1:3" x14ac:dyDescent="0.3">
      <c r="A3421" t="s">
        <v>3478</v>
      </c>
      <c r="B3421">
        <f>IF(ISNUMBER(SEARCH(Form!$C$11,Tabel2[[#This Row],[Coordinate Projection System]])),MAX($B$1:B3420)+1,0)</f>
        <v>3420</v>
      </c>
      <c r="C3421" t="str">
        <f t="shared" si="53"/>
        <v>NAD83(2011) / Oregon Portland zone (ft)</v>
      </c>
    </row>
    <row r="3422" spans="1:3" x14ac:dyDescent="0.3">
      <c r="A3422" t="s">
        <v>3479</v>
      </c>
      <c r="B3422">
        <f>IF(ISNUMBER(SEARCH(Form!$C$11,Tabel2[[#This Row],[Coordinate Projection System]])),MAX($B$1:B3421)+1,0)</f>
        <v>3421</v>
      </c>
      <c r="C3422" t="str">
        <f t="shared" si="53"/>
        <v>NAD83(CORS96) / Oregon Salem zone (m)</v>
      </c>
    </row>
    <row r="3423" spans="1:3" x14ac:dyDescent="0.3">
      <c r="A3423" t="s">
        <v>3480</v>
      </c>
      <c r="B3423">
        <f>IF(ISNUMBER(SEARCH(Form!$C$11,Tabel2[[#This Row],[Coordinate Projection System]])),MAX($B$1:B3422)+1,0)</f>
        <v>3422</v>
      </c>
      <c r="C3423" t="str">
        <f t="shared" si="53"/>
        <v>NAD83(CORS96) / Oregon Salem zone (ft)</v>
      </c>
    </row>
    <row r="3424" spans="1:3" x14ac:dyDescent="0.3">
      <c r="A3424" t="s">
        <v>3481</v>
      </c>
      <c r="B3424">
        <f>IF(ISNUMBER(SEARCH(Form!$C$11,Tabel2[[#This Row],[Coordinate Projection System]])),MAX($B$1:B3423)+1,0)</f>
        <v>3423</v>
      </c>
      <c r="C3424" t="str">
        <f t="shared" si="53"/>
        <v>NAD83(2011) / Oregon Salem zone (m)</v>
      </c>
    </row>
    <row r="3425" spans="1:3" x14ac:dyDescent="0.3">
      <c r="A3425" t="s">
        <v>3482</v>
      </c>
      <c r="B3425">
        <f>IF(ISNUMBER(SEARCH(Form!$C$11,Tabel2[[#This Row],[Coordinate Projection System]])),MAX($B$1:B3424)+1,0)</f>
        <v>3424</v>
      </c>
      <c r="C3425" t="str">
        <f t="shared" si="53"/>
        <v>NAD83(2011) / Oregon Salem zone (ft)</v>
      </c>
    </row>
    <row r="3426" spans="1:3" x14ac:dyDescent="0.3">
      <c r="A3426" t="s">
        <v>3483</v>
      </c>
      <c r="B3426">
        <f>IF(ISNUMBER(SEARCH(Form!$C$11,Tabel2[[#This Row],[Coordinate Projection System]])),MAX($B$1:B3425)+1,0)</f>
        <v>3425</v>
      </c>
      <c r="C3426" t="str">
        <f t="shared" si="53"/>
        <v>NAD83(CORS96) / Oregon Santiam Pass zone (m)</v>
      </c>
    </row>
    <row r="3427" spans="1:3" x14ac:dyDescent="0.3">
      <c r="A3427" t="s">
        <v>3484</v>
      </c>
      <c r="B3427">
        <f>IF(ISNUMBER(SEARCH(Form!$C$11,Tabel2[[#This Row],[Coordinate Projection System]])),MAX($B$1:B3426)+1,0)</f>
        <v>3426</v>
      </c>
      <c r="C3427" t="str">
        <f t="shared" si="53"/>
        <v>NAD83(CORS96) / Oregon Santiam Pass zone (ft)</v>
      </c>
    </row>
    <row r="3428" spans="1:3" x14ac:dyDescent="0.3">
      <c r="A3428" t="s">
        <v>3485</v>
      </c>
      <c r="B3428">
        <f>IF(ISNUMBER(SEARCH(Form!$C$11,Tabel2[[#This Row],[Coordinate Projection System]])),MAX($B$1:B3427)+1,0)</f>
        <v>3427</v>
      </c>
      <c r="C3428" t="str">
        <f t="shared" si="53"/>
        <v>NAD83(2011) / Oregon Santiam Pass zone (m)</v>
      </c>
    </row>
    <row r="3429" spans="1:3" x14ac:dyDescent="0.3">
      <c r="A3429" t="s">
        <v>3486</v>
      </c>
      <c r="B3429">
        <f>IF(ISNUMBER(SEARCH(Form!$C$11,Tabel2[[#This Row],[Coordinate Projection System]])),MAX($B$1:B3428)+1,0)</f>
        <v>3428</v>
      </c>
      <c r="C3429" t="str">
        <f t="shared" si="53"/>
        <v>NAD83(2011) / Oregon Santiam Pass (ft)</v>
      </c>
    </row>
    <row r="3430" spans="1:3" x14ac:dyDescent="0.3">
      <c r="A3430" t="s">
        <v>3487</v>
      </c>
      <c r="B3430">
        <f>IF(ISNUMBER(SEARCH(Form!$C$11,Tabel2[[#This Row],[Coordinate Projection System]])),MAX($B$1:B3429)+1,0)</f>
        <v>3429</v>
      </c>
      <c r="C3430" t="str">
        <f t="shared" si="53"/>
        <v>NAD83(CORS96) / Oregon LCC (m)</v>
      </c>
    </row>
    <row r="3431" spans="1:3" x14ac:dyDescent="0.3">
      <c r="A3431" t="s">
        <v>3488</v>
      </c>
      <c r="B3431">
        <f>IF(ISNUMBER(SEARCH(Form!$C$11,Tabel2[[#This Row],[Coordinate Projection System]])),MAX($B$1:B3430)+1,0)</f>
        <v>3430</v>
      </c>
      <c r="C3431" t="str">
        <f t="shared" si="53"/>
        <v>NAD83(CORS96) / Oregon GIC Lambert (ft)</v>
      </c>
    </row>
    <row r="3432" spans="1:3" x14ac:dyDescent="0.3">
      <c r="A3432" t="s">
        <v>3489</v>
      </c>
      <c r="B3432">
        <f>IF(ISNUMBER(SEARCH(Form!$C$11,Tabel2[[#This Row],[Coordinate Projection System]])),MAX($B$1:B3431)+1,0)</f>
        <v>3431</v>
      </c>
      <c r="C3432" t="str">
        <f t="shared" si="53"/>
        <v>ETRS89 / Albania TM 2010</v>
      </c>
    </row>
    <row r="3433" spans="1:3" x14ac:dyDescent="0.3">
      <c r="A3433" t="s">
        <v>3490</v>
      </c>
      <c r="B3433">
        <f>IF(ISNUMBER(SEARCH(Form!$C$11,Tabel2[[#This Row],[Coordinate Projection System]])),MAX($B$1:B3432)+1,0)</f>
        <v>3432</v>
      </c>
      <c r="C3433" t="str">
        <f t="shared" si="53"/>
        <v>RDN2008 / Italy zone</v>
      </c>
    </row>
    <row r="3434" spans="1:3" x14ac:dyDescent="0.3">
      <c r="A3434" t="s">
        <v>3491</v>
      </c>
      <c r="B3434">
        <f>IF(ISNUMBER(SEARCH(Form!$C$11,Tabel2[[#This Row],[Coordinate Projection System]])),MAX($B$1:B3433)+1,0)</f>
        <v>3433</v>
      </c>
      <c r="C3434" t="str">
        <f t="shared" si="53"/>
        <v>RDN2008 / Zone 12</v>
      </c>
    </row>
    <row r="3435" spans="1:3" x14ac:dyDescent="0.3">
      <c r="A3435" t="s">
        <v>3492</v>
      </c>
      <c r="B3435">
        <f>IF(ISNUMBER(SEARCH(Form!$C$11,Tabel2[[#This Row],[Coordinate Projection System]])),MAX($B$1:B3434)+1,0)</f>
        <v>3434</v>
      </c>
      <c r="C3435" t="str">
        <f t="shared" si="53"/>
        <v>NAD83(2011) / Wisconsin Central</v>
      </c>
    </row>
    <row r="3436" spans="1:3" x14ac:dyDescent="0.3">
      <c r="A3436" t="s">
        <v>3493</v>
      </c>
      <c r="B3436">
        <f>IF(ISNUMBER(SEARCH(Form!$C$11,Tabel2[[#This Row],[Coordinate Projection System]])),MAX($B$1:B3435)+1,0)</f>
        <v>3435</v>
      </c>
      <c r="C3436" t="str">
        <f t="shared" si="53"/>
        <v>NAD83(2011) / Nebraska (ftUS)</v>
      </c>
    </row>
    <row r="3437" spans="1:3" x14ac:dyDescent="0.3">
      <c r="A3437" t="s">
        <v>3494</v>
      </c>
      <c r="B3437">
        <f>IF(ISNUMBER(SEARCH(Form!$C$11,Tabel2[[#This Row],[Coordinate Projection System]])),MAX($B$1:B3436)+1,0)</f>
        <v>3436</v>
      </c>
      <c r="C3437" t="str">
        <f t="shared" si="53"/>
        <v>NAD83(CORS96) / Oregon North</v>
      </c>
    </row>
    <row r="3438" spans="1:3" x14ac:dyDescent="0.3">
      <c r="A3438" t="s">
        <v>3495</v>
      </c>
      <c r="B3438">
        <f>IF(ISNUMBER(SEARCH(Form!$C$11,Tabel2[[#This Row],[Coordinate Projection System]])),MAX($B$1:B3437)+1,0)</f>
        <v>3437</v>
      </c>
      <c r="C3438" t="str">
        <f t="shared" si="53"/>
        <v>NAD83(CORS96) / Oregon North (ft)</v>
      </c>
    </row>
    <row r="3439" spans="1:3" x14ac:dyDescent="0.3">
      <c r="A3439" t="s">
        <v>3496</v>
      </c>
      <c r="B3439">
        <f>IF(ISNUMBER(SEARCH(Form!$C$11,Tabel2[[#This Row],[Coordinate Projection System]])),MAX($B$1:B3438)+1,0)</f>
        <v>3438</v>
      </c>
      <c r="C3439" t="str">
        <f t="shared" si="53"/>
        <v>NAD83(CORS96) / Oregon South</v>
      </c>
    </row>
    <row r="3440" spans="1:3" x14ac:dyDescent="0.3">
      <c r="A3440" t="s">
        <v>3497</v>
      </c>
      <c r="B3440">
        <f>IF(ISNUMBER(SEARCH(Form!$C$11,Tabel2[[#This Row],[Coordinate Projection System]])),MAX($B$1:B3439)+1,0)</f>
        <v>3439</v>
      </c>
      <c r="C3440" t="str">
        <f t="shared" si="53"/>
        <v>NAD83(CORS96) / Oregon South (ft)</v>
      </c>
    </row>
    <row r="3441" spans="1:3" x14ac:dyDescent="0.3">
      <c r="A3441" t="s">
        <v>3498</v>
      </c>
      <c r="B3441">
        <f>IF(ISNUMBER(SEARCH(Form!$C$11,Tabel2[[#This Row],[Coordinate Projection System]])),MAX($B$1:B3440)+1,0)</f>
        <v>3440</v>
      </c>
      <c r="C3441" t="str">
        <f t="shared" si="53"/>
        <v>South East Island 1943 / UTM zone 40N</v>
      </c>
    </row>
    <row r="3442" spans="1:3" x14ac:dyDescent="0.3">
      <c r="A3442" t="s">
        <v>3499</v>
      </c>
      <c r="B3442">
        <f>IF(ISNUMBER(SEARCH(Form!$C$11,Tabel2[[#This Row],[Coordinate Projection System]])),MAX($B$1:B3441)+1,0)</f>
        <v>3441</v>
      </c>
      <c r="C3442" t="str">
        <f t="shared" si="53"/>
        <v>NAD83 / Kansas LCC</v>
      </c>
    </row>
    <row r="3443" spans="1:3" x14ac:dyDescent="0.3">
      <c r="A3443" t="s">
        <v>3500</v>
      </c>
      <c r="B3443">
        <f>IF(ISNUMBER(SEARCH(Form!$C$11,Tabel2[[#This Row],[Coordinate Projection System]])),MAX($B$1:B3442)+1,0)</f>
        <v>3442</v>
      </c>
      <c r="C3443" t="str">
        <f t="shared" si="53"/>
        <v>NAD83 / Kansas LCC (ftUS)</v>
      </c>
    </row>
    <row r="3444" spans="1:3" x14ac:dyDescent="0.3">
      <c r="A3444" t="s">
        <v>3501</v>
      </c>
      <c r="B3444">
        <f>IF(ISNUMBER(SEARCH(Form!$C$11,Tabel2[[#This Row],[Coordinate Projection System]])),MAX($B$1:B3443)+1,0)</f>
        <v>3443</v>
      </c>
      <c r="C3444" t="str">
        <f t="shared" si="53"/>
        <v>NAD83(2011) / Kansas LCC</v>
      </c>
    </row>
    <row r="3445" spans="1:3" x14ac:dyDescent="0.3">
      <c r="A3445" t="s">
        <v>3502</v>
      </c>
      <c r="B3445">
        <f>IF(ISNUMBER(SEARCH(Form!$C$11,Tabel2[[#This Row],[Coordinate Projection System]])),MAX($B$1:B3444)+1,0)</f>
        <v>3444</v>
      </c>
      <c r="C3445" t="str">
        <f t="shared" si="53"/>
        <v>NAD83(2011) / Kansas LCC (ftUS)</v>
      </c>
    </row>
    <row r="3446" spans="1:3" x14ac:dyDescent="0.3">
      <c r="A3446" t="s">
        <v>3503</v>
      </c>
      <c r="B3446">
        <f>IF(ISNUMBER(SEARCH(Form!$C$11,Tabel2[[#This Row],[Coordinate Projection System]])),MAX($B$1:B3445)+1,0)</f>
        <v>3445</v>
      </c>
      <c r="C3446" t="str">
        <f t="shared" si="53"/>
        <v>WGS 84 / NSIDC EASE-Grid 2.0 North</v>
      </c>
    </row>
    <row r="3447" spans="1:3" x14ac:dyDescent="0.3">
      <c r="A3447" t="s">
        <v>3504</v>
      </c>
      <c r="B3447">
        <f>IF(ISNUMBER(SEARCH(Form!$C$11,Tabel2[[#This Row],[Coordinate Projection System]])),MAX($B$1:B3446)+1,0)</f>
        <v>3446</v>
      </c>
      <c r="C3447" t="str">
        <f t="shared" si="53"/>
        <v>WGS 84 / NSIDC EASE-Grid 2.0 South</v>
      </c>
    </row>
    <row r="3448" spans="1:3" x14ac:dyDescent="0.3">
      <c r="A3448" t="s">
        <v>3505</v>
      </c>
      <c r="B3448">
        <f>IF(ISNUMBER(SEARCH(Form!$C$11,Tabel2[[#This Row],[Coordinate Projection System]])),MAX($B$1:B3447)+1,0)</f>
        <v>3447</v>
      </c>
      <c r="C3448" t="str">
        <f t="shared" si="53"/>
        <v>WGS 84 / NSIDC EASE-Grid 2.0 Global</v>
      </c>
    </row>
    <row r="3449" spans="1:3" x14ac:dyDescent="0.3">
      <c r="A3449" t="s">
        <v>3506</v>
      </c>
      <c r="B3449">
        <f>IF(ISNUMBER(SEARCH(Form!$C$11,Tabel2[[#This Row],[Coordinate Projection System]])),MAX($B$1:B3448)+1,0)</f>
        <v>3448</v>
      </c>
      <c r="C3449" t="str">
        <f t="shared" si="53"/>
        <v>VN-2000 / TM-3 zone 481</v>
      </c>
    </row>
    <row r="3450" spans="1:3" x14ac:dyDescent="0.3">
      <c r="A3450" t="s">
        <v>3507</v>
      </c>
      <c r="B3450">
        <f>IF(ISNUMBER(SEARCH(Form!$C$11,Tabel2[[#This Row],[Coordinate Projection System]])),MAX($B$1:B3449)+1,0)</f>
        <v>3449</v>
      </c>
      <c r="C3450" t="str">
        <f t="shared" si="53"/>
        <v>VN-2000 / TM-3 zone 482</v>
      </c>
    </row>
    <row r="3451" spans="1:3" x14ac:dyDescent="0.3">
      <c r="A3451" t="s">
        <v>3508</v>
      </c>
      <c r="B3451">
        <f>IF(ISNUMBER(SEARCH(Form!$C$11,Tabel2[[#This Row],[Coordinate Projection System]])),MAX($B$1:B3450)+1,0)</f>
        <v>3450</v>
      </c>
      <c r="C3451" t="str">
        <f t="shared" si="53"/>
        <v>VN-2000 / TM-3 zone 491</v>
      </c>
    </row>
    <row r="3452" spans="1:3" x14ac:dyDescent="0.3">
      <c r="A3452" t="s">
        <v>3509</v>
      </c>
      <c r="B3452">
        <f>IF(ISNUMBER(SEARCH(Form!$C$11,Tabel2[[#This Row],[Coordinate Projection System]])),MAX($B$1:B3451)+1,0)</f>
        <v>3451</v>
      </c>
      <c r="C3452" t="str">
        <f t="shared" si="53"/>
        <v>VN-2000 / TM-3 Da Nang zone</v>
      </c>
    </row>
    <row r="3453" spans="1:3" x14ac:dyDescent="0.3">
      <c r="A3453" t="s">
        <v>3510</v>
      </c>
      <c r="B3453">
        <f>IF(ISNUMBER(SEARCH(Form!$C$11,Tabel2[[#This Row],[Coordinate Projection System]])),MAX($B$1:B3452)+1,0)</f>
        <v>3452</v>
      </c>
      <c r="C3453" t="str">
        <f t="shared" si="53"/>
        <v>ETRS89 / Albania LCC 2010</v>
      </c>
    </row>
    <row r="3454" spans="1:3" x14ac:dyDescent="0.3">
      <c r="A3454" t="s">
        <v>3511</v>
      </c>
      <c r="B3454">
        <f>IF(ISNUMBER(SEARCH(Form!$C$11,Tabel2[[#This Row],[Coordinate Projection System]])),MAX($B$1:B3453)+1,0)</f>
        <v>3453</v>
      </c>
      <c r="C3454" t="str">
        <f t="shared" si="53"/>
        <v>NAD27 / Michigan NorthUnable to translate coordinate system EPSG:6966 into PROJ.4 format.</v>
      </c>
    </row>
    <row r="3455" spans="1:3" x14ac:dyDescent="0.3">
      <c r="A3455" t="s">
        <v>3512</v>
      </c>
      <c r="B3455">
        <f>IF(ISNUMBER(SEARCH(Form!$C$11,Tabel2[[#This Row],[Coordinate Projection System]])),MAX($B$1:B3454)+1,0)</f>
        <v>3454</v>
      </c>
      <c r="C3455" t="str">
        <f t="shared" si="53"/>
        <v>Israeli Grid 05</v>
      </c>
    </row>
    <row r="3456" spans="1:3" x14ac:dyDescent="0.3">
      <c r="A3456" t="s">
        <v>3513</v>
      </c>
      <c r="B3456">
        <f>IF(ISNUMBER(SEARCH(Form!$C$11,Tabel2[[#This Row],[Coordinate Projection System]])),MAX($B$1:B3455)+1,0)</f>
        <v>3455</v>
      </c>
      <c r="C3456" t="str">
        <f t="shared" si="53"/>
        <v>Israeli Grid 05/12</v>
      </c>
    </row>
    <row r="3457" spans="1:3" x14ac:dyDescent="0.3">
      <c r="A3457" t="s">
        <v>3514</v>
      </c>
      <c r="B3457">
        <f>IF(ISNUMBER(SEARCH(Form!$C$11,Tabel2[[#This Row],[Coordinate Projection System]])),MAX($B$1:B3456)+1,0)</f>
        <v>3456</v>
      </c>
      <c r="C3457" t="str">
        <f t="shared" si="53"/>
        <v>NAD83(2011) / San Francisco CS13 (deprecated)</v>
      </c>
    </row>
    <row r="3458" spans="1:3" x14ac:dyDescent="0.3">
      <c r="A3458" t="s">
        <v>3515</v>
      </c>
      <c r="B3458">
        <f>IF(ISNUMBER(SEARCH(Form!$C$11,Tabel2[[#This Row],[Coordinate Projection System]])),MAX($B$1:B3457)+1,0)</f>
        <v>3457</v>
      </c>
      <c r="C3458" t="str">
        <f t="shared" si="53"/>
        <v>NAD83(2011) / San Francisco CS13 (ftUS) (deprecated)</v>
      </c>
    </row>
    <row r="3459" spans="1:3" x14ac:dyDescent="0.3">
      <c r="A3459" t="s">
        <v>3516</v>
      </c>
      <c r="B3459">
        <f>IF(ISNUMBER(SEARCH(Form!$C$11,Tabel2[[#This Row],[Coordinate Projection System]])),MAX($B$1:B3458)+1,0)</f>
        <v>3458</v>
      </c>
      <c r="C3459" t="str">
        <f t="shared" ref="C3459:C3522" si="54">_xlfn.IFNA(INDEX(A3459:A8970,MATCH(ROW(C3458),B3459:B8970,0)),"")</f>
        <v>Nahrwan 1934 / UTM zone 37N</v>
      </c>
    </row>
    <row r="3460" spans="1:3" x14ac:dyDescent="0.3">
      <c r="A3460" t="s">
        <v>3517</v>
      </c>
      <c r="B3460">
        <f>IF(ISNUMBER(SEARCH(Form!$C$11,Tabel2[[#This Row],[Coordinate Projection System]])),MAX($B$1:B3459)+1,0)</f>
        <v>3459</v>
      </c>
      <c r="C3460" t="str">
        <f t="shared" si="54"/>
        <v>Nahrwan 1934 / UTM zone 38N</v>
      </c>
    </row>
    <row r="3461" spans="1:3" x14ac:dyDescent="0.3">
      <c r="A3461" t="s">
        <v>3518</v>
      </c>
      <c r="B3461">
        <f>IF(ISNUMBER(SEARCH(Form!$C$11,Tabel2[[#This Row],[Coordinate Projection System]])),MAX($B$1:B3460)+1,0)</f>
        <v>3460</v>
      </c>
      <c r="C3461" t="str">
        <f t="shared" si="54"/>
        <v>Nahrwan 1934 / UTM zone 39N</v>
      </c>
    </row>
    <row r="3462" spans="1:3" x14ac:dyDescent="0.3">
      <c r="A3462" t="s">
        <v>3519</v>
      </c>
      <c r="B3462">
        <f>IF(ISNUMBER(SEARCH(Form!$C$11,Tabel2[[#This Row],[Coordinate Projection System]])),MAX($B$1:B3461)+1,0)</f>
        <v>3461</v>
      </c>
      <c r="C3462" t="str">
        <f t="shared" si="54"/>
        <v>NAD83(2011) / IaRCS zone 1</v>
      </c>
    </row>
    <row r="3463" spans="1:3" x14ac:dyDescent="0.3">
      <c r="A3463" t="s">
        <v>3520</v>
      </c>
      <c r="B3463">
        <f>IF(ISNUMBER(SEARCH(Form!$C$11,Tabel2[[#This Row],[Coordinate Projection System]])),MAX($B$1:B3462)+1,0)</f>
        <v>3462</v>
      </c>
      <c r="C3463" t="str">
        <f t="shared" si="54"/>
        <v>NAD83(2011) / IaRCS zone 2</v>
      </c>
    </row>
    <row r="3464" spans="1:3" x14ac:dyDescent="0.3">
      <c r="A3464" t="s">
        <v>3521</v>
      </c>
      <c r="B3464">
        <f>IF(ISNUMBER(SEARCH(Form!$C$11,Tabel2[[#This Row],[Coordinate Projection System]])),MAX($B$1:B3463)+1,0)</f>
        <v>3463</v>
      </c>
      <c r="C3464" t="str">
        <f t="shared" si="54"/>
        <v>NAD83(2011) / IaRCS zone 3</v>
      </c>
    </row>
    <row r="3465" spans="1:3" x14ac:dyDescent="0.3">
      <c r="A3465" t="s">
        <v>3522</v>
      </c>
      <c r="B3465">
        <f>IF(ISNUMBER(SEARCH(Form!$C$11,Tabel2[[#This Row],[Coordinate Projection System]])),MAX($B$1:B3464)+1,0)</f>
        <v>3464</v>
      </c>
      <c r="C3465" t="str">
        <f t="shared" si="54"/>
        <v>NAD83(2011) / IaRCS zone 4</v>
      </c>
    </row>
    <row r="3466" spans="1:3" x14ac:dyDescent="0.3">
      <c r="A3466" t="s">
        <v>3523</v>
      </c>
      <c r="B3466">
        <f>IF(ISNUMBER(SEARCH(Form!$C$11,Tabel2[[#This Row],[Coordinate Projection System]])),MAX($B$1:B3465)+1,0)</f>
        <v>3465</v>
      </c>
      <c r="C3466" t="str">
        <f t="shared" si="54"/>
        <v>NAD83(2011) / IaRCS zone 5</v>
      </c>
    </row>
    <row r="3467" spans="1:3" x14ac:dyDescent="0.3">
      <c r="A3467" t="s">
        <v>3524</v>
      </c>
      <c r="B3467">
        <f>IF(ISNUMBER(SEARCH(Form!$C$11,Tabel2[[#This Row],[Coordinate Projection System]])),MAX($B$1:B3466)+1,0)</f>
        <v>3466</v>
      </c>
      <c r="C3467" t="str">
        <f t="shared" si="54"/>
        <v>NAD83(2011) / IaRCS zone 6</v>
      </c>
    </row>
    <row r="3468" spans="1:3" x14ac:dyDescent="0.3">
      <c r="A3468" t="s">
        <v>3525</v>
      </c>
      <c r="B3468">
        <f>IF(ISNUMBER(SEARCH(Form!$C$11,Tabel2[[#This Row],[Coordinate Projection System]])),MAX($B$1:B3467)+1,0)</f>
        <v>3467</v>
      </c>
      <c r="C3468" t="str">
        <f t="shared" si="54"/>
        <v>NAD83(2011) / IaRCS zone 7</v>
      </c>
    </row>
    <row r="3469" spans="1:3" x14ac:dyDescent="0.3">
      <c r="A3469" t="s">
        <v>3526</v>
      </c>
      <c r="B3469">
        <f>IF(ISNUMBER(SEARCH(Form!$C$11,Tabel2[[#This Row],[Coordinate Projection System]])),MAX($B$1:B3468)+1,0)</f>
        <v>3468</v>
      </c>
      <c r="C3469" t="str">
        <f t="shared" si="54"/>
        <v>NAD83(2011) / IaRCS zone 8</v>
      </c>
    </row>
    <row r="3470" spans="1:3" x14ac:dyDescent="0.3">
      <c r="A3470" t="s">
        <v>3527</v>
      </c>
      <c r="B3470">
        <f>IF(ISNUMBER(SEARCH(Form!$C$11,Tabel2[[#This Row],[Coordinate Projection System]])),MAX($B$1:B3469)+1,0)</f>
        <v>3469</v>
      </c>
      <c r="C3470" t="str">
        <f t="shared" si="54"/>
        <v>NAD83(2011) / IaRCS zone 9</v>
      </c>
    </row>
    <row r="3471" spans="1:3" x14ac:dyDescent="0.3">
      <c r="A3471" t="s">
        <v>3528</v>
      </c>
      <c r="B3471">
        <f>IF(ISNUMBER(SEARCH(Form!$C$11,Tabel2[[#This Row],[Coordinate Projection System]])),MAX($B$1:B3470)+1,0)</f>
        <v>3470</v>
      </c>
      <c r="C3471" t="str">
        <f t="shared" si="54"/>
        <v>NAD83(2011) / IaRCS zone 10</v>
      </c>
    </row>
    <row r="3472" spans="1:3" x14ac:dyDescent="0.3">
      <c r="A3472" t="s">
        <v>3529</v>
      </c>
      <c r="B3472">
        <f>IF(ISNUMBER(SEARCH(Form!$C$11,Tabel2[[#This Row],[Coordinate Projection System]])),MAX($B$1:B3471)+1,0)</f>
        <v>3471</v>
      </c>
      <c r="C3472" t="str">
        <f t="shared" si="54"/>
        <v>NAD83(2011) / IaRCS zone 11</v>
      </c>
    </row>
    <row r="3473" spans="1:3" x14ac:dyDescent="0.3">
      <c r="A3473" t="s">
        <v>3530</v>
      </c>
      <c r="B3473">
        <f>IF(ISNUMBER(SEARCH(Form!$C$11,Tabel2[[#This Row],[Coordinate Projection System]])),MAX($B$1:B3472)+1,0)</f>
        <v>3472</v>
      </c>
      <c r="C3473" t="str">
        <f t="shared" si="54"/>
        <v>NAD83(2011) / IaRCS zone 12</v>
      </c>
    </row>
    <row r="3474" spans="1:3" x14ac:dyDescent="0.3">
      <c r="A3474" t="s">
        <v>3531</v>
      </c>
      <c r="B3474">
        <f>IF(ISNUMBER(SEARCH(Form!$C$11,Tabel2[[#This Row],[Coordinate Projection System]])),MAX($B$1:B3473)+1,0)</f>
        <v>3473</v>
      </c>
      <c r="C3474" t="str">
        <f t="shared" si="54"/>
        <v>NAD83(2011) / IaRCS zone 13</v>
      </c>
    </row>
    <row r="3475" spans="1:3" x14ac:dyDescent="0.3">
      <c r="A3475" t="s">
        <v>3532</v>
      </c>
      <c r="B3475">
        <f>IF(ISNUMBER(SEARCH(Form!$C$11,Tabel2[[#This Row],[Coordinate Projection System]])),MAX($B$1:B3474)+1,0)</f>
        <v>3474</v>
      </c>
      <c r="C3475" t="str">
        <f t="shared" si="54"/>
        <v>NAD83(2011) / IaRCS zone 14</v>
      </c>
    </row>
    <row r="3476" spans="1:3" x14ac:dyDescent="0.3">
      <c r="A3476" t="s">
        <v>3533</v>
      </c>
      <c r="B3476">
        <f>IF(ISNUMBER(SEARCH(Form!$C$11,Tabel2[[#This Row],[Coordinate Projection System]])),MAX($B$1:B3475)+1,0)</f>
        <v>3475</v>
      </c>
      <c r="C3476" t="str">
        <f t="shared" si="54"/>
        <v>RGTAAF07 / UTM zone 37S</v>
      </c>
    </row>
    <row r="3477" spans="1:3" x14ac:dyDescent="0.3">
      <c r="A3477" t="s">
        <v>3534</v>
      </c>
      <c r="B3477">
        <f>IF(ISNUMBER(SEARCH(Form!$C$11,Tabel2[[#This Row],[Coordinate Projection System]])),MAX($B$1:B3476)+1,0)</f>
        <v>3476</v>
      </c>
      <c r="C3477" t="str">
        <f t="shared" si="54"/>
        <v>RGTAAF07 / UTM zone 38S</v>
      </c>
    </row>
    <row r="3478" spans="1:3" x14ac:dyDescent="0.3">
      <c r="A3478" t="s">
        <v>3535</v>
      </c>
      <c r="B3478">
        <f>IF(ISNUMBER(SEARCH(Form!$C$11,Tabel2[[#This Row],[Coordinate Projection System]])),MAX($B$1:B3477)+1,0)</f>
        <v>3477</v>
      </c>
      <c r="C3478" t="str">
        <f t="shared" si="54"/>
        <v>RGTAAF07 / UTM zone 39S</v>
      </c>
    </row>
    <row r="3479" spans="1:3" x14ac:dyDescent="0.3">
      <c r="A3479" t="s">
        <v>3536</v>
      </c>
      <c r="B3479">
        <f>IF(ISNUMBER(SEARCH(Form!$C$11,Tabel2[[#This Row],[Coordinate Projection System]])),MAX($B$1:B3478)+1,0)</f>
        <v>3478</v>
      </c>
      <c r="C3479" t="str">
        <f t="shared" si="54"/>
        <v>RGTAAF07 / UTM zone 40S</v>
      </c>
    </row>
    <row r="3480" spans="1:3" x14ac:dyDescent="0.3">
      <c r="A3480" t="s">
        <v>3537</v>
      </c>
      <c r="B3480">
        <f>IF(ISNUMBER(SEARCH(Form!$C$11,Tabel2[[#This Row],[Coordinate Projection System]])),MAX($B$1:B3479)+1,0)</f>
        <v>3479</v>
      </c>
      <c r="C3480" t="str">
        <f t="shared" si="54"/>
        <v>RGTAAF07 / UTM zone 41S</v>
      </c>
    </row>
    <row r="3481" spans="1:3" x14ac:dyDescent="0.3">
      <c r="A3481" t="s">
        <v>3538</v>
      </c>
      <c r="B3481">
        <f>IF(ISNUMBER(SEARCH(Form!$C$11,Tabel2[[#This Row],[Coordinate Projection System]])),MAX($B$1:B3480)+1,0)</f>
        <v>3480</v>
      </c>
      <c r="C3481" t="str">
        <f t="shared" si="54"/>
        <v>RGTAAF07 / UTM zone 42S</v>
      </c>
    </row>
    <row r="3482" spans="1:3" x14ac:dyDescent="0.3">
      <c r="A3482" t="s">
        <v>3539</v>
      </c>
      <c r="B3482">
        <f>IF(ISNUMBER(SEARCH(Form!$C$11,Tabel2[[#This Row],[Coordinate Projection System]])),MAX($B$1:B3481)+1,0)</f>
        <v>3481</v>
      </c>
      <c r="C3482" t="str">
        <f t="shared" si="54"/>
        <v>RGTAAF07 / UTM zone 43S</v>
      </c>
    </row>
    <row r="3483" spans="1:3" x14ac:dyDescent="0.3">
      <c r="A3483" t="s">
        <v>3540</v>
      </c>
      <c r="B3483">
        <f>IF(ISNUMBER(SEARCH(Form!$C$11,Tabel2[[#This Row],[Coordinate Projection System]])),MAX($B$1:B3482)+1,0)</f>
        <v>3482</v>
      </c>
      <c r="C3483" t="str">
        <f t="shared" si="54"/>
        <v>RGTAAF07 / UTM zone 44S</v>
      </c>
    </row>
    <row r="3484" spans="1:3" x14ac:dyDescent="0.3">
      <c r="A3484" t="s">
        <v>3541</v>
      </c>
      <c r="B3484">
        <f>IF(ISNUMBER(SEARCH(Form!$C$11,Tabel2[[#This Row],[Coordinate Projection System]])),MAX($B$1:B3483)+1,0)</f>
        <v>3483</v>
      </c>
      <c r="C3484" t="str">
        <f t="shared" si="54"/>
        <v>RGTAAF07 / Terre Adelie Polar StereographicUnable to translate coordinate system EPSG:7082 into PROJ.4 format.</v>
      </c>
    </row>
    <row r="3485" spans="1:3" x14ac:dyDescent="0.3">
      <c r="A3485" t="s">
        <v>3542</v>
      </c>
      <c r="B3485">
        <f>IF(ISNUMBER(SEARCH(Form!$C$11,Tabel2[[#This Row],[Coordinate Projection System]])),MAX($B$1:B3484)+1,0)</f>
        <v>3484</v>
      </c>
      <c r="C3485" t="str">
        <f t="shared" si="54"/>
        <v>NAD83(2011) / RMTCRS St Mary (m)</v>
      </c>
    </row>
    <row r="3486" spans="1:3" x14ac:dyDescent="0.3">
      <c r="A3486" t="s">
        <v>3543</v>
      </c>
      <c r="B3486">
        <f>IF(ISNUMBER(SEARCH(Form!$C$11,Tabel2[[#This Row],[Coordinate Projection System]])),MAX($B$1:B3485)+1,0)</f>
        <v>3485</v>
      </c>
      <c r="C3486" t="str">
        <f t="shared" si="54"/>
        <v>NAD83(2011) / RMTCRS Blackfeet (m)</v>
      </c>
    </row>
    <row r="3487" spans="1:3" x14ac:dyDescent="0.3">
      <c r="A3487" t="s">
        <v>3544</v>
      </c>
      <c r="B3487">
        <f>IF(ISNUMBER(SEARCH(Form!$C$11,Tabel2[[#This Row],[Coordinate Projection System]])),MAX($B$1:B3486)+1,0)</f>
        <v>3486</v>
      </c>
      <c r="C3487" t="str">
        <f t="shared" si="54"/>
        <v>NAD83(2011) / RMTCRS Milk River (m)</v>
      </c>
    </row>
    <row r="3488" spans="1:3" x14ac:dyDescent="0.3">
      <c r="A3488" t="s">
        <v>3545</v>
      </c>
      <c r="B3488">
        <f>IF(ISNUMBER(SEARCH(Form!$C$11,Tabel2[[#This Row],[Coordinate Projection System]])),MAX($B$1:B3487)+1,0)</f>
        <v>3487</v>
      </c>
      <c r="C3488" t="str">
        <f t="shared" si="54"/>
        <v>NAD83(2011) / RMTCRS Fort Belknap (m)</v>
      </c>
    </row>
    <row r="3489" spans="1:3" x14ac:dyDescent="0.3">
      <c r="A3489" t="s">
        <v>3546</v>
      </c>
      <c r="B3489">
        <f>IF(ISNUMBER(SEARCH(Form!$C$11,Tabel2[[#This Row],[Coordinate Projection System]])),MAX($B$1:B3488)+1,0)</f>
        <v>3488</v>
      </c>
      <c r="C3489" t="str">
        <f t="shared" si="54"/>
        <v>NAD83(2011) / RMTCRS Fort Peck Assiniboine (m)</v>
      </c>
    </row>
    <row r="3490" spans="1:3" x14ac:dyDescent="0.3">
      <c r="A3490" t="s">
        <v>3547</v>
      </c>
      <c r="B3490">
        <f>IF(ISNUMBER(SEARCH(Form!$C$11,Tabel2[[#This Row],[Coordinate Projection System]])),MAX($B$1:B3489)+1,0)</f>
        <v>3489</v>
      </c>
      <c r="C3490" t="str">
        <f t="shared" si="54"/>
        <v>NAD83(2011) / RMTCRS Fort Peck Sioux (m)</v>
      </c>
    </row>
    <row r="3491" spans="1:3" x14ac:dyDescent="0.3">
      <c r="A3491" t="s">
        <v>3548</v>
      </c>
      <c r="B3491">
        <f>IF(ISNUMBER(SEARCH(Form!$C$11,Tabel2[[#This Row],[Coordinate Projection System]])),MAX($B$1:B3490)+1,0)</f>
        <v>3490</v>
      </c>
      <c r="C3491" t="str">
        <f t="shared" si="54"/>
        <v>NAD83(2011) / RMTCRS Crow (m)</v>
      </c>
    </row>
    <row r="3492" spans="1:3" x14ac:dyDescent="0.3">
      <c r="A3492" t="s">
        <v>3549</v>
      </c>
      <c r="B3492">
        <f>IF(ISNUMBER(SEARCH(Form!$C$11,Tabel2[[#This Row],[Coordinate Projection System]])),MAX($B$1:B3491)+1,0)</f>
        <v>3491</v>
      </c>
      <c r="C3492" t="str">
        <f t="shared" si="54"/>
        <v>NAD83(2011) / RMTCRS Bobcat (m)</v>
      </c>
    </row>
    <row r="3493" spans="1:3" x14ac:dyDescent="0.3">
      <c r="A3493" t="s">
        <v>3550</v>
      </c>
      <c r="B3493">
        <f>IF(ISNUMBER(SEARCH(Form!$C$11,Tabel2[[#This Row],[Coordinate Projection System]])),MAX($B$1:B3492)+1,0)</f>
        <v>3492</v>
      </c>
      <c r="C3493" t="str">
        <f t="shared" si="54"/>
        <v>NAD83(2011) / RMTCRS Billings (m)</v>
      </c>
    </row>
    <row r="3494" spans="1:3" x14ac:dyDescent="0.3">
      <c r="A3494" t="s">
        <v>3551</v>
      </c>
      <c r="B3494">
        <f>IF(ISNUMBER(SEARCH(Form!$C$11,Tabel2[[#This Row],[Coordinate Projection System]])),MAX($B$1:B3493)+1,0)</f>
        <v>3493</v>
      </c>
      <c r="C3494" t="str">
        <f t="shared" si="54"/>
        <v>NAD83(2011) / RMTCRS Wind River (m)</v>
      </c>
    </row>
    <row r="3495" spans="1:3" x14ac:dyDescent="0.3">
      <c r="A3495" t="s">
        <v>3552</v>
      </c>
      <c r="B3495">
        <f>IF(ISNUMBER(SEARCH(Form!$C$11,Tabel2[[#This Row],[Coordinate Projection System]])),MAX($B$1:B3494)+1,0)</f>
        <v>3494</v>
      </c>
      <c r="C3495" t="str">
        <f t="shared" si="54"/>
        <v>NAD83(2011) / RMTCRS St Mary (ft)</v>
      </c>
    </row>
    <row r="3496" spans="1:3" x14ac:dyDescent="0.3">
      <c r="A3496" t="s">
        <v>3553</v>
      </c>
      <c r="B3496">
        <f>IF(ISNUMBER(SEARCH(Form!$C$11,Tabel2[[#This Row],[Coordinate Projection System]])),MAX($B$1:B3495)+1,0)</f>
        <v>3495</v>
      </c>
      <c r="C3496" t="str">
        <f t="shared" si="54"/>
        <v>NAD83(2011) / RMTCRS Blackfeet (ft)</v>
      </c>
    </row>
    <row r="3497" spans="1:3" x14ac:dyDescent="0.3">
      <c r="A3497" t="s">
        <v>3554</v>
      </c>
      <c r="B3497">
        <f>IF(ISNUMBER(SEARCH(Form!$C$11,Tabel2[[#This Row],[Coordinate Projection System]])),MAX($B$1:B3496)+1,0)</f>
        <v>3496</v>
      </c>
      <c r="C3497" t="str">
        <f t="shared" si="54"/>
        <v>NAD83(2011) / RMTCRS Milk River (ft)</v>
      </c>
    </row>
    <row r="3498" spans="1:3" x14ac:dyDescent="0.3">
      <c r="A3498" t="s">
        <v>3555</v>
      </c>
      <c r="B3498">
        <f>IF(ISNUMBER(SEARCH(Form!$C$11,Tabel2[[#This Row],[Coordinate Projection System]])),MAX($B$1:B3497)+1,0)</f>
        <v>3497</v>
      </c>
      <c r="C3498" t="str">
        <f t="shared" si="54"/>
        <v>NAD83(2011) / RMTCRS Fort Belknap (ft)</v>
      </c>
    </row>
    <row r="3499" spans="1:3" x14ac:dyDescent="0.3">
      <c r="A3499" t="s">
        <v>3556</v>
      </c>
      <c r="B3499">
        <f>IF(ISNUMBER(SEARCH(Form!$C$11,Tabel2[[#This Row],[Coordinate Projection System]])),MAX($B$1:B3498)+1,0)</f>
        <v>3498</v>
      </c>
      <c r="C3499" t="str">
        <f t="shared" si="54"/>
        <v>NAD83(2011) / RMTCRS Fort Peck Assiniboine (ft)</v>
      </c>
    </row>
    <row r="3500" spans="1:3" x14ac:dyDescent="0.3">
      <c r="A3500" t="s">
        <v>3557</v>
      </c>
      <c r="B3500">
        <f>IF(ISNUMBER(SEARCH(Form!$C$11,Tabel2[[#This Row],[Coordinate Projection System]])),MAX($B$1:B3499)+1,0)</f>
        <v>3499</v>
      </c>
      <c r="C3500" t="str">
        <f t="shared" si="54"/>
        <v>NAD83(2011) / RMTCRS Fort Peck Sioux (ft)</v>
      </c>
    </row>
    <row r="3501" spans="1:3" x14ac:dyDescent="0.3">
      <c r="A3501" t="s">
        <v>3558</v>
      </c>
      <c r="B3501">
        <f>IF(ISNUMBER(SEARCH(Form!$C$11,Tabel2[[#This Row],[Coordinate Projection System]])),MAX($B$1:B3500)+1,0)</f>
        <v>3500</v>
      </c>
      <c r="C3501" t="str">
        <f t="shared" si="54"/>
        <v>NAD83(2011) / RMTCRS Crow (ft)</v>
      </c>
    </row>
    <row r="3502" spans="1:3" x14ac:dyDescent="0.3">
      <c r="A3502" t="s">
        <v>3559</v>
      </c>
      <c r="B3502">
        <f>IF(ISNUMBER(SEARCH(Form!$C$11,Tabel2[[#This Row],[Coordinate Projection System]])),MAX($B$1:B3501)+1,0)</f>
        <v>3501</v>
      </c>
      <c r="C3502" t="str">
        <f t="shared" si="54"/>
        <v>NAD83(2011) / RMTCRS Bobcat (ft)</v>
      </c>
    </row>
    <row r="3503" spans="1:3" x14ac:dyDescent="0.3">
      <c r="A3503" t="s">
        <v>3560</v>
      </c>
      <c r="B3503">
        <f>IF(ISNUMBER(SEARCH(Form!$C$11,Tabel2[[#This Row],[Coordinate Projection System]])),MAX($B$1:B3502)+1,0)</f>
        <v>3502</v>
      </c>
      <c r="C3503" t="str">
        <f t="shared" si="54"/>
        <v>NAD83(2011) / RMTCRS Billings (ft)</v>
      </c>
    </row>
    <row r="3504" spans="1:3" x14ac:dyDescent="0.3">
      <c r="A3504" t="s">
        <v>3561</v>
      </c>
      <c r="B3504">
        <f>IF(ISNUMBER(SEARCH(Form!$C$11,Tabel2[[#This Row],[Coordinate Projection System]])),MAX($B$1:B3503)+1,0)</f>
        <v>3503</v>
      </c>
      <c r="C3504" t="str">
        <f t="shared" si="54"/>
        <v>NAD83(2011) / RMTCRS Wind River (ftUS)</v>
      </c>
    </row>
    <row r="3505" spans="1:3" x14ac:dyDescent="0.3">
      <c r="A3505" t="s">
        <v>3562</v>
      </c>
      <c r="B3505">
        <f>IF(ISNUMBER(SEARCH(Form!$C$11,Tabel2[[#This Row],[Coordinate Projection System]])),MAX($B$1:B3504)+1,0)</f>
        <v>3504</v>
      </c>
      <c r="C3505" t="str">
        <f t="shared" si="54"/>
        <v>NAD83(2011) / San Francisco CS13</v>
      </c>
    </row>
    <row r="3506" spans="1:3" x14ac:dyDescent="0.3">
      <c r="A3506" t="s">
        <v>3563</v>
      </c>
      <c r="B3506">
        <f>IF(ISNUMBER(SEARCH(Form!$C$11,Tabel2[[#This Row],[Coordinate Projection System]])),MAX($B$1:B3505)+1,0)</f>
        <v>3505</v>
      </c>
      <c r="C3506" t="str">
        <f t="shared" si="54"/>
        <v>NAD83(2011) / San Francisco CS13 (ftUS)</v>
      </c>
    </row>
    <row r="3507" spans="1:3" x14ac:dyDescent="0.3">
      <c r="A3507" t="s">
        <v>3564</v>
      </c>
      <c r="B3507">
        <f>IF(ISNUMBER(SEARCH(Form!$C$11,Tabel2[[#This Row],[Coordinate Projection System]])),MAX($B$1:B3506)+1,0)</f>
        <v>3506</v>
      </c>
      <c r="C3507" t="str">
        <f t="shared" si="54"/>
        <v>Palestine 1923 / Palestine Grid modified</v>
      </c>
    </row>
    <row r="3508" spans="1:3" x14ac:dyDescent="0.3">
      <c r="A3508" t="s">
        <v>3565</v>
      </c>
      <c r="B3508">
        <f>IF(ISNUMBER(SEARCH(Form!$C$11,Tabel2[[#This Row],[Coordinate Projection System]])),MAX($B$1:B3507)+1,0)</f>
        <v>3507</v>
      </c>
      <c r="C3508" t="str">
        <f t="shared" si="54"/>
        <v>NAD83(2011) / InGCS Adams (m)</v>
      </c>
    </row>
    <row r="3509" spans="1:3" x14ac:dyDescent="0.3">
      <c r="A3509" t="s">
        <v>3566</v>
      </c>
      <c r="B3509">
        <f>IF(ISNUMBER(SEARCH(Form!$C$11,Tabel2[[#This Row],[Coordinate Projection System]])),MAX($B$1:B3508)+1,0)</f>
        <v>3508</v>
      </c>
      <c r="C3509" t="str">
        <f t="shared" si="54"/>
        <v>NAD83(2011) / InGCS Adams (ftUS)</v>
      </c>
    </row>
    <row r="3510" spans="1:3" x14ac:dyDescent="0.3">
      <c r="A3510" t="s">
        <v>3567</v>
      </c>
      <c r="B3510">
        <f>IF(ISNUMBER(SEARCH(Form!$C$11,Tabel2[[#This Row],[Coordinate Projection System]])),MAX($B$1:B3509)+1,0)</f>
        <v>3509</v>
      </c>
      <c r="C3510" t="str">
        <f t="shared" si="54"/>
        <v>NAD83(2011) / InGCS Allen (m)</v>
      </c>
    </row>
    <row r="3511" spans="1:3" x14ac:dyDescent="0.3">
      <c r="A3511" t="s">
        <v>3568</v>
      </c>
      <c r="B3511">
        <f>IF(ISNUMBER(SEARCH(Form!$C$11,Tabel2[[#This Row],[Coordinate Projection System]])),MAX($B$1:B3510)+1,0)</f>
        <v>3510</v>
      </c>
      <c r="C3511" t="str">
        <f t="shared" si="54"/>
        <v>NAD83(2011) / InGCS Allen (ftUS)</v>
      </c>
    </row>
    <row r="3512" spans="1:3" x14ac:dyDescent="0.3">
      <c r="A3512" t="s">
        <v>3569</v>
      </c>
      <c r="B3512">
        <f>IF(ISNUMBER(SEARCH(Form!$C$11,Tabel2[[#This Row],[Coordinate Projection System]])),MAX($B$1:B3511)+1,0)</f>
        <v>3511</v>
      </c>
      <c r="C3512" t="str">
        <f t="shared" si="54"/>
        <v>NAD83(2011) / InGCS Bartholomew (m)</v>
      </c>
    </row>
    <row r="3513" spans="1:3" x14ac:dyDescent="0.3">
      <c r="A3513" t="s">
        <v>3570</v>
      </c>
      <c r="B3513">
        <f>IF(ISNUMBER(SEARCH(Form!$C$11,Tabel2[[#This Row],[Coordinate Projection System]])),MAX($B$1:B3512)+1,0)</f>
        <v>3512</v>
      </c>
      <c r="C3513" t="str">
        <f t="shared" si="54"/>
        <v>NAD83(2011) / InGCS Bartholomew (ftUS)</v>
      </c>
    </row>
    <row r="3514" spans="1:3" x14ac:dyDescent="0.3">
      <c r="A3514" t="s">
        <v>3571</v>
      </c>
      <c r="B3514">
        <f>IF(ISNUMBER(SEARCH(Form!$C$11,Tabel2[[#This Row],[Coordinate Projection System]])),MAX($B$1:B3513)+1,0)</f>
        <v>3513</v>
      </c>
      <c r="C3514" t="str">
        <f t="shared" si="54"/>
        <v>NAD83(2011) / InGCS Benton (m)</v>
      </c>
    </row>
    <row r="3515" spans="1:3" x14ac:dyDescent="0.3">
      <c r="A3515" t="s">
        <v>3572</v>
      </c>
      <c r="B3515">
        <f>IF(ISNUMBER(SEARCH(Form!$C$11,Tabel2[[#This Row],[Coordinate Projection System]])),MAX($B$1:B3514)+1,0)</f>
        <v>3514</v>
      </c>
      <c r="C3515" t="str">
        <f t="shared" si="54"/>
        <v>NAD83(2011) / InGCS Benton (ftUS)</v>
      </c>
    </row>
    <row r="3516" spans="1:3" x14ac:dyDescent="0.3">
      <c r="A3516" t="s">
        <v>3573</v>
      </c>
      <c r="B3516">
        <f>IF(ISNUMBER(SEARCH(Form!$C$11,Tabel2[[#This Row],[Coordinate Projection System]])),MAX($B$1:B3515)+1,0)</f>
        <v>3515</v>
      </c>
      <c r="C3516" t="str">
        <f t="shared" si="54"/>
        <v>NAD83(2011) / InGCS Blackford-Delaware (m)</v>
      </c>
    </row>
    <row r="3517" spans="1:3" x14ac:dyDescent="0.3">
      <c r="A3517" t="s">
        <v>3574</v>
      </c>
      <c r="B3517">
        <f>IF(ISNUMBER(SEARCH(Form!$C$11,Tabel2[[#This Row],[Coordinate Projection System]])),MAX($B$1:B3516)+1,0)</f>
        <v>3516</v>
      </c>
      <c r="C3517" t="str">
        <f t="shared" si="54"/>
        <v>NAD83(2011) / InGCS Blackford-Delaware (ftUS)</v>
      </c>
    </row>
    <row r="3518" spans="1:3" x14ac:dyDescent="0.3">
      <c r="A3518" t="s">
        <v>3575</v>
      </c>
      <c r="B3518">
        <f>IF(ISNUMBER(SEARCH(Form!$C$11,Tabel2[[#This Row],[Coordinate Projection System]])),MAX($B$1:B3517)+1,0)</f>
        <v>3517</v>
      </c>
      <c r="C3518" t="str">
        <f t="shared" si="54"/>
        <v>NAD83(2011) / InGCS Boone-Hendricks (m)</v>
      </c>
    </row>
    <row r="3519" spans="1:3" x14ac:dyDescent="0.3">
      <c r="A3519" t="s">
        <v>3576</v>
      </c>
      <c r="B3519">
        <f>IF(ISNUMBER(SEARCH(Form!$C$11,Tabel2[[#This Row],[Coordinate Projection System]])),MAX($B$1:B3518)+1,0)</f>
        <v>3518</v>
      </c>
      <c r="C3519" t="str">
        <f t="shared" si="54"/>
        <v>NAD83(2011) / InGCS Boone-Hendricks (ftUS)</v>
      </c>
    </row>
    <row r="3520" spans="1:3" x14ac:dyDescent="0.3">
      <c r="A3520" t="s">
        <v>3577</v>
      </c>
      <c r="B3520">
        <f>IF(ISNUMBER(SEARCH(Form!$C$11,Tabel2[[#This Row],[Coordinate Projection System]])),MAX($B$1:B3519)+1,0)</f>
        <v>3519</v>
      </c>
      <c r="C3520" t="str">
        <f t="shared" si="54"/>
        <v>NAD83(2011) / InGCS Brown (m)</v>
      </c>
    </row>
    <row r="3521" spans="1:3" x14ac:dyDescent="0.3">
      <c r="A3521" t="s">
        <v>3578</v>
      </c>
      <c r="B3521">
        <f>IF(ISNUMBER(SEARCH(Form!$C$11,Tabel2[[#This Row],[Coordinate Projection System]])),MAX($B$1:B3520)+1,0)</f>
        <v>3520</v>
      </c>
      <c r="C3521" t="str">
        <f t="shared" si="54"/>
        <v>NAD83(2011) / InGCS Brown (ftUS)</v>
      </c>
    </row>
    <row r="3522" spans="1:3" x14ac:dyDescent="0.3">
      <c r="A3522" t="s">
        <v>3579</v>
      </c>
      <c r="B3522">
        <f>IF(ISNUMBER(SEARCH(Form!$C$11,Tabel2[[#This Row],[Coordinate Projection System]])),MAX($B$1:B3521)+1,0)</f>
        <v>3521</v>
      </c>
      <c r="C3522" t="str">
        <f t="shared" si="54"/>
        <v>NAD83(2011) / InGCS Carroll (m)</v>
      </c>
    </row>
    <row r="3523" spans="1:3" x14ac:dyDescent="0.3">
      <c r="A3523" t="s">
        <v>3580</v>
      </c>
      <c r="B3523">
        <f>IF(ISNUMBER(SEARCH(Form!$C$11,Tabel2[[#This Row],[Coordinate Projection System]])),MAX($B$1:B3522)+1,0)</f>
        <v>3522</v>
      </c>
      <c r="C3523" t="str">
        <f t="shared" ref="C3523:C3586" si="55">_xlfn.IFNA(INDEX(A3523:A9034,MATCH(ROW(C3522),B3523:B9034,0)),"")</f>
        <v>NAD83(2011) / InGCS Carroll (ftUS)</v>
      </c>
    </row>
    <row r="3524" spans="1:3" x14ac:dyDescent="0.3">
      <c r="A3524" t="s">
        <v>3581</v>
      </c>
      <c r="B3524">
        <f>IF(ISNUMBER(SEARCH(Form!$C$11,Tabel2[[#This Row],[Coordinate Projection System]])),MAX($B$1:B3523)+1,0)</f>
        <v>3523</v>
      </c>
      <c r="C3524" t="str">
        <f t="shared" si="55"/>
        <v>NAD83(2011) / InGCS Cass (m)</v>
      </c>
    </row>
    <row r="3525" spans="1:3" x14ac:dyDescent="0.3">
      <c r="A3525" t="s">
        <v>3582</v>
      </c>
      <c r="B3525">
        <f>IF(ISNUMBER(SEARCH(Form!$C$11,Tabel2[[#This Row],[Coordinate Projection System]])),MAX($B$1:B3524)+1,0)</f>
        <v>3524</v>
      </c>
      <c r="C3525" t="str">
        <f t="shared" si="55"/>
        <v>NAD83(2011) / InGCS Cass (ftUS)</v>
      </c>
    </row>
    <row r="3526" spans="1:3" x14ac:dyDescent="0.3">
      <c r="A3526" t="s">
        <v>3583</v>
      </c>
      <c r="B3526">
        <f>IF(ISNUMBER(SEARCH(Form!$C$11,Tabel2[[#This Row],[Coordinate Projection System]])),MAX($B$1:B3525)+1,0)</f>
        <v>3525</v>
      </c>
      <c r="C3526" t="str">
        <f t="shared" si="55"/>
        <v>NAD83(2011) / InGCS Clark-Floyd-Scott (m)</v>
      </c>
    </row>
    <row r="3527" spans="1:3" x14ac:dyDescent="0.3">
      <c r="A3527" t="s">
        <v>3584</v>
      </c>
      <c r="B3527">
        <f>IF(ISNUMBER(SEARCH(Form!$C$11,Tabel2[[#This Row],[Coordinate Projection System]])),MAX($B$1:B3526)+1,0)</f>
        <v>3526</v>
      </c>
      <c r="C3527" t="str">
        <f t="shared" si="55"/>
        <v>NAD83(2011) / InGCS Clark-Floyd-Scott (ftUS)</v>
      </c>
    </row>
    <row r="3528" spans="1:3" x14ac:dyDescent="0.3">
      <c r="A3528" t="s">
        <v>3585</v>
      </c>
      <c r="B3528">
        <f>IF(ISNUMBER(SEARCH(Form!$C$11,Tabel2[[#This Row],[Coordinate Projection System]])),MAX($B$1:B3527)+1,0)</f>
        <v>3527</v>
      </c>
      <c r="C3528" t="str">
        <f t="shared" si="55"/>
        <v>NAD83(2011) / InGCS Clay (m)</v>
      </c>
    </row>
    <row r="3529" spans="1:3" x14ac:dyDescent="0.3">
      <c r="A3529" t="s">
        <v>3586</v>
      </c>
      <c r="B3529">
        <f>IF(ISNUMBER(SEARCH(Form!$C$11,Tabel2[[#This Row],[Coordinate Projection System]])),MAX($B$1:B3528)+1,0)</f>
        <v>3528</v>
      </c>
      <c r="C3529" t="str">
        <f t="shared" si="55"/>
        <v>NAD83(2011) / InGCS Clay (ftUS)</v>
      </c>
    </row>
    <row r="3530" spans="1:3" x14ac:dyDescent="0.3">
      <c r="A3530" t="s">
        <v>3587</v>
      </c>
      <c r="B3530">
        <f>IF(ISNUMBER(SEARCH(Form!$C$11,Tabel2[[#This Row],[Coordinate Projection System]])),MAX($B$1:B3529)+1,0)</f>
        <v>3529</v>
      </c>
      <c r="C3530" t="str">
        <f t="shared" si="55"/>
        <v>NAD83(2011) / InGCS Clinton (m)</v>
      </c>
    </row>
    <row r="3531" spans="1:3" x14ac:dyDescent="0.3">
      <c r="A3531" t="s">
        <v>3588</v>
      </c>
      <c r="B3531">
        <f>IF(ISNUMBER(SEARCH(Form!$C$11,Tabel2[[#This Row],[Coordinate Projection System]])),MAX($B$1:B3530)+1,0)</f>
        <v>3530</v>
      </c>
      <c r="C3531" t="str">
        <f t="shared" si="55"/>
        <v>NAD83(2011) / InGCS Clinton (ftUS)</v>
      </c>
    </row>
    <row r="3532" spans="1:3" x14ac:dyDescent="0.3">
      <c r="A3532" t="s">
        <v>3589</v>
      </c>
      <c r="B3532">
        <f>IF(ISNUMBER(SEARCH(Form!$C$11,Tabel2[[#This Row],[Coordinate Projection System]])),MAX($B$1:B3531)+1,0)</f>
        <v>3531</v>
      </c>
      <c r="C3532" t="str">
        <f t="shared" si="55"/>
        <v>NAD83(2011) / InGCS Crawford-Lawrence-Orange (m)</v>
      </c>
    </row>
    <row r="3533" spans="1:3" x14ac:dyDescent="0.3">
      <c r="A3533" t="s">
        <v>3590</v>
      </c>
      <c r="B3533">
        <f>IF(ISNUMBER(SEARCH(Form!$C$11,Tabel2[[#This Row],[Coordinate Projection System]])),MAX($B$1:B3532)+1,0)</f>
        <v>3532</v>
      </c>
      <c r="C3533" t="str">
        <f t="shared" si="55"/>
        <v>NAD83(2011) / InGCS Crawford-Lawrence-Orange (ftUS)</v>
      </c>
    </row>
    <row r="3534" spans="1:3" x14ac:dyDescent="0.3">
      <c r="A3534" t="s">
        <v>3591</v>
      </c>
      <c r="B3534">
        <f>IF(ISNUMBER(SEARCH(Form!$C$11,Tabel2[[#This Row],[Coordinate Projection System]])),MAX($B$1:B3533)+1,0)</f>
        <v>3533</v>
      </c>
      <c r="C3534" t="str">
        <f t="shared" si="55"/>
        <v>NAD83(2011) / InGCS Daviess-Greene (m)</v>
      </c>
    </row>
    <row r="3535" spans="1:3" x14ac:dyDescent="0.3">
      <c r="A3535" t="s">
        <v>3592</v>
      </c>
      <c r="B3535">
        <f>IF(ISNUMBER(SEARCH(Form!$C$11,Tabel2[[#This Row],[Coordinate Projection System]])),MAX($B$1:B3534)+1,0)</f>
        <v>3534</v>
      </c>
      <c r="C3535" t="str">
        <f t="shared" si="55"/>
        <v>NAD83(2011) / InGCS Daviess-Greene (ftUS)</v>
      </c>
    </row>
    <row r="3536" spans="1:3" x14ac:dyDescent="0.3">
      <c r="A3536" t="s">
        <v>3593</v>
      </c>
      <c r="B3536">
        <f>IF(ISNUMBER(SEARCH(Form!$C$11,Tabel2[[#This Row],[Coordinate Projection System]])),MAX($B$1:B3535)+1,0)</f>
        <v>3535</v>
      </c>
      <c r="C3536" t="str">
        <f t="shared" si="55"/>
        <v>NAD83(2011) / InGCS Dearborn-Ohio-Switzerland (m)</v>
      </c>
    </row>
    <row r="3537" spans="1:3" x14ac:dyDescent="0.3">
      <c r="A3537" t="s">
        <v>3594</v>
      </c>
      <c r="B3537">
        <f>IF(ISNUMBER(SEARCH(Form!$C$11,Tabel2[[#This Row],[Coordinate Projection System]])),MAX($B$1:B3536)+1,0)</f>
        <v>3536</v>
      </c>
      <c r="C3537" t="str">
        <f t="shared" si="55"/>
        <v>NAD83(2011) / InGCS Dearborn-Ohio-Switzerland (ftUS)</v>
      </c>
    </row>
    <row r="3538" spans="1:3" x14ac:dyDescent="0.3">
      <c r="A3538" t="s">
        <v>3595</v>
      </c>
      <c r="B3538">
        <f>IF(ISNUMBER(SEARCH(Form!$C$11,Tabel2[[#This Row],[Coordinate Projection System]])),MAX($B$1:B3537)+1,0)</f>
        <v>3537</v>
      </c>
      <c r="C3538" t="str">
        <f t="shared" si="55"/>
        <v>NAD83(2011) / InGCS Decatur-Rush (m)</v>
      </c>
    </row>
    <row r="3539" spans="1:3" x14ac:dyDescent="0.3">
      <c r="A3539" t="s">
        <v>3596</v>
      </c>
      <c r="B3539">
        <f>IF(ISNUMBER(SEARCH(Form!$C$11,Tabel2[[#This Row],[Coordinate Projection System]])),MAX($B$1:B3538)+1,0)</f>
        <v>3538</v>
      </c>
      <c r="C3539" t="str">
        <f t="shared" si="55"/>
        <v>NAD83(2011) / InGCS Decatur-Rush (ftUS)</v>
      </c>
    </row>
    <row r="3540" spans="1:3" x14ac:dyDescent="0.3">
      <c r="A3540" t="s">
        <v>3597</v>
      </c>
      <c r="B3540">
        <f>IF(ISNUMBER(SEARCH(Form!$C$11,Tabel2[[#This Row],[Coordinate Projection System]])),MAX($B$1:B3539)+1,0)</f>
        <v>3539</v>
      </c>
      <c r="C3540" t="str">
        <f t="shared" si="55"/>
        <v>NAD83(2011) / InGCS DeKalb (m)</v>
      </c>
    </row>
    <row r="3541" spans="1:3" x14ac:dyDescent="0.3">
      <c r="A3541" t="s">
        <v>3598</v>
      </c>
      <c r="B3541">
        <f>IF(ISNUMBER(SEARCH(Form!$C$11,Tabel2[[#This Row],[Coordinate Projection System]])),MAX($B$1:B3540)+1,0)</f>
        <v>3540</v>
      </c>
      <c r="C3541" t="str">
        <f t="shared" si="55"/>
        <v>NAD83(2011) / InGCS DeKalb (ftUS)</v>
      </c>
    </row>
    <row r="3542" spans="1:3" x14ac:dyDescent="0.3">
      <c r="A3542" t="s">
        <v>3599</v>
      </c>
      <c r="B3542">
        <f>IF(ISNUMBER(SEARCH(Form!$C$11,Tabel2[[#This Row],[Coordinate Projection System]])),MAX($B$1:B3541)+1,0)</f>
        <v>3541</v>
      </c>
      <c r="C3542" t="str">
        <f t="shared" si="55"/>
        <v>NAD83(2011) / InGCS Dubois-Martin (m)</v>
      </c>
    </row>
    <row r="3543" spans="1:3" x14ac:dyDescent="0.3">
      <c r="A3543" t="s">
        <v>3600</v>
      </c>
      <c r="B3543">
        <f>IF(ISNUMBER(SEARCH(Form!$C$11,Tabel2[[#This Row],[Coordinate Projection System]])),MAX($B$1:B3542)+1,0)</f>
        <v>3542</v>
      </c>
      <c r="C3543" t="str">
        <f t="shared" si="55"/>
        <v>NAD83(2011) / InGCS Dubois-Martin (ftUS)</v>
      </c>
    </row>
    <row r="3544" spans="1:3" x14ac:dyDescent="0.3">
      <c r="A3544" t="s">
        <v>3601</v>
      </c>
      <c r="B3544">
        <f>IF(ISNUMBER(SEARCH(Form!$C$11,Tabel2[[#This Row],[Coordinate Projection System]])),MAX($B$1:B3543)+1,0)</f>
        <v>3543</v>
      </c>
      <c r="C3544" t="str">
        <f t="shared" si="55"/>
        <v>NAD83(2011) / InGCS Elkhart-Kosciusko-Wabash (m)</v>
      </c>
    </row>
    <row r="3545" spans="1:3" x14ac:dyDescent="0.3">
      <c r="A3545" t="s">
        <v>3602</v>
      </c>
      <c r="B3545">
        <f>IF(ISNUMBER(SEARCH(Form!$C$11,Tabel2[[#This Row],[Coordinate Projection System]])),MAX($B$1:B3544)+1,0)</f>
        <v>3544</v>
      </c>
      <c r="C3545" t="str">
        <f t="shared" si="55"/>
        <v>NAD83(2011) / InGCS Elkhart-Kosciusko-Wabash (ftUS)</v>
      </c>
    </row>
    <row r="3546" spans="1:3" x14ac:dyDescent="0.3">
      <c r="A3546" t="s">
        <v>3603</v>
      </c>
      <c r="B3546">
        <f>IF(ISNUMBER(SEARCH(Form!$C$11,Tabel2[[#This Row],[Coordinate Projection System]])),MAX($B$1:B3545)+1,0)</f>
        <v>3545</v>
      </c>
      <c r="C3546" t="str">
        <f t="shared" si="55"/>
        <v>NAD83(2011) / InGCS Fayette-Franklin-Union (m)</v>
      </c>
    </row>
    <row r="3547" spans="1:3" x14ac:dyDescent="0.3">
      <c r="A3547" t="s">
        <v>3604</v>
      </c>
      <c r="B3547">
        <f>IF(ISNUMBER(SEARCH(Form!$C$11,Tabel2[[#This Row],[Coordinate Projection System]])),MAX($B$1:B3546)+1,0)</f>
        <v>3546</v>
      </c>
      <c r="C3547" t="str">
        <f t="shared" si="55"/>
        <v>NAD83(2011) / InGCS Fayette-Franklin-Union (ftUS)</v>
      </c>
    </row>
    <row r="3548" spans="1:3" x14ac:dyDescent="0.3">
      <c r="A3548" t="s">
        <v>3605</v>
      </c>
      <c r="B3548">
        <f>IF(ISNUMBER(SEARCH(Form!$C$11,Tabel2[[#This Row],[Coordinate Projection System]])),MAX($B$1:B3547)+1,0)</f>
        <v>3547</v>
      </c>
      <c r="C3548" t="str">
        <f t="shared" si="55"/>
        <v>NAD83(2011) / InGCS Fountain-Warren (m)</v>
      </c>
    </row>
    <row r="3549" spans="1:3" x14ac:dyDescent="0.3">
      <c r="A3549" t="s">
        <v>3606</v>
      </c>
      <c r="B3549">
        <f>IF(ISNUMBER(SEARCH(Form!$C$11,Tabel2[[#This Row],[Coordinate Projection System]])),MAX($B$1:B3548)+1,0)</f>
        <v>3548</v>
      </c>
      <c r="C3549" t="str">
        <f t="shared" si="55"/>
        <v>NAD83(2011) / InGCS Fountain-Warren (ftUS)</v>
      </c>
    </row>
    <row r="3550" spans="1:3" x14ac:dyDescent="0.3">
      <c r="A3550" t="s">
        <v>3607</v>
      </c>
      <c r="B3550">
        <f>IF(ISNUMBER(SEARCH(Form!$C$11,Tabel2[[#This Row],[Coordinate Projection System]])),MAX($B$1:B3549)+1,0)</f>
        <v>3549</v>
      </c>
      <c r="C3550" t="str">
        <f t="shared" si="55"/>
        <v>NAD83(2011) / InGCS Fulton-Marshall-St. Joseph (m)</v>
      </c>
    </row>
    <row r="3551" spans="1:3" x14ac:dyDescent="0.3">
      <c r="A3551" t="s">
        <v>3608</v>
      </c>
      <c r="B3551">
        <f>IF(ISNUMBER(SEARCH(Form!$C$11,Tabel2[[#This Row],[Coordinate Projection System]])),MAX($B$1:B3550)+1,0)</f>
        <v>3550</v>
      </c>
      <c r="C3551" t="str">
        <f t="shared" si="55"/>
        <v>NAD83(2011) / InGCS Fulton-Marshall-St. Joseph (ftUS)</v>
      </c>
    </row>
    <row r="3552" spans="1:3" x14ac:dyDescent="0.3">
      <c r="A3552" t="s">
        <v>3609</v>
      </c>
      <c r="B3552">
        <f>IF(ISNUMBER(SEARCH(Form!$C$11,Tabel2[[#This Row],[Coordinate Projection System]])),MAX($B$1:B3551)+1,0)</f>
        <v>3551</v>
      </c>
      <c r="C3552" t="str">
        <f t="shared" si="55"/>
        <v>NAD83(2011) / InGCS Gibson (m)</v>
      </c>
    </row>
    <row r="3553" spans="1:3" x14ac:dyDescent="0.3">
      <c r="A3553" t="s">
        <v>3610</v>
      </c>
      <c r="B3553">
        <f>IF(ISNUMBER(SEARCH(Form!$C$11,Tabel2[[#This Row],[Coordinate Projection System]])),MAX($B$1:B3552)+1,0)</f>
        <v>3552</v>
      </c>
      <c r="C3553" t="str">
        <f t="shared" si="55"/>
        <v>NAD83(2011) / InGCS Gibson (ftUS)</v>
      </c>
    </row>
    <row r="3554" spans="1:3" x14ac:dyDescent="0.3">
      <c r="A3554" t="s">
        <v>3611</v>
      </c>
      <c r="B3554">
        <f>IF(ISNUMBER(SEARCH(Form!$C$11,Tabel2[[#This Row],[Coordinate Projection System]])),MAX($B$1:B3553)+1,0)</f>
        <v>3553</v>
      </c>
      <c r="C3554" t="str">
        <f t="shared" si="55"/>
        <v>NAD83(2011) / InGCS Grant (m)</v>
      </c>
    </row>
    <row r="3555" spans="1:3" x14ac:dyDescent="0.3">
      <c r="A3555" t="s">
        <v>3612</v>
      </c>
      <c r="B3555">
        <f>IF(ISNUMBER(SEARCH(Form!$C$11,Tabel2[[#This Row],[Coordinate Projection System]])),MAX($B$1:B3554)+1,0)</f>
        <v>3554</v>
      </c>
      <c r="C3555" t="str">
        <f t="shared" si="55"/>
        <v>NAD83(2011) / InGCS Grant (ftUS)</v>
      </c>
    </row>
    <row r="3556" spans="1:3" x14ac:dyDescent="0.3">
      <c r="A3556" t="s">
        <v>3613</v>
      </c>
      <c r="B3556">
        <f>IF(ISNUMBER(SEARCH(Form!$C$11,Tabel2[[#This Row],[Coordinate Projection System]])),MAX($B$1:B3555)+1,0)</f>
        <v>3555</v>
      </c>
      <c r="C3556" t="str">
        <f t="shared" si="55"/>
        <v>NAD83(2011) / InGCS Hamilton-Tipton (m)</v>
      </c>
    </row>
    <row r="3557" spans="1:3" x14ac:dyDescent="0.3">
      <c r="A3557" t="s">
        <v>3614</v>
      </c>
      <c r="B3557">
        <f>IF(ISNUMBER(SEARCH(Form!$C$11,Tabel2[[#This Row],[Coordinate Projection System]])),MAX($B$1:B3556)+1,0)</f>
        <v>3556</v>
      </c>
      <c r="C3557" t="str">
        <f t="shared" si="55"/>
        <v>NAD83(2011) / InGCS Hamilton-Tipton (ftUS)</v>
      </c>
    </row>
    <row r="3558" spans="1:3" x14ac:dyDescent="0.3">
      <c r="A3558" t="s">
        <v>3615</v>
      </c>
      <c r="B3558">
        <f>IF(ISNUMBER(SEARCH(Form!$C$11,Tabel2[[#This Row],[Coordinate Projection System]])),MAX($B$1:B3557)+1,0)</f>
        <v>3557</v>
      </c>
      <c r="C3558" t="str">
        <f t="shared" si="55"/>
        <v>NAD83(2011) / InGCS Hancock-Madison (m)</v>
      </c>
    </row>
    <row r="3559" spans="1:3" x14ac:dyDescent="0.3">
      <c r="A3559" t="s">
        <v>3616</v>
      </c>
      <c r="B3559">
        <f>IF(ISNUMBER(SEARCH(Form!$C$11,Tabel2[[#This Row],[Coordinate Projection System]])),MAX($B$1:B3558)+1,0)</f>
        <v>3558</v>
      </c>
      <c r="C3559" t="str">
        <f t="shared" si="55"/>
        <v>NAD83(2011) / InGCS Hancock-Madison (ftUS)</v>
      </c>
    </row>
    <row r="3560" spans="1:3" x14ac:dyDescent="0.3">
      <c r="A3560" t="s">
        <v>3617</v>
      </c>
      <c r="B3560">
        <f>IF(ISNUMBER(SEARCH(Form!$C$11,Tabel2[[#This Row],[Coordinate Projection System]])),MAX($B$1:B3559)+1,0)</f>
        <v>3559</v>
      </c>
      <c r="C3560" t="str">
        <f t="shared" si="55"/>
        <v>NAD83(2011) / InGCS Harrison-Washington (m)</v>
      </c>
    </row>
    <row r="3561" spans="1:3" x14ac:dyDescent="0.3">
      <c r="A3561" t="s">
        <v>3618</v>
      </c>
      <c r="B3561">
        <f>IF(ISNUMBER(SEARCH(Form!$C$11,Tabel2[[#This Row],[Coordinate Projection System]])),MAX($B$1:B3560)+1,0)</f>
        <v>3560</v>
      </c>
      <c r="C3561" t="str">
        <f t="shared" si="55"/>
        <v>NAD83(2011) / InGCS Harrison-Washington (ftUS)</v>
      </c>
    </row>
    <row r="3562" spans="1:3" x14ac:dyDescent="0.3">
      <c r="A3562" t="s">
        <v>3619</v>
      </c>
      <c r="B3562">
        <f>IF(ISNUMBER(SEARCH(Form!$C$11,Tabel2[[#This Row],[Coordinate Projection System]])),MAX($B$1:B3561)+1,0)</f>
        <v>3561</v>
      </c>
      <c r="C3562" t="str">
        <f t="shared" si="55"/>
        <v>NAD83(2011) / InGCS Henry (m)</v>
      </c>
    </row>
    <row r="3563" spans="1:3" x14ac:dyDescent="0.3">
      <c r="A3563" t="s">
        <v>3620</v>
      </c>
      <c r="B3563">
        <f>IF(ISNUMBER(SEARCH(Form!$C$11,Tabel2[[#This Row],[Coordinate Projection System]])),MAX($B$1:B3562)+1,0)</f>
        <v>3562</v>
      </c>
      <c r="C3563" t="str">
        <f t="shared" si="55"/>
        <v>NAD83(2011) / InGCS Henry (ftUS)</v>
      </c>
    </row>
    <row r="3564" spans="1:3" x14ac:dyDescent="0.3">
      <c r="A3564" t="s">
        <v>3621</v>
      </c>
      <c r="B3564">
        <f>IF(ISNUMBER(SEARCH(Form!$C$11,Tabel2[[#This Row],[Coordinate Projection System]])),MAX($B$1:B3563)+1,0)</f>
        <v>3563</v>
      </c>
      <c r="C3564" t="str">
        <f t="shared" si="55"/>
        <v>NAD83(2011) / InGCS Howard-Miami (m)</v>
      </c>
    </row>
    <row r="3565" spans="1:3" x14ac:dyDescent="0.3">
      <c r="A3565" t="s">
        <v>3622</v>
      </c>
      <c r="B3565">
        <f>IF(ISNUMBER(SEARCH(Form!$C$11,Tabel2[[#This Row],[Coordinate Projection System]])),MAX($B$1:B3564)+1,0)</f>
        <v>3564</v>
      </c>
      <c r="C3565" t="str">
        <f t="shared" si="55"/>
        <v>NAD83(2011) / InGCS Howard-Miami (ftUS)</v>
      </c>
    </row>
    <row r="3566" spans="1:3" x14ac:dyDescent="0.3">
      <c r="A3566" t="s">
        <v>3623</v>
      </c>
      <c r="B3566">
        <f>IF(ISNUMBER(SEARCH(Form!$C$11,Tabel2[[#This Row],[Coordinate Projection System]])),MAX($B$1:B3565)+1,0)</f>
        <v>3565</v>
      </c>
      <c r="C3566" t="str">
        <f t="shared" si="55"/>
        <v>NAD83(2011) / InGCS Huntington-Whitley (m)</v>
      </c>
    </row>
    <row r="3567" spans="1:3" x14ac:dyDescent="0.3">
      <c r="A3567" t="s">
        <v>3624</v>
      </c>
      <c r="B3567">
        <f>IF(ISNUMBER(SEARCH(Form!$C$11,Tabel2[[#This Row],[Coordinate Projection System]])),MAX($B$1:B3566)+1,0)</f>
        <v>3566</v>
      </c>
      <c r="C3567" t="str">
        <f t="shared" si="55"/>
        <v>NAD83(2011) / InGCS Huntington-Whitley (ftUS)</v>
      </c>
    </row>
    <row r="3568" spans="1:3" x14ac:dyDescent="0.3">
      <c r="A3568" t="s">
        <v>3625</v>
      </c>
      <c r="B3568">
        <f>IF(ISNUMBER(SEARCH(Form!$C$11,Tabel2[[#This Row],[Coordinate Projection System]])),MAX($B$1:B3567)+1,0)</f>
        <v>3567</v>
      </c>
      <c r="C3568" t="str">
        <f t="shared" si="55"/>
        <v>NAD83(2011) / InGCS Jackson (m)</v>
      </c>
    </row>
    <row r="3569" spans="1:3" x14ac:dyDescent="0.3">
      <c r="A3569" t="s">
        <v>3626</v>
      </c>
      <c r="B3569">
        <f>IF(ISNUMBER(SEARCH(Form!$C$11,Tabel2[[#This Row],[Coordinate Projection System]])),MAX($B$1:B3568)+1,0)</f>
        <v>3568</v>
      </c>
      <c r="C3569" t="str">
        <f t="shared" si="55"/>
        <v>NAD83(2011) / InGCS Jackson (ftUS)</v>
      </c>
    </row>
    <row r="3570" spans="1:3" x14ac:dyDescent="0.3">
      <c r="A3570" t="s">
        <v>3627</v>
      </c>
      <c r="B3570">
        <f>IF(ISNUMBER(SEARCH(Form!$C$11,Tabel2[[#This Row],[Coordinate Projection System]])),MAX($B$1:B3569)+1,0)</f>
        <v>3569</v>
      </c>
      <c r="C3570" t="str">
        <f t="shared" si="55"/>
        <v>NAD83(2011) / InGCS Jasper-Porter (m)</v>
      </c>
    </row>
    <row r="3571" spans="1:3" x14ac:dyDescent="0.3">
      <c r="A3571" t="s">
        <v>3628</v>
      </c>
      <c r="B3571">
        <f>IF(ISNUMBER(SEARCH(Form!$C$11,Tabel2[[#This Row],[Coordinate Projection System]])),MAX($B$1:B3570)+1,0)</f>
        <v>3570</v>
      </c>
      <c r="C3571" t="str">
        <f t="shared" si="55"/>
        <v>NAD83(2011) / InGCS Jasper-Porter (ftUS)</v>
      </c>
    </row>
    <row r="3572" spans="1:3" x14ac:dyDescent="0.3">
      <c r="A3572" t="s">
        <v>3629</v>
      </c>
      <c r="B3572">
        <f>IF(ISNUMBER(SEARCH(Form!$C$11,Tabel2[[#This Row],[Coordinate Projection System]])),MAX($B$1:B3571)+1,0)</f>
        <v>3571</v>
      </c>
      <c r="C3572" t="str">
        <f t="shared" si="55"/>
        <v>NAD83(2011) / InGCS Jay (m)</v>
      </c>
    </row>
    <row r="3573" spans="1:3" x14ac:dyDescent="0.3">
      <c r="A3573" t="s">
        <v>3630</v>
      </c>
      <c r="B3573">
        <f>IF(ISNUMBER(SEARCH(Form!$C$11,Tabel2[[#This Row],[Coordinate Projection System]])),MAX($B$1:B3572)+1,0)</f>
        <v>3572</v>
      </c>
      <c r="C3573" t="str">
        <f t="shared" si="55"/>
        <v>NAD83(2011) / InGCS Jay (ftUS)</v>
      </c>
    </row>
    <row r="3574" spans="1:3" x14ac:dyDescent="0.3">
      <c r="A3574" t="s">
        <v>3631</v>
      </c>
      <c r="B3574">
        <f>IF(ISNUMBER(SEARCH(Form!$C$11,Tabel2[[#This Row],[Coordinate Projection System]])),MAX($B$1:B3573)+1,0)</f>
        <v>3573</v>
      </c>
      <c r="C3574" t="str">
        <f t="shared" si="55"/>
        <v>NAD83(2011) / InGCS Jefferson (m)</v>
      </c>
    </row>
    <row r="3575" spans="1:3" x14ac:dyDescent="0.3">
      <c r="A3575" t="s">
        <v>3632</v>
      </c>
      <c r="B3575">
        <f>IF(ISNUMBER(SEARCH(Form!$C$11,Tabel2[[#This Row],[Coordinate Projection System]])),MAX($B$1:B3574)+1,0)</f>
        <v>3574</v>
      </c>
      <c r="C3575" t="str">
        <f t="shared" si="55"/>
        <v>NAD83(2011) / InGCS Jefferson (ftUS)</v>
      </c>
    </row>
    <row r="3576" spans="1:3" x14ac:dyDescent="0.3">
      <c r="A3576" t="s">
        <v>3633</v>
      </c>
      <c r="B3576">
        <f>IF(ISNUMBER(SEARCH(Form!$C$11,Tabel2[[#This Row],[Coordinate Projection System]])),MAX($B$1:B3575)+1,0)</f>
        <v>3575</v>
      </c>
      <c r="C3576" t="str">
        <f t="shared" si="55"/>
        <v>NAD83(2011) / InGCS Jennings (m)</v>
      </c>
    </row>
    <row r="3577" spans="1:3" x14ac:dyDescent="0.3">
      <c r="A3577" t="s">
        <v>3634</v>
      </c>
      <c r="B3577">
        <f>IF(ISNUMBER(SEARCH(Form!$C$11,Tabel2[[#This Row],[Coordinate Projection System]])),MAX($B$1:B3576)+1,0)</f>
        <v>3576</v>
      </c>
      <c r="C3577" t="str">
        <f t="shared" si="55"/>
        <v>NAD83(2011) / InGCS Jennings (ftUS)</v>
      </c>
    </row>
    <row r="3578" spans="1:3" x14ac:dyDescent="0.3">
      <c r="A3578" t="s">
        <v>3635</v>
      </c>
      <c r="B3578">
        <f>IF(ISNUMBER(SEARCH(Form!$C$11,Tabel2[[#This Row],[Coordinate Projection System]])),MAX($B$1:B3577)+1,0)</f>
        <v>3577</v>
      </c>
      <c r="C3578" t="str">
        <f t="shared" si="55"/>
        <v>NAD83(2011) / InGCS Johnson-Marion (m)</v>
      </c>
    </row>
    <row r="3579" spans="1:3" x14ac:dyDescent="0.3">
      <c r="A3579" t="s">
        <v>3636</v>
      </c>
      <c r="B3579">
        <f>IF(ISNUMBER(SEARCH(Form!$C$11,Tabel2[[#This Row],[Coordinate Projection System]])),MAX($B$1:B3578)+1,0)</f>
        <v>3578</v>
      </c>
      <c r="C3579" t="str">
        <f t="shared" si="55"/>
        <v>NAD83(2011) / InGCS Johnson-Marion (ftUS)</v>
      </c>
    </row>
    <row r="3580" spans="1:3" x14ac:dyDescent="0.3">
      <c r="A3580" t="s">
        <v>3637</v>
      </c>
      <c r="B3580">
        <f>IF(ISNUMBER(SEARCH(Form!$C$11,Tabel2[[#This Row],[Coordinate Projection System]])),MAX($B$1:B3579)+1,0)</f>
        <v>3579</v>
      </c>
      <c r="C3580" t="str">
        <f t="shared" si="55"/>
        <v>NAD83(2011) / InGCS Knox (m)</v>
      </c>
    </row>
    <row r="3581" spans="1:3" x14ac:dyDescent="0.3">
      <c r="A3581" t="s">
        <v>3638</v>
      </c>
      <c r="B3581">
        <f>IF(ISNUMBER(SEARCH(Form!$C$11,Tabel2[[#This Row],[Coordinate Projection System]])),MAX($B$1:B3580)+1,0)</f>
        <v>3580</v>
      </c>
      <c r="C3581" t="str">
        <f t="shared" si="55"/>
        <v>NAD83(2011) / InGCS Knox (ftUS)</v>
      </c>
    </row>
    <row r="3582" spans="1:3" x14ac:dyDescent="0.3">
      <c r="A3582" t="s">
        <v>3639</v>
      </c>
      <c r="B3582">
        <f>IF(ISNUMBER(SEARCH(Form!$C$11,Tabel2[[#This Row],[Coordinate Projection System]])),MAX($B$1:B3581)+1,0)</f>
        <v>3581</v>
      </c>
      <c r="C3582" t="str">
        <f t="shared" si="55"/>
        <v>NAD83(2011) / InGCS LaGrange-Noble (m)</v>
      </c>
    </row>
    <row r="3583" spans="1:3" x14ac:dyDescent="0.3">
      <c r="A3583" t="s">
        <v>3640</v>
      </c>
      <c r="B3583">
        <f>IF(ISNUMBER(SEARCH(Form!$C$11,Tabel2[[#This Row],[Coordinate Projection System]])),MAX($B$1:B3582)+1,0)</f>
        <v>3582</v>
      </c>
      <c r="C3583" t="str">
        <f t="shared" si="55"/>
        <v>NAD83(2011) / InGCS LaGrange-Noble (ftUS)</v>
      </c>
    </row>
    <row r="3584" spans="1:3" x14ac:dyDescent="0.3">
      <c r="A3584" t="s">
        <v>3641</v>
      </c>
      <c r="B3584">
        <f>IF(ISNUMBER(SEARCH(Form!$C$11,Tabel2[[#This Row],[Coordinate Projection System]])),MAX($B$1:B3583)+1,0)</f>
        <v>3583</v>
      </c>
      <c r="C3584" t="str">
        <f t="shared" si="55"/>
        <v>NAD83(2011) / InGCS Lake-Newton (m)</v>
      </c>
    </row>
    <row r="3585" spans="1:3" x14ac:dyDescent="0.3">
      <c r="A3585" t="s">
        <v>3642</v>
      </c>
      <c r="B3585">
        <f>IF(ISNUMBER(SEARCH(Form!$C$11,Tabel2[[#This Row],[Coordinate Projection System]])),MAX($B$1:B3584)+1,0)</f>
        <v>3584</v>
      </c>
      <c r="C3585" t="str">
        <f t="shared" si="55"/>
        <v>NAD83(2011) / InGCS Lake-Newton (ftUS)</v>
      </c>
    </row>
    <row r="3586" spans="1:3" x14ac:dyDescent="0.3">
      <c r="A3586" t="s">
        <v>3643</v>
      </c>
      <c r="B3586">
        <f>IF(ISNUMBER(SEARCH(Form!$C$11,Tabel2[[#This Row],[Coordinate Projection System]])),MAX($B$1:B3585)+1,0)</f>
        <v>3585</v>
      </c>
      <c r="C3586" t="str">
        <f t="shared" si="55"/>
        <v>NAD83(2011) / InGCS LaPorte-Pulaski-Starke (m)</v>
      </c>
    </row>
    <row r="3587" spans="1:3" x14ac:dyDescent="0.3">
      <c r="A3587" t="s">
        <v>3644</v>
      </c>
      <c r="B3587">
        <f>IF(ISNUMBER(SEARCH(Form!$C$11,Tabel2[[#This Row],[Coordinate Projection System]])),MAX($B$1:B3586)+1,0)</f>
        <v>3586</v>
      </c>
      <c r="C3587" t="str">
        <f t="shared" ref="C3587:C3650" si="56">_xlfn.IFNA(INDEX(A3587:A9098,MATCH(ROW(C3586),B3587:B9098,0)),"")</f>
        <v>NAD83(2011) / InGCS LaPorte-Pulaski-Starke (ftUS)</v>
      </c>
    </row>
    <row r="3588" spans="1:3" x14ac:dyDescent="0.3">
      <c r="A3588" t="s">
        <v>3645</v>
      </c>
      <c r="B3588">
        <f>IF(ISNUMBER(SEARCH(Form!$C$11,Tabel2[[#This Row],[Coordinate Projection System]])),MAX($B$1:B3587)+1,0)</f>
        <v>3587</v>
      </c>
      <c r="C3588" t="str">
        <f t="shared" si="56"/>
        <v>NAD83(2011) / InGCS Monroe-Morgan (m)</v>
      </c>
    </row>
    <row r="3589" spans="1:3" x14ac:dyDescent="0.3">
      <c r="A3589" t="s">
        <v>3646</v>
      </c>
      <c r="B3589">
        <f>IF(ISNUMBER(SEARCH(Form!$C$11,Tabel2[[#This Row],[Coordinate Projection System]])),MAX($B$1:B3588)+1,0)</f>
        <v>3588</v>
      </c>
      <c r="C3589" t="str">
        <f t="shared" si="56"/>
        <v>NAD83(2011) / InGCS Monroe-Morgan (ftUS)</v>
      </c>
    </row>
    <row r="3590" spans="1:3" x14ac:dyDescent="0.3">
      <c r="A3590" t="s">
        <v>3647</v>
      </c>
      <c r="B3590">
        <f>IF(ISNUMBER(SEARCH(Form!$C$11,Tabel2[[#This Row],[Coordinate Projection System]])),MAX($B$1:B3589)+1,0)</f>
        <v>3589</v>
      </c>
      <c r="C3590" t="str">
        <f t="shared" si="56"/>
        <v>NAD83(2011) / InGCS Montgomery-Putnam (m)</v>
      </c>
    </row>
    <row r="3591" spans="1:3" x14ac:dyDescent="0.3">
      <c r="A3591" t="s">
        <v>3648</v>
      </c>
      <c r="B3591">
        <f>IF(ISNUMBER(SEARCH(Form!$C$11,Tabel2[[#This Row],[Coordinate Projection System]])),MAX($B$1:B3590)+1,0)</f>
        <v>3590</v>
      </c>
      <c r="C3591" t="str">
        <f t="shared" si="56"/>
        <v>NAD83(2011) / InGCS Montgomery-Putnam (ftUS)</v>
      </c>
    </row>
    <row r="3592" spans="1:3" x14ac:dyDescent="0.3">
      <c r="A3592" t="s">
        <v>3649</v>
      </c>
      <c r="B3592">
        <f>IF(ISNUMBER(SEARCH(Form!$C$11,Tabel2[[#This Row],[Coordinate Projection System]])),MAX($B$1:B3591)+1,0)</f>
        <v>3591</v>
      </c>
      <c r="C3592" t="str">
        <f t="shared" si="56"/>
        <v>NAD83(2011) / InGCS Owen (m)</v>
      </c>
    </row>
    <row r="3593" spans="1:3" x14ac:dyDescent="0.3">
      <c r="A3593" t="s">
        <v>3650</v>
      </c>
      <c r="B3593">
        <f>IF(ISNUMBER(SEARCH(Form!$C$11,Tabel2[[#This Row],[Coordinate Projection System]])),MAX($B$1:B3592)+1,0)</f>
        <v>3592</v>
      </c>
      <c r="C3593" t="str">
        <f t="shared" si="56"/>
        <v>NAD83(2011) / InGCS Owen (ftUS)</v>
      </c>
    </row>
    <row r="3594" spans="1:3" x14ac:dyDescent="0.3">
      <c r="A3594" t="s">
        <v>3651</v>
      </c>
      <c r="B3594">
        <f>IF(ISNUMBER(SEARCH(Form!$C$11,Tabel2[[#This Row],[Coordinate Projection System]])),MAX($B$1:B3593)+1,0)</f>
        <v>3593</v>
      </c>
      <c r="C3594" t="str">
        <f t="shared" si="56"/>
        <v>NAD83(2011) / InGCS Parke-Vermillion (m)</v>
      </c>
    </row>
    <row r="3595" spans="1:3" x14ac:dyDescent="0.3">
      <c r="A3595" t="s">
        <v>3652</v>
      </c>
      <c r="B3595">
        <f>IF(ISNUMBER(SEARCH(Form!$C$11,Tabel2[[#This Row],[Coordinate Projection System]])),MAX($B$1:B3594)+1,0)</f>
        <v>3594</v>
      </c>
      <c r="C3595" t="str">
        <f t="shared" si="56"/>
        <v>NAD83(2011) / InGCS Parke-Vermillion (ftUS)</v>
      </c>
    </row>
    <row r="3596" spans="1:3" x14ac:dyDescent="0.3">
      <c r="A3596" t="s">
        <v>3653</v>
      </c>
      <c r="B3596">
        <f>IF(ISNUMBER(SEARCH(Form!$C$11,Tabel2[[#This Row],[Coordinate Projection System]])),MAX($B$1:B3595)+1,0)</f>
        <v>3595</v>
      </c>
      <c r="C3596" t="str">
        <f t="shared" si="56"/>
        <v>NAD83(2011) / InGCS Perry (m)</v>
      </c>
    </row>
    <row r="3597" spans="1:3" x14ac:dyDescent="0.3">
      <c r="A3597" t="s">
        <v>3654</v>
      </c>
      <c r="B3597">
        <f>IF(ISNUMBER(SEARCH(Form!$C$11,Tabel2[[#This Row],[Coordinate Projection System]])),MAX($B$1:B3596)+1,0)</f>
        <v>3596</v>
      </c>
      <c r="C3597" t="str">
        <f t="shared" si="56"/>
        <v>NAD83(2011) / InGCS Perry (ftUS)</v>
      </c>
    </row>
    <row r="3598" spans="1:3" x14ac:dyDescent="0.3">
      <c r="A3598" t="s">
        <v>3655</v>
      </c>
      <c r="B3598">
        <f>IF(ISNUMBER(SEARCH(Form!$C$11,Tabel2[[#This Row],[Coordinate Projection System]])),MAX($B$1:B3597)+1,0)</f>
        <v>3597</v>
      </c>
      <c r="C3598" t="str">
        <f t="shared" si="56"/>
        <v>NAD83(2011) / InGCS Pike-Warrick (m)</v>
      </c>
    </row>
    <row r="3599" spans="1:3" x14ac:dyDescent="0.3">
      <c r="A3599" t="s">
        <v>3656</v>
      </c>
      <c r="B3599">
        <f>IF(ISNUMBER(SEARCH(Form!$C$11,Tabel2[[#This Row],[Coordinate Projection System]])),MAX($B$1:B3598)+1,0)</f>
        <v>3598</v>
      </c>
      <c r="C3599" t="str">
        <f t="shared" si="56"/>
        <v>NAD83(2011) / InGCS Pike-Warrick (ftUS)</v>
      </c>
    </row>
    <row r="3600" spans="1:3" x14ac:dyDescent="0.3">
      <c r="A3600" t="s">
        <v>3657</v>
      </c>
      <c r="B3600">
        <f>IF(ISNUMBER(SEARCH(Form!$C$11,Tabel2[[#This Row],[Coordinate Projection System]])),MAX($B$1:B3599)+1,0)</f>
        <v>3599</v>
      </c>
      <c r="C3600" t="str">
        <f t="shared" si="56"/>
        <v>NAD83(2011) / InGCS Posey (m)</v>
      </c>
    </row>
    <row r="3601" spans="1:3" x14ac:dyDescent="0.3">
      <c r="A3601" t="s">
        <v>3658</v>
      </c>
      <c r="B3601">
        <f>IF(ISNUMBER(SEARCH(Form!$C$11,Tabel2[[#This Row],[Coordinate Projection System]])),MAX($B$1:B3600)+1,0)</f>
        <v>3600</v>
      </c>
      <c r="C3601" t="str">
        <f t="shared" si="56"/>
        <v>NAD83(2011) / InGCS Posey (ftUS)</v>
      </c>
    </row>
    <row r="3602" spans="1:3" x14ac:dyDescent="0.3">
      <c r="A3602" t="s">
        <v>3659</v>
      </c>
      <c r="B3602">
        <f>IF(ISNUMBER(SEARCH(Form!$C$11,Tabel2[[#This Row],[Coordinate Projection System]])),MAX($B$1:B3601)+1,0)</f>
        <v>3601</v>
      </c>
      <c r="C3602" t="str">
        <f t="shared" si="56"/>
        <v>NAD83(2011) / InGCS Randolph-Wayne (m)</v>
      </c>
    </row>
    <row r="3603" spans="1:3" x14ac:dyDescent="0.3">
      <c r="A3603" t="s">
        <v>3660</v>
      </c>
      <c r="B3603">
        <f>IF(ISNUMBER(SEARCH(Form!$C$11,Tabel2[[#This Row],[Coordinate Projection System]])),MAX($B$1:B3602)+1,0)</f>
        <v>3602</v>
      </c>
      <c r="C3603" t="str">
        <f t="shared" si="56"/>
        <v>NAD83(2011) / InGCS Randolph-Wayne (ftUS)</v>
      </c>
    </row>
    <row r="3604" spans="1:3" x14ac:dyDescent="0.3">
      <c r="A3604" t="s">
        <v>3661</v>
      </c>
      <c r="B3604">
        <f>IF(ISNUMBER(SEARCH(Form!$C$11,Tabel2[[#This Row],[Coordinate Projection System]])),MAX($B$1:B3603)+1,0)</f>
        <v>3603</v>
      </c>
      <c r="C3604" t="str">
        <f t="shared" si="56"/>
        <v>NAD83(2011) / InGCS Ripley (m)</v>
      </c>
    </row>
    <row r="3605" spans="1:3" x14ac:dyDescent="0.3">
      <c r="A3605" t="s">
        <v>3662</v>
      </c>
      <c r="B3605">
        <f>IF(ISNUMBER(SEARCH(Form!$C$11,Tabel2[[#This Row],[Coordinate Projection System]])),MAX($B$1:B3604)+1,0)</f>
        <v>3604</v>
      </c>
      <c r="C3605" t="str">
        <f t="shared" si="56"/>
        <v>NAD83(2011) / InGCS Ripley (ftUS)</v>
      </c>
    </row>
    <row r="3606" spans="1:3" x14ac:dyDescent="0.3">
      <c r="A3606" t="s">
        <v>3663</v>
      </c>
      <c r="B3606">
        <f>IF(ISNUMBER(SEARCH(Form!$C$11,Tabel2[[#This Row],[Coordinate Projection System]])),MAX($B$1:B3605)+1,0)</f>
        <v>3605</v>
      </c>
      <c r="C3606" t="str">
        <f t="shared" si="56"/>
        <v>NAD83(2011) / InGCS Shelby (m)</v>
      </c>
    </row>
    <row r="3607" spans="1:3" x14ac:dyDescent="0.3">
      <c r="A3607" t="s">
        <v>3664</v>
      </c>
      <c r="B3607">
        <f>IF(ISNUMBER(SEARCH(Form!$C$11,Tabel2[[#This Row],[Coordinate Projection System]])),MAX($B$1:B3606)+1,0)</f>
        <v>3606</v>
      </c>
      <c r="C3607" t="str">
        <f t="shared" si="56"/>
        <v>NAD83(2011) / InGCS Shelby (ftUS)</v>
      </c>
    </row>
    <row r="3608" spans="1:3" x14ac:dyDescent="0.3">
      <c r="A3608" t="s">
        <v>3665</v>
      </c>
      <c r="B3608">
        <f>IF(ISNUMBER(SEARCH(Form!$C$11,Tabel2[[#This Row],[Coordinate Projection System]])),MAX($B$1:B3607)+1,0)</f>
        <v>3607</v>
      </c>
      <c r="C3608" t="str">
        <f t="shared" si="56"/>
        <v>NAD83(2011) / InGCS Spencer (m)</v>
      </c>
    </row>
    <row r="3609" spans="1:3" x14ac:dyDescent="0.3">
      <c r="A3609" t="s">
        <v>3666</v>
      </c>
      <c r="B3609">
        <f>IF(ISNUMBER(SEARCH(Form!$C$11,Tabel2[[#This Row],[Coordinate Projection System]])),MAX($B$1:B3608)+1,0)</f>
        <v>3608</v>
      </c>
      <c r="C3609" t="str">
        <f t="shared" si="56"/>
        <v>NAD83(2011) / InGCS Spencer (ftUS)</v>
      </c>
    </row>
    <row r="3610" spans="1:3" x14ac:dyDescent="0.3">
      <c r="A3610" t="s">
        <v>3667</v>
      </c>
      <c r="B3610">
        <f>IF(ISNUMBER(SEARCH(Form!$C$11,Tabel2[[#This Row],[Coordinate Projection System]])),MAX($B$1:B3609)+1,0)</f>
        <v>3609</v>
      </c>
      <c r="C3610" t="str">
        <f t="shared" si="56"/>
        <v>NAD83(2011) / InGCS Steuben (m)</v>
      </c>
    </row>
    <row r="3611" spans="1:3" x14ac:dyDescent="0.3">
      <c r="A3611" t="s">
        <v>3668</v>
      </c>
      <c r="B3611">
        <f>IF(ISNUMBER(SEARCH(Form!$C$11,Tabel2[[#This Row],[Coordinate Projection System]])),MAX($B$1:B3610)+1,0)</f>
        <v>3610</v>
      </c>
      <c r="C3611" t="str">
        <f t="shared" si="56"/>
        <v>NAD83(2011) / InGCS Steuben (ftUS)</v>
      </c>
    </row>
    <row r="3612" spans="1:3" x14ac:dyDescent="0.3">
      <c r="A3612" t="s">
        <v>3669</v>
      </c>
      <c r="B3612">
        <f>IF(ISNUMBER(SEARCH(Form!$C$11,Tabel2[[#This Row],[Coordinate Projection System]])),MAX($B$1:B3611)+1,0)</f>
        <v>3611</v>
      </c>
      <c r="C3612" t="str">
        <f t="shared" si="56"/>
        <v>NAD83(2011) / InGCS Sullivan (m)</v>
      </c>
    </row>
    <row r="3613" spans="1:3" x14ac:dyDescent="0.3">
      <c r="A3613" t="s">
        <v>3670</v>
      </c>
      <c r="B3613">
        <f>IF(ISNUMBER(SEARCH(Form!$C$11,Tabel2[[#This Row],[Coordinate Projection System]])),MAX($B$1:B3612)+1,0)</f>
        <v>3612</v>
      </c>
      <c r="C3613" t="str">
        <f t="shared" si="56"/>
        <v>NAD83(2011) / InGCS Sullivan (ftUS)</v>
      </c>
    </row>
    <row r="3614" spans="1:3" x14ac:dyDescent="0.3">
      <c r="A3614" t="s">
        <v>3671</v>
      </c>
      <c r="B3614">
        <f>IF(ISNUMBER(SEARCH(Form!$C$11,Tabel2[[#This Row],[Coordinate Projection System]])),MAX($B$1:B3613)+1,0)</f>
        <v>3613</v>
      </c>
      <c r="C3614" t="str">
        <f t="shared" si="56"/>
        <v>NAD83(2011) / InGCS Tippecanoe-White (m)</v>
      </c>
    </row>
    <row r="3615" spans="1:3" x14ac:dyDescent="0.3">
      <c r="A3615" t="s">
        <v>3672</v>
      </c>
      <c r="B3615">
        <f>IF(ISNUMBER(SEARCH(Form!$C$11,Tabel2[[#This Row],[Coordinate Projection System]])),MAX($B$1:B3614)+1,0)</f>
        <v>3614</v>
      </c>
      <c r="C3615" t="str">
        <f t="shared" si="56"/>
        <v>NAD83(2011) / InGCS Tippecanoe-White (ftUS)</v>
      </c>
    </row>
    <row r="3616" spans="1:3" x14ac:dyDescent="0.3">
      <c r="A3616" t="s">
        <v>3673</v>
      </c>
      <c r="B3616">
        <f>IF(ISNUMBER(SEARCH(Form!$C$11,Tabel2[[#This Row],[Coordinate Projection System]])),MAX($B$1:B3615)+1,0)</f>
        <v>3615</v>
      </c>
      <c r="C3616" t="str">
        <f t="shared" si="56"/>
        <v>NAD83(2011) / InGCS Vanderburgh (m)</v>
      </c>
    </row>
    <row r="3617" spans="1:3" x14ac:dyDescent="0.3">
      <c r="A3617" t="s">
        <v>3674</v>
      </c>
      <c r="B3617">
        <f>IF(ISNUMBER(SEARCH(Form!$C$11,Tabel2[[#This Row],[Coordinate Projection System]])),MAX($B$1:B3616)+1,0)</f>
        <v>3616</v>
      </c>
      <c r="C3617" t="str">
        <f t="shared" si="56"/>
        <v>NAD83(2011) / InGCS Vanderburgh (ftUS)</v>
      </c>
    </row>
    <row r="3618" spans="1:3" x14ac:dyDescent="0.3">
      <c r="A3618" t="s">
        <v>3675</v>
      </c>
      <c r="B3618">
        <f>IF(ISNUMBER(SEARCH(Form!$C$11,Tabel2[[#This Row],[Coordinate Projection System]])),MAX($B$1:B3617)+1,0)</f>
        <v>3617</v>
      </c>
      <c r="C3618" t="str">
        <f t="shared" si="56"/>
        <v>NAD83(2011) / InGCS Vigo (m)</v>
      </c>
    </row>
    <row r="3619" spans="1:3" x14ac:dyDescent="0.3">
      <c r="A3619" t="s">
        <v>3676</v>
      </c>
      <c r="B3619">
        <f>IF(ISNUMBER(SEARCH(Form!$C$11,Tabel2[[#This Row],[Coordinate Projection System]])),MAX($B$1:B3618)+1,0)</f>
        <v>3618</v>
      </c>
      <c r="C3619" t="str">
        <f t="shared" si="56"/>
        <v>NAD83(2011) / InGCS Vigo (ftUS)</v>
      </c>
    </row>
    <row r="3620" spans="1:3" x14ac:dyDescent="0.3">
      <c r="A3620" t="s">
        <v>3677</v>
      </c>
      <c r="B3620">
        <f>IF(ISNUMBER(SEARCH(Form!$C$11,Tabel2[[#This Row],[Coordinate Projection System]])),MAX($B$1:B3619)+1,0)</f>
        <v>3619</v>
      </c>
      <c r="C3620" t="str">
        <f t="shared" si="56"/>
        <v>NAD83(2011) / InGCS Wells (m)</v>
      </c>
    </row>
    <row r="3621" spans="1:3" x14ac:dyDescent="0.3">
      <c r="A3621" t="s">
        <v>3678</v>
      </c>
      <c r="B3621">
        <f>IF(ISNUMBER(SEARCH(Form!$C$11,Tabel2[[#This Row],[Coordinate Projection System]])),MAX($B$1:B3620)+1,0)</f>
        <v>3620</v>
      </c>
      <c r="C3621" t="str">
        <f t="shared" si="56"/>
        <v>NAD83(2011) / InGCS Wells (ftUS)</v>
      </c>
    </row>
    <row r="3622" spans="1:3" x14ac:dyDescent="0.3">
      <c r="A3622" t="s">
        <v>3679</v>
      </c>
      <c r="B3622">
        <f>IF(ISNUMBER(SEARCH(Form!$C$11,Tabel2[[#This Row],[Coordinate Projection System]])),MAX($B$1:B3621)+1,0)</f>
        <v>3621</v>
      </c>
      <c r="C3622" t="str">
        <f t="shared" si="56"/>
        <v>ONGD14 / UTM zone 39N</v>
      </c>
    </row>
    <row r="3623" spans="1:3" x14ac:dyDescent="0.3">
      <c r="A3623" t="s">
        <v>3680</v>
      </c>
      <c r="B3623">
        <f>IF(ISNUMBER(SEARCH(Form!$C$11,Tabel2[[#This Row],[Coordinate Projection System]])),MAX($B$1:B3622)+1,0)</f>
        <v>3622</v>
      </c>
      <c r="C3623" t="str">
        <f t="shared" si="56"/>
        <v>ONGD14 / UTM zone 40N</v>
      </c>
    </row>
    <row r="3624" spans="1:3" x14ac:dyDescent="0.3">
      <c r="A3624" t="s">
        <v>3681</v>
      </c>
      <c r="B3624">
        <f>IF(ISNUMBER(SEARCH(Form!$C$11,Tabel2[[#This Row],[Coordinate Projection System]])),MAX($B$1:B3623)+1,0)</f>
        <v>3623</v>
      </c>
      <c r="C3624" t="str">
        <f t="shared" si="56"/>
        <v>ONGD14 / UTM zone 41N</v>
      </c>
    </row>
    <row r="3625" spans="1:3" x14ac:dyDescent="0.3">
      <c r="A3625" t="s">
        <v>3682</v>
      </c>
      <c r="B3625">
        <f>IF(ISNUMBER(SEARCH(Form!$C$11,Tabel2[[#This Row],[Coordinate Projection System]])),MAX($B$1:B3624)+1,0)</f>
        <v>3624</v>
      </c>
      <c r="C3625" t="str">
        <f t="shared" si="56"/>
        <v>NAD83(2011) / WISCRS Adams and Juneau (m)</v>
      </c>
    </row>
    <row r="3626" spans="1:3" x14ac:dyDescent="0.3">
      <c r="A3626" t="s">
        <v>3683</v>
      </c>
      <c r="B3626">
        <f>IF(ISNUMBER(SEARCH(Form!$C$11,Tabel2[[#This Row],[Coordinate Projection System]])),MAX($B$1:B3625)+1,0)</f>
        <v>3625</v>
      </c>
      <c r="C3626" t="str">
        <f t="shared" si="56"/>
        <v>NAD83(2011) / WISCRS Ashland (m)</v>
      </c>
    </row>
    <row r="3627" spans="1:3" x14ac:dyDescent="0.3">
      <c r="A3627" t="s">
        <v>3684</v>
      </c>
      <c r="B3627">
        <f>IF(ISNUMBER(SEARCH(Form!$C$11,Tabel2[[#This Row],[Coordinate Projection System]])),MAX($B$1:B3626)+1,0)</f>
        <v>3626</v>
      </c>
      <c r="C3627" t="str">
        <f t="shared" si="56"/>
        <v>NAD83(2011) / WISCRS Barron (m)</v>
      </c>
    </row>
    <row r="3628" spans="1:3" x14ac:dyDescent="0.3">
      <c r="A3628" t="s">
        <v>3685</v>
      </c>
      <c r="B3628">
        <f>IF(ISNUMBER(SEARCH(Form!$C$11,Tabel2[[#This Row],[Coordinate Projection System]])),MAX($B$1:B3627)+1,0)</f>
        <v>3627</v>
      </c>
      <c r="C3628" t="str">
        <f t="shared" si="56"/>
        <v>NAD83(2011) / WISCRS Bayfield (m)</v>
      </c>
    </row>
    <row r="3629" spans="1:3" x14ac:dyDescent="0.3">
      <c r="A3629" t="s">
        <v>3686</v>
      </c>
      <c r="B3629">
        <f>IF(ISNUMBER(SEARCH(Form!$C$11,Tabel2[[#This Row],[Coordinate Projection System]])),MAX($B$1:B3628)+1,0)</f>
        <v>3628</v>
      </c>
      <c r="C3629" t="str">
        <f t="shared" si="56"/>
        <v>NAD83(2011) / WISCRS Brown (m)</v>
      </c>
    </row>
    <row r="3630" spans="1:3" x14ac:dyDescent="0.3">
      <c r="A3630" t="s">
        <v>3687</v>
      </c>
      <c r="B3630">
        <f>IF(ISNUMBER(SEARCH(Form!$C$11,Tabel2[[#This Row],[Coordinate Projection System]])),MAX($B$1:B3629)+1,0)</f>
        <v>3629</v>
      </c>
      <c r="C3630" t="str">
        <f t="shared" si="56"/>
        <v>NAD83(2011) / WISCRS Buffalo (m)</v>
      </c>
    </row>
    <row r="3631" spans="1:3" x14ac:dyDescent="0.3">
      <c r="A3631" t="s">
        <v>3688</v>
      </c>
      <c r="B3631">
        <f>IF(ISNUMBER(SEARCH(Form!$C$11,Tabel2[[#This Row],[Coordinate Projection System]])),MAX($B$1:B3630)+1,0)</f>
        <v>3630</v>
      </c>
      <c r="C3631" t="str">
        <f t="shared" si="56"/>
        <v>NAD83(2011) / WISCRS Burnett (m)</v>
      </c>
    </row>
    <row r="3632" spans="1:3" x14ac:dyDescent="0.3">
      <c r="A3632" t="s">
        <v>3689</v>
      </c>
      <c r="B3632">
        <f>IF(ISNUMBER(SEARCH(Form!$C$11,Tabel2[[#This Row],[Coordinate Projection System]])),MAX($B$1:B3631)+1,0)</f>
        <v>3631</v>
      </c>
      <c r="C3632" t="str">
        <f t="shared" si="56"/>
        <v>NAD83(2011) / WISCRS Calumet, Fond du Lac, Outagamie and Winnebago (m)</v>
      </c>
    </row>
    <row r="3633" spans="1:3" x14ac:dyDescent="0.3">
      <c r="A3633" t="s">
        <v>3690</v>
      </c>
      <c r="B3633">
        <f>IF(ISNUMBER(SEARCH(Form!$C$11,Tabel2[[#This Row],[Coordinate Projection System]])),MAX($B$1:B3632)+1,0)</f>
        <v>3632</v>
      </c>
      <c r="C3633" t="str">
        <f t="shared" si="56"/>
        <v>NAD83(2011) / WISCRS Chippewa (m)</v>
      </c>
    </row>
    <row r="3634" spans="1:3" x14ac:dyDescent="0.3">
      <c r="A3634" t="s">
        <v>3691</v>
      </c>
      <c r="B3634">
        <f>IF(ISNUMBER(SEARCH(Form!$C$11,Tabel2[[#This Row],[Coordinate Projection System]])),MAX($B$1:B3633)+1,0)</f>
        <v>3633</v>
      </c>
      <c r="C3634" t="str">
        <f t="shared" si="56"/>
        <v>NAD83(2011) / WISCRS Clark (m)</v>
      </c>
    </row>
    <row r="3635" spans="1:3" x14ac:dyDescent="0.3">
      <c r="A3635" t="s">
        <v>3692</v>
      </c>
      <c r="B3635">
        <f>IF(ISNUMBER(SEARCH(Form!$C$11,Tabel2[[#This Row],[Coordinate Projection System]])),MAX($B$1:B3634)+1,0)</f>
        <v>3634</v>
      </c>
      <c r="C3635" t="str">
        <f t="shared" si="56"/>
        <v>NAD83(2011) / WISCRS Columbia (m)</v>
      </c>
    </row>
    <row r="3636" spans="1:3" x14ac:dyDescent="0.3">
      <c r="A3636" t="s">
        <v>3693</v>
      </c>
      <c r="B3636">
        <f>IF(ISNUMBER(SEARCH(Form!$C$11,Tabel2[[#This Row],[Coordinate Projection System]])),MAX($B$1:B3635)+1,0)</f>
        <v>3635</v>
      </c>
      <c r="C3636" t="str">
        <f t="shared" si="56"/>
        <v>NAD83(2011) / WISCRS Crawford (m)</v>
      </c>
    </row>
    <row r="3637" spans="1:3" x14ac:dyDescent="0.3">
      <c r="A3637" t="s">
        <v>3694</v>
      </c>
      <c r="B3637">
        <f>IF(ISNUMBER(SEARCH(Form!$C$11,Tabel2[[#This Row],[Coordinate Projection System]])),MAX($B$1:B3636)+1,0)</f>
        <v>3636</v>
      </c>
      <c r="C3637" t="str">
        <f t="shared" si="56"/>
        <v>NAD83(2011) / WISCRS Dane (m)</v>
      </c>
    </row>
    <row r="3638" spans="1:3" x14ac:dyDescent="0.3">
      <c r="A3638" t="s">
        <v>3695</v>
      </c>
      <c r="B3638">
        <f>IF(ISNUMBER(SEARCH(Form!$C$11,Tabel2[[#This Row],[Coordinate Projection System]])),MAX($B$1:B3637)+1,0)</f>
        <v>3637</v>
      </c>
      <c r="C3638" t="str">
        <f t="shared" si="56"/>
        <v>NAD83(2011) / WISCRS Dodge and Jefferson (m)</v>
      </c>
    </row>
    <row r="3639" spans="1:3" x14ac:dyDescent="0.3">
      <c r="A3639" t="s">
        <v>3696</v>
      </c>
      <c r="B3639">
        <f>IF(ISNUMBER(SEARCH(Form!$C$11,Tabel2[[#This Row],[Coordinate Projection System]])),MAX($B$1:B3638)+1,0)</f>
        <v>3638</v>
      </c>
      <c r="C3639" t="str">
        <f t="shared" si="56"/>
        <v>NAD83(2011) / WISCRS Door (m)</v>
      </c>
    </row>
    <row r="3640" spans="1:3" x14ac:dyDescent="0.3">
      <c r="A3640" t="s">
        <v>3697</v>
      </c>
      <c r="B3640">
        <f>IF(ISNUMBER(SEARCH(Form!$C$11,Tabel2[[#This Row],[Coordinate Projection System]])),MAX($B$1:B3639)+1,0)</f>
        <v>3639</v>
      </c>
      <c r="C3640" t="str">
        <f t="shared" si="56"/>
        <v>NAD83(2011) / WISCRS Douglas (m)</v>
      </c>
    </row>
    <row r="3641" spans="1:3" x14ac:dyDescent="0.3">
      <c r="A3641" t="s">
        <v>3698</v>
      </c>
      <c r="B3641">
        <f>IF(ISNUMBER(SEARCH(Form!$C$11,Tabel2[[#This Row],[Coordinate Projection System]])),MAX($B$1:B3640)+1,0)</f>
        <v>3640</v>
      </c>
      <c r="C3641" t="str">
        <f t="shared" si="56"/>
        <v>NAD83(2011) / WISCRS Dunn (m)</v>
      </c>
    </row>
    <row r="3642" spans="1:3" x14ac:dyDescent="0.3">
      <c r="A3642" t="s">
        <v>3699</v>
      </c>
      <c r="B3642">
        <f>IF(ISNUMBER(SEARCH(Form!$C$11,Tabel2[[#This Row],[Coordinate Projection System]])),MAX($B$1:B3641)+1,0)</f>
        <v>3641</v>
      </c>
      <c r="C3642" t="str">
        <f t="shared" si="56"/>
        <v>NAD83(2011) / WISCRS Eau Claire (m)</v>
      </c>
    </row>
    <row r="3643" spans="1:3" x14ac:dyDescent="0.3">
      <c r="A3643" t="s">
        <v>3700</v>
      </c>
      <c r="B3643">
        <f>IF(ISNUMBER(SEARCH(Form!$C$11,Tabel2[[#This Row],[Coordinate Projection System]])),MAX($B$1:B3642)+1,0)</f>
        <v>3642</v>
      </c>
      <c r="C3643" t="str">
        <f t="shared" si="56"/>
        <v>NAD83(2011) / WISCRS Florence (m)</v>
      </c>
    </row>
    <row r="3644" spans="1:3" x14ac:dyDescent="0.3">
      <c r="A3644" t="s">
        <v>3701</v>
      </c>
      <c r="B3644">
        <f>IF(ISNUMBER(SEARCH(Form!$C$11,Tabel2[[#This Row],[Coordinate Projection System]])),MAX($B$1:B3643)+1,0)</f>
        <v>3643</v>
      </c>
      <c r="C3644" t="str">
        <f t="shared" si="56"/>
        <v>NAD83(2011) / WISCRS Forest (m)</v>
      </c>
    </row>
    <row r="3645" spans="1:3" x14ac:dyDescent="0.3">
      <c r="A3645" t="s">
        <v>3702</v>
      </c>
      <c r="B3645">
        <f>IF(ISNUMBER(SEARCH(Form!$C$11,Tabel2[[#This Row],[Coordinate Projection System]])),MAX($B$1:B3644)+1,0)</f>
        <v>3644</v>
      </c>
      <c r="C3645" t="str">
        <f t="shared" si="56"/>
        <v>NAD83(2011) / WISCRS Grant (m)</v>
      </c>
    </row>
    <row r="3646" spans="1:3" x14ac:dyDescent="0.3">
      <c r="A3646" t="s">
        <v>3703</v>
      </c>
      <c r="B3646">
        <f>IF(ISNUMBER(SEARCH(Form!$C$11,Tabel2[[#This Row],[Coordinate Projection System]])),MAX($B$1:B3645)+1,0)</f>
        <v>3645</v>
      </c>
      <c r="C3646" t="str">
        <f t="shared" si="56"/>
        <v>NAD83(2011) / WISCRS Green and Lafayette (m)</v>
      </c>
    </row>
    <row r="3647" spans="1:3" x14ac:dyDescent="0.3">
      <c r="A3647" t="s">
        <v>3704</v>
      </c>
      <c r="B3647">
        <f>IF(ISNUMBER(SEARCH(Form!$C$11,Tabel2[[#This Row],[Coordinate Projection System]])),MAX($B$1:B3646)+1,0)</f>
        <v>3646</v>
      </c>
      <c r="C3647" t="str">
        <f t="shared" si="56"/>
        <v>NAD83(2011) / WISCRS Green Lake and Marquette (m)</v>
      </c>
    </row>
    <row r="3648" spans="1:3" x14ac:dyDescent="0.3">
      <c r="A3648" t="s">
        <v>3705</v>
      </c>
      <c r="B3648">
        <f>IF(ISNUMBER(SEARCH(Form!$C$11,Tabel2[[#This Row],[Coordinate Projection System]])),MAX($B$1:B3647)+1,0)</f>
        <v>3647</v>
      </c>
      <c r="C3648" t="str">
        <f t="shared" si="56"/>
        <v>NAD83(2011) / WISCRS Iowa (m)</v>
      </c>
    </row>
    <row r="3649" spans="1:3" x14ac:dyDescent="0.3">
      <c r="A3649" t="s">
        <v>3706</v>
      </c>
      <c r="B3649">
        <f>IF(ISNUMBER(SEARCH(Form!$C$11,Tabel2[[#This Row],[Coordinate Projection System]])),MAX($B$1:B3648)+1,0)</f>
        <v>3648</v>
      </c>
      <c r="C3649" t="str">
        <f t="shared" si="56"/>
        <v>NAD83(2011) / WISCRS Iron (m)</v>
      </c>
    </row>
    <row r="3650" spans="1:3" x14ac:dyDescent="0.3">
      <c r="A3650" t="s">
        <v>3707</v>
      </c>
      <c r="B3650">
        <f>IF(ISNUMBER(SEARCH(Form!$C$11,Tabel2[[#This Row],[Coordinate Projection System]])),MAX($B$1:B3649)+1,0)</f>
        <v>3649</v>
      </c>
      <c r="C3650" t="str">
        <f t="shared" si="56"/>
        <v>NAD83(2011) / WISCRS Jackson (m)</v>
      </c>
    </row>
    <row r="3651" spans="1:3" x14ac:dyDescent="0.3">
      <c r="A3651" t="s">
        <v>3708</v>
      </c>
      <c r="B3651">
        <f>IF(ISNUMBER(SEARCH(Form!$C$11,Tabel2[[#This Row],[Coordinate Projection System]])),MAX($B$1:B3650)+1,0)</f>
        <v>3650</v>
      </c>
      <c r="C3651" t="str">
        <f t="shared" ref="C3651:C3714" si="57">_xlfn.IFNA(INDEX(A3651:A9162,MATCH(ROW(C3650),B3651:B9162,0)),"")</f>
        <v>NAD83(2011) / WISCRS Kenosha, Milwaukee, Ozaukee and Racine (m)</v>
      </c>
    </row>
    <row r="3652" spans="1:3" x14ac:dyDescent="0.3">
      <c r="A3652" t="s">
        <v>3709</v>
      </c>
      <c r="B3652">
        <f>IF(ISNUMBER(SEARCH(Form!$C$11,Tabel2[[#This Row],[Coordinate Projection System]])),MAX($B$1:B3651)+1,0)</f>
        <v>3651</v>
      </c>
      <c r="C3652" t="str">
        <f t="shared" si="57"/>
        <v>NAD83(2011) / WISCRS Kewaunee, Manitowoc and Sheboygan (m)</v>
      </c>
    </row>
    <row r="3653" spans="1:3" x14ac:dyDescent="0.3">
      <c r="A3653" t="s">
        <v>3710</v>
      </c>
      <c r="B3653">
        <f>IF(ISNUMBER(SEARCH(Form!$C$11,Tabel2[[#This Row],[Coordinate Projection System]])),MAX($B$1:B3652)+1,0)</f>
        <v>3652</v>
      </c>
      <c r="C3653" t="str">
        <f t="shared" si="57"/>
        <v>NAD83(2011) / WISCRS La Crosse (m)</v>
      </c>
    </row>
    <row r="3654" spans="1:3" x14ac:dyDescent="0.3">
      <c r="A3654" t="s">
        <v>3711</v>
      </c>
      <c r="B3654">
        <f>IF(ISNUMBER(SEARCH(Form!$C$11,Tabel2[[#This Row],[Coordinate Projection System]])),MAX($B$1:B3653)+1,0)</f>
        <v>3653</v>
      </c>
      <c r="C3654" t="str">
        <f t="shared" si="57"/>
        <v>NAD83(2011) / WISCRS Langlade (m)</v>
      </c>
    </row>
    <row r="3655" spans="1:3" x14ac:dyDescent="0.3">
      <c r="A3655" t="s">
        <v>3712</v>
      </c>
      <c r="B3655">
        <f>IF(ISNUMBER(SEARCH(Form!$C$11,Tabel2[[#This Row],[Coordinate Projection System]])),MAX($B$1:B3654)+1,0)</f>
        <v>3654</v>
      </c>
      <c r="C3655" t="str">
        <f t="shared" si="57"/>
        <v>NAD83(2011) / WISCRS Lincoln (m)</v>
      </c>
    </row>
    <row r="3656" spans="1:3" x14ac:dyDescent="0.3">
      <c r="A3656" t="s">
        <v>3713</v>
      </c>
      <c r="B3656">
        <f>IF(ISNUMBER(SEARCH(Form!$C$11,Tabel2[[#This Row],[Coordinate Projection System]])),MAX($B$1:B3655)+1,0)</f>
        <v>3655</v>
      </c>
      <c r="C3656" t="str">
        <f t="shared" si="57"/>
        <v>NAD83(2011) / WISCRS Marathon (m)</v>
      </c>
    </row>
    <row r="3657" spans="1:3" x14ac:dyDescent="0.3">
      <c r="A3657" t="s">
        <v>3714</v>
      </c>
      <c r="B3657">
        <f>IF(ISNUMBER(SEARCH(Form!$C$11,Tabel2[[#This Row],[Coordinate Projection System]])),MAX($B$1:B3656)+1,0)</f>
        <v>3656</v>
      </c>
      <c r="C3657" t="str">
        <f t="shared" si="57"/>
        <v>NAD83(2011) / WISCRS Marinette (m)</v>
      </c>
    </row>
    <row r="3658" spans="1:3" x14ac:dyDescent="0.3">
      <c r="A3658" t="s">
        <v>3715</v>
      </c>
      <c r="B3658">
        <f>IF(ISNUMBER(SEARCH(Form!$C$11,Tabel2[[#This Row],[Coordinate Projection System]])),MAX($B$1:B3657)+1,0)</f>
        <v>3657</v>
      </c>
      <c r="C3658" t="str">
        <f t="shared" si="57"/>
        <v>NAD83(2011) / WISCRS Menominee (m)</v>
      </c>
    </row>
    <row r="3659" spans="1:3" x14ac:dyDescent="0.3">
      <c r="A3659" t="s">
        <v>3716</v>
      </c>
      <c r="B3659">
        <f>IF(ISNUMBER(SEARCH(Form!$C$11,Tabel2[[#This Row],[Coordinate Projection System]])),MAX($B$1:B3658)+1,0)</f>
        <v>3658</v>
      </c>
      <c r="C3659" t="str">
        <f t="shared" si="57"/>
        <v>NAD83(2011) / WISCRS Monroe (m)</v>
      </c>
    </row>
    <row r="3660" spans="1:3" x14ac:dyDescent="0.3">
      <c r="A3660" t="s">
        <v>3717</v>
      </c>
      <c r="B3660">
        <f>IF(ISNUMBER(SEARCH(Form!$C$11,Tabel2[[#This Row],[Coordinate Projection System]])),MAX($B$1:B3659)+1,0)</f>
        <v>3659</v>
      </c>
      <c r="C3660" t="str">
        <f t="shared" si="57"/>
        <v>NAD83(2011) / WISCRS Oconto (m)</v>
      </c>
    </row>
    <row r="3661" spans="1:3" x14ac:dyDescent="0.3">
      <c r="A3661" t="s">
        <v>3718</v>
      </c>
      <c r="B3661">
        <f>IF(ISNUMBER(SEARCH(Form!$C$11,Tabel2[[#This Row],[Coordinate Projection System]])),MAX($B$1:B3660)+1,0)</f>
        <v>3660</v>
      </c>
      <c r="C3661" t="str">
        <f t="shared" si="57"/>
        <v>NAD83(2011) / WISCRS Oneida (m)</v>
      </c>
    </row>
    <row r="3662" spans="1:3" x14ac:dyDescent="0.3">
      <c r="A3662" t="s">
        <v>3719</v>
      </c>
      <c r="B3662">
        <f>IF(ISNUMBER(SEARCH(Form!$C$11,Tabel2[[#This Row],[Coordinate Projection System]])),MAX($B$1:B3661)+1,0)</f>
        <v>3661</v>
      </c>
      <c r="C3662" t="str">
        <f t="shared" si="57"/>
        <v>NAD83(2011) / WISCRS Pepin and Pierce (m)</v>
      </c>
    </row>
    <row r="3663" spans="1:3" x14ac:dyDescent="0.3">
      <c r="A3663" t="s">
        <v>3720</v>
      </c>
      <c r="B3663">
        <f>IF(ISNUMBER(SEARCH(Form!$C$11,Tabel2[[#This Row],[Coordinate Projection System]])),MAX($B$1:B3662)+1,0)</f>
        <v>3662</v>
      </c>
      <c r="C3663" t="str">
        <f t="shared" si="57"/>
        <v>NAD83(2011) / WISCRS Polk (m)</v>
      </c>
    </row>
    <row r="3664" spans="1:3" x14ac:dyDescent="0.3">
      <c r="A3664" t="s">
        <v>3721</v>
      </c>
      <c r="B3664">
        <f>IF(ISNUMBER(SEARCH(Form!$C$11,Tabel2[[#This Row],[Coordinate Projection System]])),MAX($B$1:B3663)+1,0)</f>
        <v>3663</v>
      </c>
      <c r="C3664" t="str">
        <f t="shared" si="57"/>
        <v>NAD83(2011) / WISCRS Portage (m)</v>
      </c>
    </row>
    <row r="3665" spans="1:3" x14ac:dyDescent="0.3">
      <c r="A3665" t="s">
        <v>3722</v>
      </c>
      <c r="B3665">
        <f>IF(ISNUMBER(SEARCH(Form!$C$11,Tabel2[[#This Row],[Coordinate Projection System]])),MAX($B$1:B3664)+1,0)</f>
        <v>3664</v>
      </c>
      <c r="C3665" t="str">
        <f t="shared" si="57"/>
        <v>NAD83(2011) / WISCRS Price (m)</v>
      </c>
    </row>
    <row r="3666" spans="1:3" x14ac:dyDescent="0.3">
      <c r="A3666" t="s">
        <v>3723</v>
      </c>
      <c r="B3666">
        <f>IF(ISNUMBER(SEARCH(Form!$C$11,Tabel2[[#This Row],[Coordinate Projection System]])),MAX($B$1:B3665)+1,0)</f>
        <v>3665</v>
      </c>
      <c r="C3666" t="str">
        <f t="shared" si="57"/>
        <v>NAD83(2011) / WISCRS Richland (m)</v>
      </c>
    </row>
    <row r="3667" spans="1:3" x14ac:dyDescent="0.3">
      <c r="A3667" t="s">
        <v>3724</v>
      </c>
      <c r="B3667">
        <f>IF(ISNUMBER(SEARCH(Form!$C$11,Tabel2[[#This Row],[Coordinate Projection System]])),MAX($B$1:B3666)+1,0)</f>
        <v>3666</v>
      </c>
      <c r="C3667" t="str">
        <f t="shared" si="57"/>
        <v>NAD83(2011) / WISCRS Rock (m)</v>
      </c>
    </row>
    <row r="3668" spans="1:3" x14ac:dyDescent="0.3">
      <c r="A3668" t="s">
        <v>3725</v>
      </c>
      <c r="B3668">
        <f>IF(ISNUMBER(SEARCH(Form!$C$11,Tabel2[[#This Row],[Coordinate Projection System]])),MAX($B$1:B3667)+1,0)</f>
        <v>3667</v>
      </c>
      <c r="C3668" t="str">
        <f t="shared" si="57"/>
        <v>NAD83(2011) / WISCRS Rusk (m)</v>
      </c>
    </row>
    <row r="3669" spans="1:3" x14ac:dyDescent="0.3">
      <c r="A3669" t="s">
        <v>3726</v>
      </c>
      <c r="B3669">
        <f>IF(ISNUMBER(SEARCH(Form!$C$11,Tabel2[[#This Row],[Coordinate Projection System]])),MAX($B$1:B3668)+1,0)</f>
        <v>3668</v>
      </c>
      <c r="C3669" t="str">
        <f t="shared" si="57"/>
        <v>NAD83(2011) / WISCRS Sauk (m)</v>
      </c>
    </row>
    <row r="3670" spans="1:3" x14ac:dyDescent="0.3">
      <c r="A3670" t="s">
        <v>3727</v>
      </c>
      <c r="B3670">
        <f>IF(ISNUMBER(SEARCH(Form!$C$11,Tabel2[[#This Row],[Coordinate Projection System]])),MAX($B$1:B3669)+1,0)</f>
        <v>3669</v>
      </c>
      <c r="C3670" t="str">
        <f t="shared" si="57"/>
        <v>NAD83(2011) / WISCRS Sawyer (m)</v>
      </c>
    </row>
    <row r="3671" spans="1:3" x14ac:dyDescent="0.3">
      <c r="A3671" t="s">
        <v>3728</v>
      </c>
      <c r="B3671">
        <f>IF(ISNUMBER(SEARCH(Form!$C$11,Tabel2[[#This Row],[Coordinate Projection System]])),MAX($B$1:B3670)+1,0)</f>
        <v>3670</v>
      </c>
      <c r="C3671" t="str">
        <f t="shared" si="57"/>
        <v>NAD83(2011) / WISCRS Shawano (m)</v>
      </c>
    </row>
    <row r="3672" spans="1:3" x14ac:dyDescent="0.3">
      <c r="A3672" t="s">
        <v>3729</v>
      </c>
      <c r="B3672">
        <f>IF(ISNUMBER(SEARCH(Form!$C$11,Tabel2[[#This Row],[Coordinate Projection System]])),MAX($B$1:B3671)+1,0)</f>
        <v>3671</v>
      </c>
      <c r="C3672" t="str">
        <f t="shared" si="57"/>
        <v>NAD83(2011) / WISCRS St. Croix (m)</v>
      </c>
    </row>
    <row r="3673" spans="1:3" x14ac:dyDescent="0.3">
      <c r="A3673" t="s">
        <v>3730</v>
      </c>
      <c r="B3673">
        <f>IF(ISNUMBER(SEARCH(Form!$C$11,Tabel2[[#This Row],[Coordinate Projection System]])),MAX($B$1:B3672)+1,0)</f>
        <v>3672</v>
      </c>
      <c r="C3673" t="str">
        <f t="shared" si="57"/>
        <v>NAD83(2011) / WISCRS Taylor (m)</v>
      </c>
    </row>
    <row r="3674" spans="1:3" x14ac:dyDescent="0.3">
      <c r="A3674" t="s">
        <v>3731</v>
      </c>
      <c r="B3674">
        <f>IF(ISNUMBER(SEARCH(Form!$C$11,Tabel2[[#This Row],[Coordinate Projection System]])),MAX($B$1:B3673)+1,0)</f>
        <v>3673</v>
      </c>
      <c r="C3674" t="str">
        <f t="shared" si="57"/>
        <v>NAD83(2011) / WISCRS Trempealeau (m)</v>
      </c>
    </row>
    <row r="3675" spans="1:3" x14ac:dyDescent="0.3">
      <c r="A3675" t="s">
        <v>3732</v>
      </c>
      <c r="B3675">
        <f>IF(ISNUMBER(SEARCH(Form!$C$11,Tabel2[[#This Row],[Coordinate Projection System]])),MAX($B$1:B3674)+1,0)</f>
        <v>3674</v>
      </c>
      <c r="C3675" t="str">
        <f t="shared" si="57"/>
        <v>NAD83(2011) / WISCRS Vernon (m)</v>
      </c>
    </row>
    <row r="3676" spans="1:3" x14ac:dyDescent="0.3">
      <c r="A3676" t="s">
        <v>3733</v>
      </c>
      <c r="B3676">
        <f>IF(ISNUMBER(SEARCH(Form!$C$11,Tabel2[[#This Row],[Coordinate Projection System]])),MAX($B$1:B3675)+1,0)</f>
        <v>3675</v>
      </c>
      <c r="C3676" t="str">
        <f t="shared" si="57"/>
        <v>NAD83(2011) / WISCRS Vilas (m)</v>
      </c>
    </row>
    <row r="3677" spans="1:3" x14ac:dyDescent="0.3">
      <c r="A3677" t="s">
        <v>3734</v>
      </c>
      <c r="B3677">
        <f>IF(ISNUMBER(SEARCH(Form!$C$11,Tabel2[[#This Row],[Coordinate Projection System]])),MAX($B$1:B3676)+1,0)</f>
        <v>3676</v>
      </c>
      <c r="C3677" t="str">
        <f t="shared" si="57"/>
        <v>NAD83(2011) / WISCRS Walworth (m)</v>
      </c>
    </row>
    <row r="3678" spans="1:3" x14ac:dyDescent="0.3">
      <c r="A3678" t="s">
        <v>3735</v>
      </c>
      <c r="B3678">
        <f>IF(ISNUMBER(SEARCH(Form!$C$11,Tabel2[[#This Row],[Coordinate Projection System]])),MAX($B$1:B3677)+1,0)</f>
        <v>3677</v>
      </c>
      <c r="C3678" t="str">
        <f t="shared" si="57"/>
        <v>NAD83(2011) / WISCRS Washburn (m)</v>
      </c>
    </row>
    <row r="3679" spans="1:3" x14ac:dyDescent="0.3">
      <c r="A3679" t="s">
        <v>3736</v>
      </c>
      <c r="B3679">
        <f>IF(ISNUMBER(SEARCH(Form!$C$11,Tabel2[[#This Row],[Coordinate Projection System]])),MAX($B$1:B3678)+1,0)</f>
        <v>3678</v>
      </c>
      <c r="C3679" t="str">
        <f t="shared" si="57"/>
        <v>NAD83(2011) / WISCRS Washington (m)</v>
      </c>
    </row>
    <row r="3680" spans="1:3" x14ac:dyDescent="0.3">
      <c r="A3680" t="s">
        <v>3737</v>
      </c>
      <c r="B3680">
        <f>IF(ISNUMBER(SEARCH(Form!$C$11,Tabel2[[#This Row],[Coordinate Projection System]])),MAX($B$1:B3679)+1,0)</f>
        <v>3679</v>
      </c>
      <c r="C3680" t="str">
        <f t="shared" si="57"/>
        <v>NAD83(2011) / WISCRS Waukesha (m)</v>
      </c>
    </row>
    <row r="3681" spans="1:3" x14ac:dyDescent="0.3">
      <c r="A3681" t="s">
        <v>3738</v>
      </c>
      <c r="B3681">
        <f>IF(ISNUMBER(SEARCH(Form!$C$11,Tabel2[[#This Row],[Coordinate Projection System]])),MAX($B$1:B3680)+1,0)</f>
        <v>3680</v>
      </c>
      <c r="C3681" t="str">
        <f t="shared" si="57"/>
        <v>NAD83(2011) / WISCRS Waupaca (m)</v>
      </c>
    </row>
    <row r="3682" spans="1:3" x14ac:dyDescent="0.3">
      <c r="A3682" t="s">
        <v>3739</v>
      </c>
      <c r="B3682">
        <f>IF(ISNUMBER(SEARCH(Form!$C$11,Tabel2[[#This Row],[Coordinate Projection System]])),MAX($B$1:B3681)+1,0)</f>
        <v>3681</v>
      </c>
      <c r="C3682" t="str">
        <f t="shared" si="57"/>
        <v>NAD83(2011) / WISCRS Waushara (m)</v>
      </c>
    </row>
    <row r="3683" spans="1:3" x14ac:dyDescent="0.3">
      <c r="A3683" t="s">
        <v>3740</v>
      </c>
      <c r="B3683">
        <f>IF(ISNUMBER(SEARCH(Form!$C$11,Tabel2[[#This Row],[Coordinate Projection System]])),MAX($B$1:B3682)+1,0)</f>
        <v>3682</v>
      </c>
      <c r="C3683" t="str">
        <f t="shared" si="57"/>
        <v>NAD83(2011) / WISCRS Wood (m)</v>
      </c>
    </row>
    <row r="3684" spans="1:3" x14ac:dyDescent="0.3">
      <c r="A3684" t="s">
        <v>3741</v>
      </c>
      <c r="B3684">
        <f>IF(ISNUMBER(SEARCH(Form!$C$11,Tabel2[[#This Row],[Coordinate Projection System]])),MAX($B$1:B3683)+1,0)</f>
        <v>3683</v>
      </c>
      <c r="C3684" t="str">
        <f t="shared" si="57"/>
        <v>NAD83(2011) / WISCRS Adams and Juneau (ftUS)</v>
      </c>
    </row>
    <row r="3685" spans="1:3" x14ac:dyDescent="0.3">
      <c r="A3685" t="s">
        <v>3742</v>
      </c>
      <c r="B3685">
        <f>IF(ISNUMBER(SEARCH(Form!$C$11,Tabel2[[#This Row],[Coordinate Projection System]])),MAX($B$1:B3684)+1,0)</f>
        <v>3684</v>
      </c>
      <c r="C3685" t="str">
        <f t="shared" si="57"/>
        <v>NAD83(2011) / WISCRS Ashland (ftUS)</v>
      </c>
    </row>
    <row r="3686" spans="1:3" x14ac:dyDescent="0.3">
      <c r="A3686" t="s">
        <v>3743</v>
      </c>
      <c r="B3686">
        <f>IF(ISNUMBER(SEARCH(Form!$C$11,Tabel2[[#This Row],[Coordinate Projection System]])),MAX($B$1:B3685)+1,0)</f>
        <v>3685</v>
      </c>
      <c r="C3686" t="str">
        <f t="shared" si="57"/>
        <v>NAD83(2011) / WISCRS Barron (ftUS)</v>
      </c>
    </row>
    <row r="3687" spans="1:3" x14ac:dyDescent="0.3">
      <c r="A3687" t="s">
        <v>3744</v>
      </c>
      <c r="B3687">
        <f>IF(ISNUMBER(SEARCH(Form!$C$11,Tabel2[[#This Row],[Coordinate Projection System]])),MAX($B$1:B3686)+1,0)</f>
        <v>3686</v>
      </c>
      <c r="C3687" t="str">
        <f t="shared" si="57"/>
        <v>NAD83(2011) / WISCRS Bayfield (ftUS)</v>
      </c>
    </row>
    <row r="3688" spans="1:3" x14ac:dyDescent="0.3">
      <c r="A3688" t="s">
        <v>3745</v>
      </c>
      <c r="B3688">
        <f>IF(ISNUMBER(SEARCH(Form!$C$11,Tabel2[[#This Row],[Coordinate Projection System]])),MAX($B$1:B3687)+1,0)</f>
        <v>3687</v>
      </c>
      <c r="C3688" t="str">
        <f t="shared" si="57"/>
        <v>NAD83(2011) / WISCRS Brown (ftUS)</v>
      </c>
    </row>
    <row r="3689" spans="1:3" x14ac:dyDescent="0.3">
      <c r="A3689" t="s">
        <v>3746</v>
      </c>
      <c r="B3689">
        <f>IF(ISNUMBER(SEARCH(Form!$C$11,Tabel2[[#This Row],[Coordinate Projection System]])),MAX($B$1:B3688)+1,0)</f>
        <v>3688</v>
      </c>
      <c r="C3689" t="str">
        <f t="shared" si="57"/>
        <v>NAD83(2011) / WISCRS Buffalo (ftUS)</v>
      </c>
    </row>
    <row r="3690" spans="1:3" x14ac:dyDescent="0.3">
      <c r="A3690" t="s">
        <v>3747</v>
      </c>
      <c r="B3690">
        <f>IF(ISNUMBER(SEARCH(Form!$C$11,Tabel2[[#This Row],[Coordinate Projection System]])),MAX($B$1:B3689)+1,0)</f>
        <v>3689</v>
      </c>
      <c r="C3690" t="str">
        <f t="shared" si="57"/>
        <v>NAD83(2011) / WISCRS Burnett (ftUS)</v>
      </c>
    </row>
    <row r="3691" spans="1:3" x14ac:dyDescent="0.3">
      <c r="A3691" t="s">
        <v>3748</v>
      </c>
      <c r="B3691">
        <f>IF(ISNUMBER(SEARCH(Form!$C$11,Tabel2[[#This Row],[Coordinate Projection System]])),MAX($B$1:B3690)+1,0)</f>
        <v>3690</v>
      </c>
      <c r="C3691" t="str">
        <f t="shared" si="57"/>
        <v>NAD83(2011) / WISCRS Calumet, Fond du Lac, Outagamie and Winnebago (ftUS)</v>
      </c>
    </row>
    <row r="3692" spans="1:3" x14ac:dyDescent="0.3">
      <c r="A3692" t="s">
        <v>3749</v>
      </c>
      <c r="B3692">
        <f>IF(ISNUMBER(SEARCH(Form!$C$11,Tabel2[[#This Row],[Coordinate Projection System]])),MAX($B$1:B3691)+1,0)</f>
        <v>3691</v>
      </c>
      <c r="C3692" t="str">
        <f t="shared" si="57"/>
        <v>NAD83(2011) / WISCRS Chippewa (ftUS)</v>
      </c>
    </row>
    <row r="3693" spans="1:3" x14ac:dyDescent="0.3">
      <c r="A3693" t="s">
        <v>3750</v>
      </c>
      <c r="B3693">
        <f>IF(ISNUMBER(SEARCH(Form!$C$11,Tabel2[[#This Row],[Coordinate Projection System]])),MAX($B$1:B3692)+1,0)</f>
        <v>3692</v>
      </c>
      <c r="C3693" t="str">
        <f t="shared" si="57"/>
        <v>NAD83(2011) / WISCRS Clark (ftUS)</v>
      </c>
    </row>
    <row r="3694" spans="1:3" x14ac:dyDescent="0.3">
      <c r="A3694" t="s">
        <v>3751</v>
      </c>
      <c r="B3694">
        <f>IF(ISNUMBER(SEARCH(Form!$C$11,Tabel2[[#This Row],[Coordinate Projection System]])),MAX($B$1:B3693)+1,0)</f>
        <v>3693</v>
      </c>
      <c r="C3694" t="str">
        <f t="shared" si="57"/>
        <v>NAD83(2011) / WISCRS Columbia (ftUS)</v>
      </c>
    </row>
    <row r="3695" spans="1:3" x14ac:dyDescent="0.3">
      <c r="A3695" t="s">
        <v>3752</v>
      </c>
      <c r="B3695">
        <f>IF(ISNUMBER(SEARCH(Form!$C$11,Tabel2[[#This Row],[Coordinate Projection System]])),MAX($B$1:B3694)+1,0)</f>
        <v>3694</v>
      </c>
      <c r="C3695" t="str">
        <f t="shared" si="57"/>
        <v>NAD83(2011) / WISCRS Crawford (ftUS)</v>
      </c>
    </row>
    <row r="3696" spans="1:3" x14ac:dyDescent="0.3">
      <c r="A3696" t="s">
        <v>3753</v>
      </c>
      <c r="B3696">
        <f>IF(ISNUMBER(SEARCH(Form!$C$11,Tabel2[[#This Row],[Coordinate Projection System]])),MAX($B$1:B3695)+1,0)</f>
        <v>3695</v>
      </c>
      <c r="C3696" t="str">
        <f t="shared" si="57"/>
        <v>NAD83(2011) / WISCRS Dane (ftUS)</v>
      </c>
    </row>
    <row r="3697" spans="1:3" x14ac:dyDescent="0.3">
      <c r="A3697" t="s">
        <v>3754</v>
      </c>
      <c r="B3697">
        <f>IF(ISNUMBER(SEARCH(Form!$C$11,Tabel2[[#This Row],[Coordinate Projection System]])),MAX($B$1:B3696)+1,0)</f>
        <v>3696</v>
      </c>
      <c r="C3697" t="str">
        <f t="shared" si="57"/>
        <v>NAD83(2011) / WISCRS Dodge and Jefferson (ftUS)</v>
      </c>
    </row>
    <row r="3698" spans="1:3" x14ac:dyDescent="0.3">
      <c r="A3698" t="s">
        <v>3755</v>
      </c>
      <c r="B3698">
        <f>IF(ISNUMBER(SEARCH(Form!$C$11,Tabel2[[#This Row],[Coordinate Projection System]])),MAX($B$1:B3697)+1,0)</f>
        <v>3697</v>
      </c>
      <c r="C3698" t="str">
        <f t="shared" si="57"/>
        <v>NAD83(2011) / WISCRS Door (ftUS)</v>
      </c>
    </row>
    <row r="3699" spans="1:3" x14ac:dyDescent="0.3">
      <c r="A3699" t="s">
        <v>3756</v>
      </c>
      <c r="B3699">
        <f>IF(ISNUMBER(SEARCH(Form!$C$11,Tabel2[[#This Row],[Coordinate Projection System]])),MAX($B$1:B3698)+1,0)</f>
        <v>3698</v>
      </c>
      <c r="C3699" t="str">
        <f t="shared" si="57"/>
        <v>NAD83(2011) / WISCRS Douglas (ftUS)</v>
      </c>
    </row>
    <row r="3700" spans="1:3" x14ac:dyDescent="0.3">
      <c r="A3700" t="s">
        <v>3757</v>
      </c>
      <c r="B3700">
        <f>IF(ISNUMBER(SEARCH(Form!$C$11,Tabel2[[#This Row],[Coordinate Projection System]])),MAX($B$1:B3699)+1,0)</f>
        <v>3699</v>
      </c>
      <c r="C3700" t="str">
        <f t="shared" si="57"/>
        <v>NAD83(2011) / WISCRS Dunn (ftUS)</v>
      </c>
    </row>
    <row r="3701" spans="1:3" x14ac:dyDescent="0.3">
      <c r="A3701" t="s">
        <v>3758</v>
      </c>
      <c r="B3701">
        <f>IF(ISNUMBER(SEARCH(Form!$C$11,Tabel2[[#This Row],[Coordinate Projection System]])),MAX($B$1:B3700)+1,0)</f>
        <v>3700</v>
      </c>
      <c r="C3701" t="str">
        <f t="shared" si="57"/>
        <v>NAD83(2011) / WISCRS Eau Claire (ftUS)</v>
      </c>
    </row>
    <row r="3702" spans="1:3" x14ac:dyDescent="0.3">
      <c r="A3702" t="s">
        <v>3759</v>
      </c>
      <c r="B3702">
        <f>IF(ISNUMBER(SEARCH(Form!$C$11,Tabel2[[#This Row],[Coordinate Projection System]])),MAX($B$1:B3701)+1,0)</f>
        <v>3701</v>
      </c>
      <c r="C3702" t="str">
        <f t="shared" si="57"/>
        <v>NAD83(2011) / WISCRS Florence (ftUS)</v>
      </c>
    </row>
    <row r="3703" spans="1:3" x14ac:dyDescent="0.3">
      <c r="A3703" t="s">
        <v>3760</v>
      </c>
      <c r="B3703">
        <f>IF(ISNUMBER(SEARCH(Form!$C$11,Tabel2[[#This Row],[Coordinate Projection System]])),MAX($B$1:B3702)+1,0)</f>
        <v>3702</v>
      </c>
      <c r="C3703" t="str">
        <f t="shared" si="57"/>
        <v>NAD83(2011) / WISCRS Forest (ftUS)</v>
      </c>
    </row>
    <row r="3704" spans="1:3" x14ac:dyDescent="0.3">
      <c r="A3704" t="s">
        <v>3761</v>
      </c>
      <c r="B3704">
        <f>IF(ISNUMBER(SEARCH(Form!$C$11,Tabel2[[#This Row],[Coordinate Projection System]])),MAX($B$1:B3703)+1,0)</f>
        <v>3703</v>
      </c>
      <c r="C3704" t="str">
        <f t="shared" si="57"/>
        <v>NAD83(2011) / WISCRS Grant (ftUS)</v>
      </c>
    </row>
    <row r="3705" spans="1:3" x14ac:dyDescent="0.3">
      <c r="A3705" t="s">
        <v>3762</v>
      </c>
      <c r="B3705">
        <f>IF(ISNUMBER(SEARCH(Form!$C$11,Tabel2[[#This Row],[Coordinate Projection System]])),MAX($B$1:B3704)+1,0)</f>
        <v>3704</v>
      </c>
      <c r="C3705" t="str">
        <f t="shared" si="57"/>
        <v>NAD83(2011) / WISCRS Green and Lafayette (ftUS)</v>
      </c>
    </row>
    <row r="3706" spans="1:3" x14ac:dyDescent="0.3">
      <c r="A3706" t="s">
        <v>3763</v>
      </c>
      <c r="B3706">
        <f>IF(ISNUMBER(SEARCH(Form!$C$11,Tabel2[[#This Row],[Coordinate Projection System]])),MAX($B$1:B3705)+1,0)</f>
        <v>3705</v>
      </c>
      <c r="C3706" t="str">
        <f t="shared" si="57"/>
        <v>NAD83(2011) / WISCRS Green Lake and Marquette (ftUS)</v>
      </c>
    </row>
    <row r="3707" spans="1:3" x14ac:dyDescent="0.3">
      <c r="A3707" t="s">
        <v>3764</v>
      </c>
      <c r="B3707">
        <f>IF(ISNUMBER(SEARCH(Form!$C$11,Tabel2[[#This Row],[Coordinate Projection System]])),MAX($B$1:B3706)+1,0)</f>
        <v>3706</v>
      </c>
      <c r="C3707" t="str">
        <f t="shared" si="57"/>
        <v>NAD83(2011) / WISCRS Iowa (ftUS)</v>
      </c>
    </row>
    <row r="3708" spans="1:3" x14ac:dyDescent="0.3">
      <c r="A3708" t="s">
        <v>3765</v>
      </c>
      <c r="B3708">
        <f>IF(ISNUMBER(SEARCH(Form!$C$11,Tabel2[[#This Row],[Coordinate Projection System]])),MAX($B$1:B3707)+1,0)</f>
        <v>3707</v>
      </c>
      <c r="C3708" t="str">
        <f t="shared" si="57"/>
        <v>NAD83(2011) / WISCRS Iron (ftUS)</v>
      </c>
    </row>
    <row r="3709" spans="1:3" x14ac:dyDescent="0.3">
      <c r="A3709" t="s">
        <v>3766</v>
      </c>
      <c r="B3709">
        <f>IF(ISNUMBER(SEARCH(Form!$C$11,Tabel2[[#This Row],[Coordinate Projection System]])),MAX($B$1:B3708)+1,0)</f>
        <v>3708</v>
      </c>
      <c r="C3709" t="str">
        <f t="shared" si="57"/>
        <v>NAD83(2011) / WISCRS Jackson (ftUS)</v>
      </c>
    </row>
    <row r="3710" spans="1:3" x14ac:dyDescent="0.3">
      <c r="A3710" t="s">
        <v>3767</v>
      </c>
      <c r="B3710">
        <f>IF(ISNUMBER(SEARCH(Form!$C$11,Tabel2[[#This Row],[Coordinate Projection System]])),MAX($B$1:B3709)+1,0)</f>
        <v>3709</v>
      </c>
      <c r="C3710" t="str">
        <f t="shared" si="57"/>
        <v>NAD83(2011) / WISCRS Kenosha, Milwaukee, Ozaukee and Racine (ftUS)</v>
      </c>
    </row>
    <row r="3711" spans="1:3" x14ac:dyDescent="0.3">
      <c r="A3711" t="s">
        <v>3768</v>
      </c>
      <c r="B3711">
        <f>IF(ISNUMBER(SEARCH(Form!$C$11,Tabel2[[#This Row],[Coordinate Projection System]])),MAX($B$1:B3710)+1,0)</f>
        <v>3710</v>
      </c>
      <c r="C3711" t="str">
        <f t="shared" si="57"/>
        <v>NAD83(2011) / WISCRS Kewaunee, Manitowoc and Sheboygan (ftUS)</v>
      </c>
    </row>
    <row r="3712" spans="1:3" x14ac:dyDescent="0.3">
      <c r="A3712" t="s">
        <v>3769</v>
      </c>
      <c r="B3712">
        <f>IF(ISNUMBER(SEARCH(Form!$C$11,Tabel2[[#This Row],[Coordinate Projection System]])),MAX($B$1:B3711)+1,0)</f>
        <v>3711</v>
      </c>
      <c r="C3712" t="str">
        <f t="shared" si="57"/>
        <v>NAD83(2011) / WISCRS La Crosse (ftUS)</v>
      </c>
    </row>
    <row r="3713" spans="1:3" x14ac:dyDescent="0.3">
      <c r="A3713" t="s">
        <v>3770</v>
      </c>
      <c r="B3713">
        <f>IF(ISNUMBER(SEARCH(Form!$C$11,Tabel2[[#This Row],[Coordinate Projection System]])),MAX($B$1:B3712)+1,0)</f>
        <v>3712</v>
      </c>
      <c r="C3713" t="str">
        <f t="shared" si="57"/>
        <v>NAD83(2011) / WISCRS Langlade (ftUS)</v>
      </c>
    </row>
    <row r="3714" spans="1:3" x14ac:dyDescent="0.3">
      <c r="A3714" t="s">
        <v>3771</v>
      </c>
      <c r="B3714">
        <f>IF(ISNUMBER(SEARCH(Form!$C$11,Tabel2[[#This Row],[Coordinate Projection System]])),MAX($B$1:B3713)+1,0)</f>
        <v>3713</v>
      </c>
      <c r="C3714" t="str">
        <f t="shared" si="57"/>
        <v>NAD83(2011) / WISCRS Lincoln (ftUS)</v>
      </c>
    </row>
    <row r="3715" spans="1:3" x14ac:dyDescent="0.3">
      <c r="A3715" t="s">
        <v>3772</v>
      </c>
      <c r="B3715">
        <f>IF(ISNUMBER(SEARCH(Form!$C$11,Tabel2[[#This Row],[Coordinate Projection System]])),MAX($B$1:B3714)+1,0)</f>
        <v>3714</v>
      </c>
      <c r="C3715" t="str">
        <f t="shared" ref="C3715:C3778" si="58">_xlfn.IFNA(INDEX(A3715:A9226,MATCH(ROW(C3714),B3715:B9226,0)),"")</f>
        <v>NAD83(2011) / WISCRS Marathon (ftUS)</v>
      </c>
    </row>
    <row r="3716" spans="1:3" x14ac:dyDescent="0.3">
      <c r="A3716" t="s">
        <v>3773</v>
      </c>
      <c r="B3716">
        <f>IF(ISNUMBER(SEARCH(Form!$C$11,Tabel2[[#This Row],[Coordinate Projection System]])),MAX($B$1:B3715)+1,0)</f>
        <v>3715</v>
      </c>
      <c r="C3716" t="str">
        <f t="shared" si="58"/>
        <v>NAD83(2011) / WISCRS Marinette (ftUS)</v>
      </c>
    </row>
    <row r="3717" spans="1:3" x14ac:dyDescent="0.3">
      <c r="A3717" t="s">
        <v>3774</v>
      </c>
      <c r="B3717">
        <f>IF(ISNUMBER(SEARCH(Form!$C$11,Tabel2[[#This Row],[Coordinate Projection System]])),MAX($B$1:B3716)+1,0)</f>
        <v>3716</v>
      </c>
      <c r="C3717" t="str">
        <f t="shared" si="58"/>
        <v>NAD83(2011) / WISCRS Menominee (ftUS)</v>
      </c>
    </row>
    <row r="3718" spans="1:3" x14ac:dyDescent="0.3">
      <c r="A3718" t="s">
        <v>3775</v>
      </c>
      <c r="B3718">
        <f>IF(ISNUMBER(SEARCH(Form!$C$11,Tabel2[[#This Row],[Coordinate Projection System]])),MAX($B$1:B3717)+1,0)</f>
        <v>3717</v>
      </c>
      <c r="C3718" t="str">
        <f t="shared" si="58"/>
        <v>NAD83(2011) / WISCRS Monroe (ftUS)</v>
      </c>
    </row>
    <row r="3719" spans="1:3" x14ac:dyDescent="0.3">
      <c r="A3719" t="s">
        <v>3776</v>
      </c>
      <c r="B3719">
        <f>IF(ISNUMBER(SEARCH(Form!$C$11,Tabel2[[#This Row],[Coordinate Projection System]])),MAX($B$1:B3718)+1,0)</f>
        <v>3718</v>
      </c>
      <c r="C3719" t="str">
        <f t="shared" si="58"/>
        <v>NAD83(2011) / WISCRS Oconto (ftUS)</v>
      </c>
    </row>
    <row r="3720" spans="1:3" x14ac:dyDescent="0.3">
      <c r="A3720" t="s">
        <v>3777</v>
      </c>
      <c r="B3720">
        <f>IF(ISNUMBER(SEARCH(Form!$C$11,Tabel2[[#This Row],[Coordinate Projection System]])),MAX($B$1:B3719)+1,0)</f>
        <v>3719</v>
      </c>
      <c r="C3720" t="str">
        <f t="shared" si="58"/>
        <v>NAD83(2011) / WISCRS Oneida (ftUS)</v>
      </c>
    </row>
    <row r="3721" spans="1:3" x14ac:dyDescent="0.3">
      <c r="A3721" t="s">
        <v>3778</v>
      </c>
      <c r="B3721">
        <f>IF(ISNUMBER(SEARCH(Form!$C$11,Tabel2[[#This Row],[Coordinate Projection System]])),MAX($B$1:B3720)+1,0)</f>
        <v>3720</v>
      </c>
      <c r="C3721" t="str">
        <f t="shared" si="58"/>
        <v>NAD83(2011) / WISCRS Pepin and Pierce (ftUS)</v>
      </c>
    </row>
    <row r="3722" spans="1:3" x14ac:dyDescent="0.3">
      <c r="A3722" t="s">
        <v>3779</v>
      </c>
      <c r="B3722">
        <f>IF(ISNUMBER(SEARCH(Form!$C$11,Tabel2[[#This Row],[Coordinate Projection System]])),MAX($B$1:B3721)+1,0)</f>
        <v>3721</v>
      </c>
      <c r="C3722" t="str">
        <f t="shared" si="58"/>
        <v>NAD83(2011) / WISCRS Polk (ftUS)</v>
      </c>
    </row>
    <row r="3723" spans="1:3" x14ac:dyDescent="0.3">
      <c r="A3723" t="s">
        <v>3780</v>
      </c>
      <c r="B3723">
        <f>IF(ISNUMBER(SEARCH(Form!$C$11,Tabel2[[#This Row],[Coordinate Projection System]])),MAX($B$1:B3722)+1,0)</f>
        <v>3722</v>
      </c>
      <c r="C3723" t="str">
        <f t="shared" si="58"/>
        <v>NAD83(2011) / WISCRS Portage (ftUS)</v>
      </c>
    </row>
    <row r="3724" spans="1:3" x14ac:dyDescent="0.3">
      <c r="A3724" t="s">
        <v>3781</v>
      </c>
      <c r="B3724">
        <f>IF(ISNUMBER(SEARCH(Form!$C$11,Tabel2[[#This Row],[Coordinate Projection System]])),MAX($B$1:B3723)+1,0)</f>
        <v>3723</v>
      </c>
      <c r="C3724" t="str">
        <f t="shared" si="58"/>
        <v>NAD83(2011) / WISCRS Price (ftUS)</v>
      </c>
    </row>
    <row r="3725" spans="1:3" x14ac:dyDescent="0.3">
      <c r="A3725" t="s">
        <v>3782</v>
      </c>
      <c r="B3725">
        <f>IF(ISNUMBER(SEARCH(Form!$C$11,Tabel2[[#This Row],[Coordinate Projection System]])),MAX($B$1:B3724)+1,0)</f>
        <v>3724</v>
      </c>
      <c r="C3725" t="str">
        <f t="shared" si="58"/>
        <v>NAD83(2011) / WISCRS Richland (ftUS)</v>
      </c>
    </row>
    <row r="3726" spans="1:3" x14ac:dyDescent="0.3">
      <c r="A3726" t="s">
        <v>3783</v>
      </c>
      <c r="B3726">
        <f>IF(ISNUMBER(SEARCH(Form!$C$11,Tabel2[[#This Row],[Coordinate Projection System]])),MAX($B$1:B3725)+1,0)</f>
        <v>3725</v>
      </c>
      <c r="C3726" t="str">
        <f t="shared" si="58"/>
        <v>NAD83(2011) / WISCRS Rock (ftUS)</v>
      </c>
    </row>
    <row r="3727" spans="1:3" x14ac:dyDescent="0.3">
      <c r="A3727" t="s">
        <v>3784</v>
      </c>
      <c r="B3727">
        <f>IF(ISNUMBER(SEARCH(Form!$C$11,Tabel2[[#This Row],[Coordinate Projection System]])),MAX($B$1:B3726)+1,0)</f>
        <v>3726</v>
      </c>
      <c r="C3727" t="str">
        <f t="shared" si="58"/>
        <v>NAD83(2011) / WISCRS Rusk (ftUS)</v>
      </c>
    </row>
    <row r="3728" spans="1:3" x14ac:dyDescent="0.3">
      <c r="A3728" t="s">
        <v>3785</v>
      </c>
      <c r="B3728">
        <f>IF(ISNUMBER(SEARCH(Form!$C$11,Tabel2[[#This Row],[Coordinate Projection System]])),MAX($B$1:B3727)+1,0)</f>
        <v>3727</v>
      </c>
      <c r="C3728" t="str">
        <f t="shared" si="58"/>
        <v>NAD83(2011) / WISCRS Sauk (ftUS)</v>
      </c>
    </row>
    <row r="3729" spans="1:3" x14ac:dyDescent="0.3">
      <c r="A3729" t="s">
        <v>3786</v>
      </c>
      <c r="B3729">
        <f>IF(ISNUMBER(SEARCH(Form!$C$11,Tabel2[[#This Row],[Coordinate Projection System]])),MAX($B$1:B3728)+1,0)</f>
        <v>3728</v>
      </c>
      <c r="C3729" t="str">
        <f t="shared" si="58"/>
        <v>NAD83(2011) / WISCRS Sawyer (ftUS)</v>
      </c>
    </row>
    <row r="3730" spans="1:3" x14ac:dyDescent="0.3">
      <c r="A3730" t="s">
        <v>3787</v>
      </c>
      <c r="B3730">
        <f>IF(ISNUMBER(SEARCH(Form!$C$11,Tabel2[[#This Row],[Coordinate Projection System]])),MAX($B$1:B3729)+1,0)</f>
        <v>3729</v>
      </c>
      <c r="C3730" t="str">
        <f t="shared" si="58"/>
        <v>NAD83(2011) / WISCRS Shawano (ftUS)</v>
      </c>
    </row>
    <row r="3731" spans="1:3" x14ac:dyDescent="0.3">
      <c r="A3731" t="s">
        <v>3788</v>
      </c>
      <c r="B3731">
        <f>IF(ISNUMBER(SEARCH(Form!$C$11,Tabel2[[#This Row],[Coordinate Projection System]])),MAX($B$1:B3730)+1,0)</f>
        <v>3730</v>
      </c>
      <c r="C3731" t="str">
        <f t="shared" si="58"/>
        <v>NAD83(2011) / WISCRS St. Croix (ftUS)</v>
      </c>
    </row>
    <row r="3732" spans="1:3" x14ac:dyDescent="0.3">
      <c r="A3732" t="s">
        <v>3789</v>
      </c>
      <c r="B3732">
        <f>IF(ISNUMBER(SEARCH(Form!$C$11,Tabel2[[#This Row],[Coordinate Projection System]])),MAX($B$1:B3731)+1,0)</f>
        <v>3731</v>
      </c>
      <c r="C3732" t="str">
        <f t="shared" si="58"/>
        <v>NAD83(2011) / WISCRS Taylor (ftUS)</v>
      </c>
    </row>
    <row r="3733" spans="1:3" x14ac:dyDescent="0.3">
      <c r="A3733" t="s">
        <v>3790</v>
      </c>
      <c r="B3733">
        <f>IF(ISNUMBER(SEARCH(Form!$C$11,Tabel2[[#This Row],[Coordinate Projection System]])),MAX($B$1:B3732)+1,0)</f>
        <v>3732</v>
      </c>
      <c r="C3733" t="str">
        <f t="shared" si="58"/>
        <v>NAD83(2011) / WISCRS Trempealeau (ftUS)</v>
      </c>
    </row>
    <row r="3734" spans="1:3" x14ac:dyDescent="0.3">
      <c r="A3734" t="s">
        <v>3791</v>
      </c>
      <c r="B3734">
        <f>IF(ISNUMBER(SEARCH(Form!$C$11,Tabel2[[#This Row],[Coordinate Projection System]])),MAX($B$1:B3733)+1,0)</f>
        <v>3733</v>
      </c>
      <c r="C3734" t="str">
        <f t="shared" si="58"/>
        <v>NAD83(2011) / WISCRS Vernon (ftUS)</v>
      </c>
    </row>
    <row r="3735" spans="1:3" x14ac:dyDescent="0.3">
      <c r="A3735" t="s">
        <v>3792</v>
      </c>
      <c r="B3735">
        <f>IF(ISNUMBER(SEARCH(Form!$C$11,Tabel2[[#This Row],[Coordinate Projection System]])),MAX($B$1:B3734)+1,0)</f>
        <v>3734</v>
      </c>
      <c r="C3735" t="str">
        <f t="shared" si="58"/>
        <v>NAD83(2011) / WISCRS Vilas (ftUS)</v>
      </c>
    </row>
    <row r="3736" spans="1:3" x14ac:dyDescent="0.3">
      <c r="A3736" t="s">
        <v>3793</v>
      </c>
      <c r="B3736">
        <f>IF(ISNUMBER(SEARCH(Form!$C$11,Tabel2[[#This Row],[Coordinate Projection System]])),MAX($B$1:B3735)+1,0)</f>
        <v>3735</v>
      </c>
      <c r="C3736" t="str">
        <f t="shared" si="58"/>
        <v>NAD83(2011) / WISCRS Walworth (ftUS)</v>
      </c>
    </row>
    <row r="3737" spans="1:3" x14ac:dyDescent="0.3">
      <c r="A3737" t="s">
        <v>3794</v>
      </c>
      <c r="B3737">
        <f>IF(ISNUMBER(SEARCH(Form!$C$11,Tabel2[[#This Row],[Coordinate Projection System]])),MAX($B$1:B3736)+1,0)</f>
        <v>3736</v>
      </c>
      <c r="C3737" t="str">
        <f t="shared" si="58"/>
        <v>NAD83(2011) / WISCRS Washburn (ftUS)</v>
      </c>
    </row>
    <row r="3738" spans="1:3" x14ac:dyDescent="0.3">
      <c r="A3738" t="s">
        <v>3795</v>
      </c>
      <c r="B3738">
        <f>IF(ISNUMBER(SEARCH(Form!$C$11,Tabel2[[#This Row],[Coordinate Projection System]])),MAX($B$1:B3737)+1,0)</f>
        <v>3737</v>
      </c>
      <c r="C3738" t="str">
        <f t="shared" si="58"/>
        <v>NAD83(2011) / WISCRS Washington (ftUS)</v>
      </c>
    </row>
    <row r="3739" spans="1:3" x14ac:dyDescent="0.3">
      <c r="A3739" t="s">
        <v>3796</v>
      </c>
      <c r="B3739">
        <f>IF(ISNUMBER(SEARCH(Form!$C$11,Tabel2[[#This Row],[Coordinate Projection System]])),MAX($B$1:B3738)+1,0)</f>
        <v>3738</v>
      </c>
      <c r="C3739" t="str">
        <f t="shared" si="58"/>
        <v>NAD83(2011) / WISCRS Waukesha (ftUS)</v>
      </c>
    </row>
    <row r="3740" spans="1:3" x14ac:dyDescent="0.3">
      <c r="A3740" t="s">
        <v>3797</v>
      </c>
      <c r="B3740">
        <f>IF(ISNUMBER(SEARCH(Form!$C$11,Tabel2[[#This Row],[Coordinate Projection System]])),MAX($B$1:B3739)+1,0)</f>
        <v>3739</v>
      </c>
      <c r="C3740" t="str">
        <f t="shared" si="58"/>
        <v>NAD83(2011) / WISCRS Waupaca (ftUS)</v>
      </c>
    </row>
    <row r="3741" spans="1:3" x14ac:dyDescent="0.3">
      <c r="A3741" t="s">
        <v>3798</v>
      </c>
      <c r="B3741">
        <f>IF(ISNUMBER(SEARCH(Form!$C$11,Tabel2[[#This Row],[Coordinate Projection System]])),MAX($B$1:B3740)+1,0)</f>
        <v>3740</v>
      </c>
      <c r="C3741" t="str">
        <f t="shared" si="58"/>
        <v>NAD83(2011) / WISCRS Waushara (ftUS)</v>
      </c>
    </row>
    <row r="3742" spans="1:3" x14ac:dyDescent="0.3">
      <c r="A3742" t="s">
        <v>3799</v>
      </c>
      <c r="B3742">
        <f>IF(ISNUMBER(SEARCH(Form!$C$11,Tabel2[[#This Row],[Coordinate Projection System]])),MAX($B$1:B3741)+1,0)</f>
        <v>3741</v>
      </c>
      <c r="C3742" t="str">
        <f t="shared" si="58"/>
        <v>NAD83(2011) / WISCRS Wood (ftUS)</v>
      </c>
    </row>
    <row r="3743" spans="1:3" x14ac:dyDescent="0.3">
      <c r="A3743" t="s">
        <v>3800</v>
      </c>
      <c r="B3743">
        <f>IF(ISNUMBER(SEARCH(Form!$C$11,Tabel2[[#This Row],[Coordinate Projection System]])),MAX($B$1:B3742)+1,0)</f>
        <v>3742</v>
      </c>
      <c r="C3743" t="str">
        <f t="shared" si="58"/>
        <v>Kyrg-06 / zone 1</v>
      </c>
    </row>
    <row r="3744" spans="1:3" x14ac:dyDescent="0.3">
      <c r="A3744" t="s">
        <v>3801</v>
      </c>
      <c r="B3744">
        <f>IF(ISNUMBER(SEARCH(Form!$C$11,Tabel2[[#This Row],[Coordinate Projection System]])),MAX($B$1:B3743)+1,0)</f>
        <v>3743</v>
      </c>
      <c r="C3744" t="str">
        <f t="shared" si="58"/>
        <v>Kyrg-06 / zone 2</v>
      </c>
    </row>
    <row r="3745" spans="1:3" x14ac:dyDescent="0.3">
      <c r="A3745" t="s">
        <v>3802</v>
      </c>
      <c r="B3745">
        <f>IF(ISNUMBER(SEARCH(Form!$C$11,Tabel2[[#This Row],[Coordinate Projection System]])),MAX($B$1:B3744)+1,0)</f>
        <v>3744</v>
      </c>
      <c r="C3745" t="str">
        <f t="shared" si="58"/>
        <v>Kyrg-06 / zone 3</v>
      </c>
    </row>
    <row r="3746" spans="1:3" x14ac:dyDescent="0.3">
      <c r="A3746" t="s">
        <v>3803</v>
      </c>
      <c r="B3746">
        <f>IF(ISNUMBER(SEARCH(Form!$C$11,Tabel2[[#This Row],[Coordinate Projection System]])),MAX($B$1:B3745)+1,0)</f>
        <v>3745</v>
      </c>
      <c r="C3746" t="str">
        <f t="shared" si="58"/>
        <v>Kyrg-06 / zone 4</v>
      </c>
    </row>
    <row r="3747" spans="1:3" x14ac:dyDescent="0.3">
      <c r="A3747" t="s">
        <v>3804</v>
      </c>
      <c r="B3747">
        <f>IF(ISNUMBER(SEARCH(Form!$C$11,Tabel2[[#This Row],[Coordinate Projection System]])),MAX($B$1:B3746)+1,0)</f>
        <v>3746</v>
      </c>
      <c r="C3747" t="str">
        <f t="shared" si="58"/>
        <v>Kyrg-06 / zone 5</v>
      </c>
    </row>
    <row r="3748" spans="1:3" x14ac:dyDescent="0.3">
      <c r="A3748" t="s">
        <v>3805</v>
      </c>
      <c r="B3748">
        <f>IF(ISNUMBER(SEARCH(Form!$C$11,Tabel2[[#This Row],[Coordinate Projection System]])),MAX($B$1:B3747)+1,0)</f>
        <v>3747</v>
      </c>
      <c r="C3748" t="str">
        <f t="shared" si="58"/>
        <v>Pulkovo 1995 / Gauss-Kruger zone 4</v>
      </c>
    </row>
    <row r="3749" spans="1:3" x14ac:dyDescent="0.3">
      <c r="A3749" t="s">
        <v>3806</v>
      </c>
      <c r="B3749">
        <f>IF(ISNUMBER(SEARCH(Form!$C$11,Tabel2[[#This Row],[Coordinate Projection System]])),MAX($B$1:B3748)+1,0)</f>
        <v>3748</v>
      </c>
      <c r="C3749" t="str">
        <f t="shared" si="58"/>
        <v>Pulkovo 1995 / Gauss-Kruger zone 5</v>
      </c>
    </row>
    <row r="3750" spans="1:3" x14ac:dyDescent="0.3">
      <c r="A3750" t="s">
        <v>3807</v>
      </c>
      <c r="B3750">
        <f>IF(ISNUMBER(SEARCH(Form!$C$11,Tabel2[[#This Row],[Coordinate Projection System]])),MAX($B$1:B3749)+1,0)</f>
        <v>3749</v>
      </c>
      <c r="C3750" t="str">
        <f t="shared" si="58"/>
        <v>Pulkovo 1995 / Gauss-Kruger zone 6</v>
      </c>
    </row>
    <row r="3751" spans="1:3" x14ac:dyDescent="0.3">
      <c r="A3751" t="s">
        <v>3808</v>
      </c>
      <c r="B3751">
        <f>IF(ISNUMBER(SEARCH(Form!$C$11,Tabel2[[#This Row],[Coordinate Projection System]])),MAX($B$1:B3750)+1,0)</f>
        <v>3750</v>
      </c>
      <c r="C3751" t="str">
        <f t="shared" si="58"/>
        <v>Pulkovo 1995 / Gauss-Kruger zone 7</v>
      </c>
    </row>
    <row r="3752" spans="1:3" x14ac:dyDescent="0.3">
      <c r="A3752" t="s">
        <v>3809</v>
      </c>
      <c r="B3752">
        <f>IF(ISNUMBER(SEARCH(Form!$C$11,Tabel2[[#This Row],[Coordinate Projection System]])),MAX($B$1:B3751)+1,0)</f>
        <v>3751</v>
      </c>
      <c r="C3752" t="str">
        <f t="shared" si="58"/>
        <v>Pulkovo 1995 / Gauss-Kruger zone 8</v>
      </c>
    </row>
    <row r="3753" spans="1:3" x14ac:dyDescent="0.3">
      <c r="A3753" t="s">
        <v>3810</v>
      </c>
      <c r="B3753">
        <f>IF(ISNUMBER(SEARCH(Form!$C$11,Tabel2[[#This Row],[Coordinate Projection System]])),MAX($B$1:B3752)+1,0)</f>
        <v>3752</v>
      </c>
      <c r="C3753" t="str">
        <f t="shared" si="58"/>
        <v>Pulkovo 1995 / Gauss-Kruger zone 9</v>
      </c>
    </row>
    <row r="3754" spans="1:3" x14ac:dyDescent="0.3">
      <c r="A3754" t="s">
        <v>3811</v>
      </c>
      <c r="B3754">
        <f>IF(ISNUMBER(SEARCH(Form!$C$11,Tabel2[[#This Row],[Coordinate Projection System]])),MAX($B$1:B3753)+1,0)</f>
        <v>3753</v>
      </c>
      <c r="C3754" t="str">
        <f t="shared" si="58"/>
        <v>Pulkovo 1995 / Gauss-Kruger zone 10</v>
      </c>
    </row>
    <row r="3755" spans="1:3" x14ac:dyDescent="0.3">
      <c r="A3755" t="s">
        <v>3812</v>
      </c>
      <c r="B3755">
        <f>IF(ISNUMBER(SEARCH(Form!$C$11,Tabel2[[#This Row],[Coordinate Projection System]])),MAX($B$1:B3754)+1,0)</f>
        <v>3754</v>
      </c>
      <c r="C3755" t="str">
        <f t="shared" si="58"/>
        <v>Pulkovo 1995 / Gauss-Kruger zone 11</v>
      </c>
    </row>
    <row r="3756" spans="1:3" x14ac:dyDescent="0.3">
      <c r="A3756" t="s">
        <v>3813</v>
      </c>
      <c r="B3756">
        <f>IF(ISNUMBER(SEARCH(Form!$C$11,Tabel2[[#This Row],[Coordinate Projection System]])),MAX($B$1:B3755)+1,0)</f>
        <v>3755</v>
      </c>
      <c r="C3756" t="str">
        <f t="shared" si="58"/>
        <v>Pulkovo 1995 / Gauss-Kruger zone 12</v>
      </c>
    </row>
    <row r="3757" spans="1:3" x14ac:dyDescent="0.3">
      <c r="A3757" t="s">
        <v>3814</v>
      </c>
      <c r="B3757">
        <f>IF(ISNUMBER(SEARCH(Form!$C$11,Tabel2[[#This Row],[Coordinate Projection System]])),MAX($B$1:B3756)+1,0)</f>
        <v>3756</v>
      </c>
      <c r="C3757" t="str">
        <f t="shared" si="58"/>
        <v>Pulkovo 1995 / Gauss-Kruger zone 13</v>
      </c>
    </row>
    <row r="3758" spans="1:3" x14ac:dyDescent="0.3">
      <c r="A3758" t="s">
        <v>3815</v>
      </c>
      <c r="B3758">
        <f>IF(ISNUMBER(SEARCH(Form!$C$11,Tabel2[[#This Row],[Coordinate Projection System]])),MAX($B$1:B3757)+1,0)</f>
        <v>3757</v>
      </c>
      <c r="C3758" t="str">
        <f t="shared" si="58"/>
        <v>Pulkovo 1995 / Gauss-Kruger zone 14</v>
      </c>
    </row>
    <row r="3759" spans="1:3" x14ac:dyDescent="0.3">
      <c r="A3759" t="s">
        <v>3816</v>
      </c>
      <c r="B3759">
        <f>IF(ISNUMBER(SEARCH(Form!$C$11,Tabel2[[#This Row],[Coordinate Projection System]])),MAX($B$1:B3758)+1,0)</f>
        <v>3758</v>
      </c>
      <c r="C3759" t="str">
        <f t="shared" si="58"/>
        <v>Pulkovo 1995 / Gauss-Kruger zone 15</v>
      </c>
    </row>
    <row r="3760" spans="1:3" x14ac:dyDescent="0.3">
      <c r="A3760" t="s">
        <v>3817</v>
      </c>
      <c r="B3760">
        <f>IF(ISNUMBER(SEARCH(Form!$C$11,Tabel2[[#This Row],[Coordinate Projection System]])),MAX($B$1:B3759)+1,0)</f>
        <v>3759</v>
      </c>
      <c r="C3760" t="str">
        <f t="shared" si="58"/>
        <v>Pulkovo 1995 / Gauss-Kruger zone 16</v>
      </c>
    </row>
    <row r="3761" spans="1:3" x14ac:dyDescent="0.3">
      <c r="A3761" t="s">
        <v>3818</v>
      </c>
      <c r="B3761">
        <f>IF(ISNUMBER(SEARCH(Form!$C$11,Tabel2[[#This Row],[Coordinate Projection System]])),MAX($B$1:B3760)+1,0)</f>
        <v>3760</v>
      </c>
      <c r="C3761" t="str">
        <f t="shared" si="58"/>
        <v>Pulkovo 1995 / Gauss-Kruger zone 17</v>
      </c>
    </row>
    <row r="3762" spans="1:3" x14ac:dyDescent="0.3">
      <c r="A3762" t="s">
        <v>3819</v>
      </c>
      <c r="B3762">
        <f>IF(ISNUMBER(SEARCH(Form!$C$11,Tabel2[[#This Row],[Coordinate Projection System]])),MAX($B$1:B3761)+1,0)</f>
        <v>3761</v>
      </c>
      <c r="C3762" t="str">
        <f t="shared" si="58"/>
        <v>Pulkovo 1995 / Gauss-Kruger zone 18</v>
      </c>
    </row>
    <row r="3763" spans="1:3" x14ac:dyDescent="0.3">
      <c r="A3763" t="s">
        <v>3820</v>
      </c>
      <c r="B3763">
        <f>IF(ISNUMBER(SEARCH(Form!$C$11,Tabel2[[#This Row],[Coordinate Projection System]])),MAX($B$1:B3762)+1,0)</f>
        <v>3762</v>
      </c>
      <c r="C3763" t="str">
        <f t="shared" si="58"/>
        <v>Pulkovo 1995 / Gauss-Kruger zone 19</v>
      </c>
    </row>
    <row r="3764" spans="1:3" x14ac:dyDescent="0.3">
      <c r="A3764" t="s">
        <v>3821</v>
      </c>
      <c r="B3764">
        <f>IF(ISNUMBER(SEARCH(Form!$C$11,Tabel2[[#This Row],[Coordinate Projection System]])),MAX($B$1:B3763)+1,0)</f>
        <v>3763</v>
      </c>
      <c r="C3764" t="str">
        <f t="shared" si="58"/>
        <v>Pulkovo 1995 / Gauss-Kruger zone 20</v>
      </c>
    </row>
    <row r="3765" spans="1:3" x14ac:dyDescent="0.3">
      <c r="A3765" t="s">
        <v>3822</v>
      </c>
      <c r="B3765">
        <f>IF(ISNUMBER(SEARCH(Form!$C$11,Tabel2[[#This Row],[Coordinate Projection System]])),MAX($B$1:B3764)+1,0)</f>
        <v>3764</v>
      </c>
      <c r="C3765" t="str">
        <f t="shared" si="58"/>
        <v>Pulkovo 1995 / Gauss-Kruger zone 21</v>
      </c>
    </row>
    <row r="3766" spans="1:3" x14ac:dyDescent="0.3">
      <c r="A3766" t="s">
        <v>3823</v>
      </c>
      <c r="B3766">
        <f>IF(ISNUMBER(SEARCH(Form!$C$11,Tabel2[[#This Row],[Coordinate Projection System]])),MAX($B$1:B3765)+1,0)</f>
        <v>3765</v>
      </c>
      <c r="C3766" t="str">
        <f t="shared" si="58"/>
        <v>Pulkovo 1995 / Gauss-Kruger zone 22</v>
      </c>
    </row>
    <row r="3767" spans="1:3" x14ac:dyDescent="0.3">
      <c r="A3767" t="s">
        <v>3824</v>
      </c>
      <c r="B3767">
        <f>IF(ISNUMBER(SEARCH(Form!$C$11,Tabel2[[#This Row],[Coordinate Projection System]])),MAX($B$1:B3766)+1,0)</f>
        <v>3766</v>
      </c>
      <c r="C3767" t="str">
        <f t="shared" si="58"/>
        <v>Pulkovo 1995 / Gauss-Kruger zone 23</v>
      </c>
    </row>
    <row r="3768" spans="1:3" x14ac:dyDescent="0.3">
      <c r="A3768" t="s">
        <v>3825</v>
      </c>
      <c r="B3768">
        <f>IF(ISNUMBER(SEARCH(Form!$C$11,Tabel2[[#This Row],[Coordinate Projection System]])),MAX($B$1:B3767)+1,0)</f>
        <v>3767</v>
      </c>
      <c r="C3768" t="str">
        <f t="shared" si="58"/>
        <v>Pulkovo 1995 / Gauss-Kruger zone 24</v>
      </c>
    </row>
    <row r="3769" spans="1:3" x14ac:dyDescent="0.3">
      <c r="A3769" t="s">
        <v>3826</v>
      </c>
      <c r="B3769">
        <f>IF(ISNUMBER(SEARCH(Form!$C$11,Tabel2[[#This Row],[Coordinate Projection System]])),MAX($B$1:B3768)+1,0)</f>
        <v>3768</v>
      </c>
      <c r="C3769" t="str">
        <f t="shared" si="58"/>
        <v>Pulkovo 1995 / Gauss-Kruger zone 25</v>
      </c>
    </row>
    <row r="3770" spans="1:3" x14ac:dyDescent="0.3">
      <c r="A3770" t="s">
        <v>3827</v>
      </c>
      <c r="B3770">
        <f>IF(ISNUMBER(SEARCH(Form!$C$11,Tabel2[[#This Row],[Coordinate Projection System]])),MAX($B$1:B3769)+1,0)</f>
        <v>3769</v>
      </c>
      <c r="C3770" t="str">
        <f t="shared" si="58"/>
        <v>Pulkovo 1995 / Gauss-Kruger zone 26</v>
      </c>
    </row>
    <row r="3771" spans="1:3" x14ac:dyDescent="0.3">
      <c r="A3771" t="s">
        <v>3828</v>
      </c>
      <c r="B3771">
        <f>IF(ISNUMBER(SEARCH(Form!$C$11,Tabel2[[#This Row],[Coordinate Projection System]])),MAX($B$1:B3770)+1,0)</f>
        <v>3770</v>
      </c>
      <c r="C3771" t="str">
        <f t="shared" si="58"/>
        <v>Pulkovo 1995 / Gauss-Kruger zone 27</v>
      </c>
    </row>
    <row r="3772" spans="1:3" x14ac:dyDescent="0.3">
      <c r="A3772" t="s">
        <v>3829</v>
      </c>
      <c r="B3772">
        <f>IF(ISNUMBER(SEARCH(Form!$C$11,Tabel2[[#This Row],[Coordinate Projection System]])),MAX($B$1:B3771)+1,0)</f>
        <v>3771</v>
      </c>
      <c r="C3772" t="str">
        <f t="shared" si="58"/>
        <v>Pulkovo 1995 / Gauss-Kruger zone 28</v>
      </c>
    </row>
    <row r="3773" spans="1:3" x14ac:dyDescent="0.3">
      <c r="A3773" t="s">
        <v>3830</v>
      </c>
      <c r="B3773">
        <f>IF(ISNUMBER(SEARCH(Form!$C$11,Tabel2[[#This Row],[Coordinate Projection System]])),MAX($B$1:B3772)+1,0)</f>
        <v>3772</v>
      </c>
      <c r="C3773" t="str">
        <f t="shared" si="58"/>
        <v>Pulkovo 1995 / Gauss-Kruger zone 29</v>
      </c>
    </row>
    <row r="3774" spans="1:3" x14ac:dyDescent="0.3">
      <c r="A3774" t="s">
        <v>3831</v>
      </c>
      <c r="B3774">
        <f>IF(ISNUMBER(SEARCH(Form!$C$11,Tabel2[[#This Row],[Coordinate Projection System]])),MAX($B$1:B3773)+1,0)</f>
        <v>3773</v>
      </c>
      <c r="C3774" t="str">
        <f t="shared" si="58"/>
        <v>Pulkovo 1995 / Gauss-Kruger zone 30</v>
      </c>
    </row>
    <row r="3775" spans="1:3" x14ac:dyDescent="0.3">
      <c r="A3775" t="s">
        <v>3832</v>
      </c>
      <c r="B3775">
        <f>IF(ISNUMBER(SEARCH(Form!$C$11,Tabel2[[#This Row],[Coordinate Projection System]])),MAX($B$1:B3774)+1,0)</f>
        <v>3774</v>
      </c>
      <c r="C3775" t="str">
        <f t="shared" si="58"/>
        <v>Pulkovo 1995 / Gauss-Kruger zone 31</v>
      </c>
    </row>
    <row r="3776" spans="1:3" x14ac:dyDescent="0.3">
      <c r="A3776" t="s">
        <v>3833</v>
      </c>
      <c r="B3776">
        <f>IF(ISNUMBER(SEARCH(Form!$C$11,Tabel2[[#This Row],[Coordinate Projection System]])),MAX($B$1:B3775)+1,0)</f>
        <v>3775</v>
      </c>
      <c r="C3776" t="str">
        <f t="shared" si="58"/>
        <v>Pulkovo 1995 / Gauss-Kruger zone 32</v>
      </c>
    </row>
    <row r="3777" spans="1:3" x14ac:dyDescent="0.3">
      <c r="A3777" t="s">
        <v>3834</v>
      </c>
      <c r="B3777">
        <f>IF(ISNUMBER(SEARCH(Form!$C$11,Tabel2[[#This Row],[Coordinate Projection System]])),MAX($B$1:B3776)+1,0)</f>
        <v>3776</v>
      </c>
      <c r="C3777" t="str">
        <f t="shared" si="58"/>
        <v>Pulkovo 1995 / Gauss-Kruger 4N (deprecated)</v>
      </c>
    </row>
    <row r="3778" spans="1:3" x14ac:dyDescent="0.3">
      <c r="A3778" t="s">
        <v>3835</v>
      </c>
      <c r="B3778">
        <f>IF(ISNUMBER(SEARCH(Form!$C$11,Tabel2[[#This Row],[Coordinate Projection System]])),MAX($B$1:B3777)+1,0)</f>
        <v>3777</v>
      </c>
      <c r="C3778" t="str">
        <f t="shared" si="58"/>
        <v>Pulkovo 1995 / Gauss-Kruger 5N (deprecated)</v>
      </c>
    </row>
    <row r="3779" spans="1:3" x14ac:dyDescent="0.3">
      <c r="A3779" t="s">
        <v>3836</v>
      </c>
      <c r="B3779">
        <f>IF(ISNUMBER(SEARCH(Form!$C$11,Tabel2[[#This Row],[Coordinate Projection System]])),MAX($B$1:B3778)+1,0)</f>
        <v>3778</v>
      </c>
      <c r="C3779" t="str">
        <f t="shared" ref="C3779:C3842" si="59">_xlfn.IFNA(INDEX(A3779:A9290,MATCH(ROW(C3778),B3779:B9290,0)),"")</f>
        <v>Pulkovo 1995 / Gauss-Kruger 6N (deprecated)</v>
      </c>
    </row>
    <row r="3780" spans="1:3" x14ac:dyDescent="0.3">
      <c r="A3780" t="s">
        <v>3837</v>
      </c>
      <c r="B3780">
        <f>IF(ISNUMBER(SEARCH(Form!$C$11,Tabel2[[#This Row],[Coordinate Projection System]])),MAX($B$1:B3779)+1,0)</f>
        <v>3779</v>
      </c>
      <c r="C3780" t="str">
        <f t="shared" si="59"/>
        <v>Pulkovo 1995 / Gauss-Kruger 7N (deprecated)</v>
      </c>
    </row>
    <row r="3781" spans="1:3" x14ac:dyDescent="0.3">
      <c r="A3781" t="s">
        <v>3838</v>
      </c>
      <c r="B3781">
        <f>IF(ISNUMBER(SEARCH(Form!$C$11,Tabel2[[#This Row],[Coordinate Projection System]])),MAX($B$1:B3780)+1,0)</f>
        <v>3780</v>
      </c>
      <c r="C3781" t="str">
        <f t="shared" si="59"/>
        <v>Pulkovo 1995 / Gauss-Kruger 8N (deprecated)</v>
      </c>
    </row>
    <row r="3782" spans="1:3" x14ac:dyDescent="0.3">
      <c r="A3782" t="s">
        <v>3839</v>
      </c>
      <c r="B3782">
        <f>IF(ISNUMBER(SEARCH(Form!$C$11,Tabel2[[#This Row],[Coordinate Projection System]])),MAX($B$1:B3781)+1,0)</f>
        <v>3781</v>
      </c>
      <c r="C3782" t="str">
        <f t="shared" si="59"/>
        <v>Pulkovo 1995 / Gauss-Kruger 9N (deprecated)</v>
      </c>
    </row>
    <row r="3783" spans="1:3" x14ac:dyDescent="0.3">
      <c r="A3783" t="s">
        <v>3840</v>
      </c>
      <c r="B3783">
        <f>IF(ISNUMBER(SEARCH(Form!$C$11,Tabel2[[#This Row],[Coordinate Projection System]])),MAX($B$1:B3782)+1,0)</f>
        <v>3782</v>
      </c>
      <c r="C3783" t="str">
        <f t="shared" si="59"/>
        <v>Pulkovo 1995 / Gauss-Kruger 10N (deprecated)</v>
      </c>
    </row>
    <row r="3784" spans="1:3" x14ac:dyDescent="0.3">
      <c r="A3784" t="s">
        <v>3841</v>
      </c>
      <c r="B3784">
        <f>IF(ISNUMBER(SEARCH(Form!$C$11,Tabel2[[#This Row],[Coordinate Projection System]])),MAX($B$1:B3783)+1,0)</f>
        <v>3783</v>
      </c>
      <c r="C3784" t="str">
        <f t="shared" si="59"/>
        <v>Pulkovo 1995 / Gauss-Kruger 11N (deprecated)</v>
      </c>
    </row>
    <row r="3785" spans="1:3" x14ac:dyDescent="0.3">
      <c r="A3785" t="s">
        <v>3842</v>
      </c>
      <c r="B3785">
        <f>IF(ISNUMBER(SEARCH(Form!$C$11,Tabel2[[#This Row],[Coordinate Projection System]])),MAX($B$1:B3784)+1,0)</f>
        <v>3784</v>
      </c>
      <c r="C3785" t="str">
        <f t="shared" si="59"/>
        <v>Pulkovo 1995 / Gauss-Kruger 12N (deprecated)</v>
      </c>
    </row>
    <row r="3786" spans="1:3" x14ac:dyDescent="0.3">
      <c r="A3786" t="s">
        <v>3843</v>
      </c>
      <c r="B3786">
        <f>IF(ISNUMBER(SEARCH(Form!$C$11,Tabel2[[#This Row],[Coordinate Projection System]])),MAX($B$1:B3785)+1,0)</f>
        <v>3785</v>
      </c>
      <c r="C3786" t="str">
        <f t="shared" si="59"/>
        <v>Pulkovo 1995 / Gauss-Kruger 13N (deprecated)</v>
      </c>
    </row>
    <row r="3787" spans="1:3" x14ac:dyDescent="0.3">
      <c r="A3787" t="s">
        <v>3844</v>
      </c>
      <c r="B3787">
        <f>IF(ISNUMBER(SEARCH(Form!$C$11,Tabel2[[#This Row],[Coordinate Projection System]])),MAX($B$1:B3786)+1,0)</f>
        <v>3786</v>
      </c>
      <c r="C3787" t="str">
        <f t="shared" si="59"/>
        <v>Pulkovo 1995 / Gauss-Kruger 14N (deprecated)</v>
      </c>
    </row>
    <row r="3788" spans="1:3" x14ac:dyDescent="0.3">
      <c r="A3788" t="s">
        <v>3845</v>
      </c>
      <c r="B3788">
        <f>IF(ISNUMBER(SEARCH(Form!$C$11,Tabel2[[#This Row],[Coordinate Projection System]])),MAX($B$1:B3787)+1,0)</f>
        <v>3787</v>
      </c>
      <c r="C3788" t="str">
        <f t="shared" si="59"/>
        <v>Pulkovo 1995 / Gauss-Kruger 15N (deprecated)</v>
      </c>
    </row>
    <row r="3789" spans="1:3" x14ac:dyDescent="0.3">
      <c r="A3789" t="s">
        <v>3846</v>
      </c>
      <c r="B3789">
        <f>IF(ISNUMBER(SEARCH(Form!$C$11,Tabel2[[#This Row],[Coordinate Projection System]])),MAX($B$1:B3788)+1,0)</f>
        <v>3788</v>
      </c>
      <c r="C3789" t="str">
        <f t="shared" si="59"/>
        <v>Pulkovo 1995 / Gauss-Kruger 16N (deprecated)</v>
      </c>
    </row>
    <row r="3790" spans="1:3" x14ac:dyDescent="0.3">
      <c r="A3790" t="s">
        <v>3847</v>
      </c>
      <c r="B3790">
        <f>IF(ISNUMBER(SEARCH(Form!$C$11,Tabel2[[#This Row],[Coordinate Projection System]])),MAX($B$1:B3789)+1,0)</f>
        <v>3789</v>
      </c>
      <c r="C3790" t="str">
        <f t="shared" si="59"/>
        <v>Pulkovo 1995 / Gauss-Kruger 17N (deprecated)</v>
      </c>
    </row>
    <row r="3791" spans="1:3" x14ac:dyDescent="0.3">
      <c r="A3791" t="s">
        <v>3848</v>
      </c>
      <c r="B3791">
        <f>IF(ISNUMBER(SEARCH(Form!$C$11,Tabel2[[#This Row],[Coordinate Projection System]])),MAX($B$1:B3790)+1,0)</f>
        <v>3790</v>
      </c>
      <c r="C3791" t="str">
        <f t="shared" si="59"/>
        <v>Pulkovo 1995 / Gauss-Kruger 18N (deprecated)</v>
      </c>
    </row>
    <row r="3792" spans="1:3" x14ac:dyDescent="0.3">
      <c r="A3792" t="s">
        <v>3849</v>
      </c>
      <c r="B3792">
        <f>IF(ISNUMBER(SEARCH(Form!$C$11,Tabel2[[#This Row],[Coordinate Projection System]])),MAX($B$1:B3791)+1,0)</f>
        <v>3791</v>
      </c>
      <c r="C3792" t="str">
        <f t="shared" si="59"/>
        <v>Pulkovo 1995 / Gauss-Kruger 19N (deprecated)</v>
      </c>
    </row>
    <row r="3793" spans="1:3" x14ac:dyDescent="0.3">
      <c r="A3793" t="s">
        <v>3850</v>
      </c>
      <c r="B3793">
        <f>IF(ISNUMBER(SEARCH(Form!$C$11,Tabel2[[#This Row],[Coordinate Projection System]])),MAX($B$1:B3792)+1,0)</f>
        <v>3792</v>
      </c>
      <c r="C3793" t="str">
        <f t="shared" si="59"/>
        <v>Pulkovo 1995 / Gauss-Kruger 20N (deprecated)</v>
      </c>
    </row>
    <row r="3794" spans="1:3" x14ac:dyDescent="0.3">
      <c r="A3794" t="s">
        <v>3851</v>
      </c>
      <c r="B3794">
        <f>IF(ISNUMBER(SEARCH(Form!$C$11,Tabel2[[#This Row],[Coordinate Projection System]])),MAX($B$1:B3793)+1,0)</f>
        <v>3793</v>
      </c>
      <c r="C3794" t="str">
        <f t="shared" si="59"/>
        <v>Pulkovo 1995 / Gauss-Kruger 21N (deprecated)</v>
      </c>
    </row>
    <row r="3795" spans="1:3" x14ac:dyDescent="0.3">
      <c r="A3795" t="s">
        <v>3852</v>
      </c>
      <c r="B3795">
        <f>IF(ISNUMBER(SEARCH(Form!$C$11,Tabel2[[#This Row],[Coordinate Projection System]])),MAX($B$1:B3794)+1,0)</f>
        <v>3794</v>
      </c>
      <c r="C3795" t="str">
        <f t="shared" si="59"/>
        <v>Pulkovo 1995 / Gauss-Kruger 22N (deprecated)</v>
      </c>
    </row>
    <row r="3796" spans="1:3" x14ac:dyDescent="0.3">
      <c r="A3796" t="s">
        <v>3853</v>
      </c>
      <c r="B3796">
        <f>IF(ISNUMBER(SEARCH(Form!$C$11,Tabel2[[#This Row],[Coordinate Projection System]])),MAX($B$1:B3795)+1,0)</f>
        <v>3795</v>
      </c>
      <c r="C3796" t="str">
        <f t="shared" si="59"/>
        <v>Pulkovo 1995 / Gauss-Kruger 23N (deprecated)</v>
      </c>
    </row>
    <row r="3797" spans="1:3" x14ac:dyDescent="0.3">
      <c r="A3797" t="s">
        <v>3854</v>
      </c>
      <c r="B3797">
        <f>IF(ISNUMBER(SEARCH(Form!$C$11,Tabel2[[#This Row],[Coordinate Projection System]])),MAX($B$1:B3796)+1,0)</f>
        <v>3796</v>
      </c>
      <c r="C3797" t="str">
        <f t="shared" si="59"/>
        <v>Pulkovo 1995 / Gauss-Kruger 24N (deprecated)</v>
      </c>
    </row>
    <row r="3798" spans="1:3" x14ac:dyDescent="0.3">
      <c r="A3798" t="s">
        <v>3855</v>
      </c>
      <c r="B3798">
        <f>IF(ISNUMBER(SEARCH(Form!$C$11,Tabel2[[#This Row],[Coordinate Projection System]])),MAX($B$1:B3797)+1,0)</f>
        <v>3797</v>
      </c>
      <c r="C3798" t="str">
        <f t="shared" si="59"/>
        <v>Pulkovo 1995 / Gauss-Kruger 25N (deprecated)</v>
      </c>
    </row>
    <row r="3799" spans="1:3" x14ac:dyDescent="0.3">
      <c r="A3799" t="s">
        <v>3856</v>
      </c>
      <c r="B3799">
        <f>IF(ISNUMBER(SEARCH(Form!$C$11,Tabel2[[#This Row],[Coordinate Projection System]])),MAX($B$1:B3798)+1,0)</f>
        <v>3798</v>
      </c>
      <c r="C3799" t="str">
        <f t="shared" si="59"/>
        <v>Pulkovo 1995 / Gauss-Kruger 26N (deprecated)</v>
      </c>
    </row>
    <row r="3800" spans="1:3" x14ac:dyDescent="0.3">
      <c r="A3800" t="s">
        <v>3857</v>
      </c>
      <c r="B3800">
        <f>IF(ISNUMBER(SEARCH(Form!$C$11,Tabel2[[#This Row],[Coordinate Projection System]])),MAX($B$1:B3799)+1,0)</f>
        <v>3799</v>
      </c>
      <c r="C3800" t="str">
        <f t="shared" si="59"/>
        <v>Pulkovo 1995 / Gauss-Kruger 27N (deprecated)</v>
      </c>
    </row>
    <row r="3801" spans="1:3" x14ac:dyDescent="0.3">
      <c r="A3801" t="s">
        <v>3858</v>
      </c>
      <c r="B3801">
        <f>IF(ISNUMBER(SEARCH(Form!$C$11,Tabel2[[#This Row],[Coordinate Projection System]])),MAX($B$1:B3800)+1,0)</f>
        <v>3800</v>
      </c>
      <c r="C3801" t="str">
        <f t="shared" si="59"/>
        <v>Pulkovo 1995 / Gauss-Kruger 28N (deprecated)</v>
      </c>
    </row>
    <row r="3802" spans="1:3" x14ac:dyDescent="0.3">
      <c r="A3802" t="s">
        <v>3859</v>
      </c>
      <c r="B3802">
        <f>IF(ISNUMBER(SEARCH(Form!$C$11,Tabel2[[#This Row],[Coordinate Projection System]])),MAX($B$1:B3801)+1,0)</f>
        <v>3801</v>
      </c>
      <c r="C3802" t="str">
        <f t="shared" si="59"/>
        <v>Pulkovo 1995 / Gauss-Kruger 29N (deprecated)</v>
      </c>
    </row>
    <row r="3803" spans="1:3" x14ac:dyDescent="0.3">
      <c r="A3803" t="s">
        <v>3860</v>
      </c>
      <c r="B3803">
        <f>IF(ISNUMBER(SEARCH(Form!$C$11,Tabel2[[#This Row],[Coordinate Projection System]])),MAX($B$1:B3802)+1,0)</f>
        <v>3802</v>
      </c>
      <c r="C3803" t="str">
        <f t="shared" si="59"/>
        <v>Pulkovo 1995 / Gauss-Kruger 30N (deprecated)</v>
      </c>
    </row>
    <row r="3804" spans="1:3" x14ac:dyDescent="0.3">
      <c r="A3804" t="s">
        <v>3861</v>
      </c>
      <c r="B3804">
        <f>IF(ISNUMBER(SEARCH(Form!$C$11,Tabel2[[#This Row],[Coordinate Projection System]])),MAX($B$1:B3803)+1,0)</f>
        <v>3803</v>
      </c>
      <c r="C3804" t="str">
        <f t="shared" si="59"/>
        <v>Pulkovo 1995 / Gauss-Kruger 31N (deprecated)</v>
      </c>
    </row>
    <row r="3805" spans="1:3" x14ac:dyDescent="0.3">
      <c r="A3805" t="s">
        <v>3862</v>
      </c>
      <c r="B3805">
        <f>IF(ISNUMBER(SEARCH(Form!$C$11,Tabel2[[#This Row],[Coordinate Projection System]])),MAX($B$1:B3804)+1,0)</f>
        <v>3804</v>
      </c>
      <c r="C3805" t="str">
        <f t="shared" si="59"/>
        <v>Pulkovo 1995 / Gauss-Kruger 32N (deprecated)</v>
      </c>
    </row>
    <row r="3806" spans="1:3" x14ac:dyDescent="0.3">
      <c r="A3806" t="s">
        <v>3863</v>
      </c>
      <c r="B3806">
        <f>IF(ISNUMBER(SEARCH(Form!$C$11,Tabel2[[#This Row],[Coordinate Projection System]])),MAX($B$1:B3805)+1,0)</f>
        <v>3805</v>
      </c>
      <c r="C3806" t="str">
        <f t="shared" si="59"/>
        <v>Adindan / UTM zone 35N</v>
      </c>
    </row>
    <row r="3807" spans="1:3" x14ac:dyDescent="0.3">
      <c r="A3807" t="s">
        <v>3864</v>
      </c>
      <c r="B3807">
        <f>IF(ISNUMBER(SEARCH(Form!$C$11,Tabel2[[#This Row],[Coordinate Projection System]])),MAX($B$1:B3806)+1,0)</f>
        <v>3806</v>
      </c>
      <c r="C3807" t="str">
        <f t="shared" si="59"/>
        <v>Adindan / UTM zone 36N</v>
      </c>
    </row>
    <row r="3808" spans="1:3" x14ac:dyDescent="0.3">
      <c r="A3808" t="s">
        <v>3865</v>
      </c>
      <c r="B3808">
        <f>IF(ISNUMBER(SEARCH(Form!$C$11,Tabel2[[#This Row],[Coordinate Projection System]])),MAX($B$1:B3807)+1,0)</f>
        <v>3807</v>
      </c>
      <c r="C3808" t="str">
        <f t="shared" si="59"/>
        <v>Adindan / UTM zone 37N</v>
      </c>
    </row>
    <row r="3809" spans="1:3" x14ac:dyDescent="0.3">
      <c r="A3809" t="s">
        <v>3866</v>
      </c>
      <c r="B3809">
        <f>IF(ISNUMBER(SEARCH(Form!$C$11,Tabel2[[#This Row],[Coordinate Projection System]])),MAX($B$1:B3808)+1,0)</f>
        <v>3808</v>
      </c>
      <c r="C3809" t="str">
        <f t="shared" si="59"/>
        <v>Adindan / UTM zone 38N</v>
      </c>
    </row>
    <row r="3810" spans="1:3" x14ac:dyDescent="0.3">
      <c r="A3810" t="s">
        <v>3867</v>
      </c>
      <c r="B3810">
        <f>IF(ISNUMBER(SEARCH(Form!$C$11,Tabel2[[#This Row],[Coordinate Projection System]])),MAX($B$1:B3809)+1,0)</f>
        <v>3809</v>
      </c>
      <c r="C3810" t="str">
        <f t="shared" si="59"/>
        <v>AGD66 / AMG zone 48 (deprecated)</v>
      </c>
    </row>
    <row r="3811" spans="1:3" x14ac:dyDescent="0.3">
      <c r="A3811" t="s">
        <v>3868</v>
      </c>
      <c r="B3811">
        <f>IF(ISNUMBER(SEARCH(Form!$C$11,Tabel2[[#This Row],[Coordinate Projection System]])),MAX($B$1:B3810)+1,0)</f>
        <v>3810</v>
      </c>
      <c r="C3811" t="str">
        <f t="shared" si="59"/>
        <v>AGD66 / AMG zone 49</v>
      </c>
    </row>
    <row r="3812" spans="1:3" x14ac:dyDescent="0.3">
      <c r="A3812" t="s">
        <v>3869</v>
      </c>
      <c r="B3812">
        <f>IF(ISNUMBER(SEARCH(Form!$C$11,Tabel2[[#This Row],[Coordinate Projection System]])),MAX($B$1:B3811)+1,0)</f>
        <v>3811</v>
      </c>
      <c r="C3812" t="str">
        <f t="shared" si="59"/>
        <v>AGD66 / AMG zone 50</v>
      </c>
    </row>
    <row r="3813" spans="1:3" x14ac:dyDescent="0.3">
      <c r="A3813" t="s">
        <v>3870</v>
      </c>
      <c r="B3813">
        <f>IF(ISNUMBER(SEARCH(Form!$C$11,Tabel2[[#This Row],[Coordinate Projection System]])),MAX($B$1:B3812)+1,0)</f>
        <v>3812</v>
      </c>
      <c r="C3813" t="str">
        <f t="shared" si="59"/>
        <v>AGD66 / AMG zone 51</v>
      </c>
    </row>
    <row r="3814" spans="1:3" x14ac:dyDescent="0.3">
      <c r="A3814" t="s">
        <v>3871</v>
      </c>
      <c r="B3814">
        <f>IF(ISNUMBER(SEARCH(Form!$C$11,Tabel2[[#This Row],[Coordinate Projection System]])),MAX($B$1:B3813)+1,0)</f>
        <v>3813</v>
      </c>
      <c r="C3814" t="str">
        <f t="shared" si="59"/>
        <v>AGD66 / AMG zone 52</v>
      </c>
    </row>
    <row r="3815" spans="1:3" x14ac:dyDescent="0.3">
      <c r="A3815" t="s">
        <v>3872</v>
      </c>
      <c r="B3815">
        <f>IF(ISNUMBER(SEARCH(Form!$C$11,Tabel2[[#This Row],[Coordinate Projection System]])),MAX($B$1:B3814)+1,0)</f>
        <v>3814</v>
      </c>
      <c r="C3815" t="str">
        <f t="shared" si="59"/>
        <v>AGD66 / AMG zone 53</v>
      </c>
    </row>
    <row r="3816" spans="1:3" x14ac:dyDescent="0.3">
      <c r="A3816" t="s">
        <v>3873</v>
      </c>
      <c r="B3816">
        <f>IF(ISNUMBER(SEARCH(Form!$C$11,Tabel2[[#This Row],[Coordinate Projection System]])),MAX($B$1:B3815)+1,0)</f>
        <v>3815</v>
      </c>
      <c r="C3816" t="str">
        <f t="shared" si="59"/>
        <v>AGD66 / AMG zone 54</v>
      </c>
    </row>
    <row r="3817" spans="1:3" x14ac:dyDescent="0.3">
      <c r="A3817" t="s">
        <v>3874</v>
      </c>
      <c r="B3817">
        <f>IF(ISNUMBER(SEARCH(Form!$C$11,Tabel2[[#This Row],[Coordinate Projection System]])),MAX($B$1:B3816)+1,0)</f>
        <v>3816</v>
      </c>
      <c r="C3817" t="str">
        <f t="shared" si="59"/>
        <v>AGD66 / AMG zone 55</v>
      </c>
    </row>
    <row r="3818" spans="1:3" x14ac:dyDescent="0.3">
      <c r="A3818" t="s">
        <v>3875</v>
      </c>
      <c r="B3818">
        <f>IF(ISNUMBER(SEARCH(Form!$C$11,Tabel2[[#This Row],[Coordinate Projection System]])),MAX($B$1:B3817)+1,0)</f>
        <v>3817</v>
      </c>
      <c r="C3818" t="str">
        <f t="shared" si="59"/>
        <v>AGD66 / AMG zone 56</v>
      </c>
    </row>
    <row r="3819" spans="1:3" x14ac:dyDescent="0.3">
      <c r="A3819" t="s">
        <v>3876</v>
      </c>
      <c r="B3819">
        <f>IF(ISNUMBER(SEARCH(Form!$C$11,Tabel2[[#This Row],[Coordinate Projection System]])),MAX($B$1:B3818)+1,0)</f>
        <v>3818</v>
      </c>
      <c r="C3819" t="str">
        <f t="shared" si="59"/>
        <v>AGD66 / AMG zone 57</v>
      </c>
    </row>
    <row r="3820" spans="1:3" x14ac:dyDescent="0.3">
      <c r="A3820" t="s">
        <v>3877</v>
      </c>
      <c r="B3820">
        <f>IF(ISNUMBER(SEARCH(Form!$C$11,Tabel2[[#This Row],[Coordinate Projection System]])),MAX($B$1:B3819)+1,0)</f>
        <v>3819</v>
      </c>
      <c r="C3820" t="str">
        <f t="shared" si="59"/>
        <v>AGD66 / AMG zone 58</v>
      </c>
    </row>
    <row r="3821" spans="1:3" x14ac:dyDescent="0.3">
      <c r="A3821" t="s">
        <v>3878</v>
      </c>
      <c r="B3821">
        <f>IF(ISNUMBER(SEARCH(Form!$C$11,Tabel2[[#This Row],[Coordinate Projection System]])),MAX($B$1:B3820)+1,0)</f>
        <v>3820</v>
      </c>
      <c r="C3821" t="str">
        <f t="shared" si="59"/>
        <v>AGD84 / AMG zone 48 (deprecated)</v>
      </c>
    </row>
    <row r="3822" spans="1:3" x14ac:dyDescent="0.3">
      <c r="A3822" t="s">
        <v>3879</v>
      </c>
      <c r="B3822">
        <f>IF(ISNUMBER(SEARCH(Form!$C$11,Tabel2[[#This Row],[Coordinate Projection System]])),MAX($B$1:B3821)+1,0)</f>
        <v>3821</v>
      </c>
      <c r="C3822" t="str">
        <f t="shared" si="59"/>
        <v>AGD84 / AMG zone 49</v>
      </c>
    </row>
    <row r="3823" spans="1:3" x14ac:dyDescent="0.3">
      <c r="A3823" t="s">
        <v>3880</v>
      </c>
      <c r="B3823">
        <f>IF(ISNUMBER(SEARCH(Form!$C$11,Tabel2[[#This Row],[Coordinate Projection System]])),MAX($B$1:B3822)+1,0)</f>
        <v>3822</v>
      </c>
      <c r="C3823" t="str">
        <f t="shared" si="59"/>
        <v>AGD84 / AMG zone 50</v>
      </c>
    </row>
    <row r="3824" spans="1:3" x14ac:dyDescent="0.3">
      <c r="A3824" t="s">
        <v>3881</v>
      </c>
      <c r="B3824">
        <f>IF(ISNUMBER(SEARCH(Form!$C$11,Tabel2[[#This Row],[Coordinate Projection System]])),MAX($B$1:B3823)+1,0)</f>
        <v>3823</v>
      </c>
      <c r="C3824" t="str">
        <f t="shared" si="59"/>
        <v>AGD84 / AMG zone 51</v>
      </c>
    </row>
    <row r="3825" spans="1:3" x14ac:dyDescent="0.3">
      <c r="A3825" t="s">
        <v>3882</v>
      </c>
      <c r="B3825">
        <f>IF(ISNUMBER(SEARCH(Form!$C$11,Tabel2[[#This Row],[Coordinate Projection System]])),MAX($B$1:B3824)+1,0)</f>
        <v>3824</v>
      </c>
      <c r="C3825" t="str">
        <f t="shared" si="59"/>
        <v>AGD84 / AMG zone 52</v>
      </c>
    </row>
    <row r="3826" spans="1:3" x14ac:dyDescent="0.3">
      <c r="A3826" t="s">
        <v>3883</v>
      </c>
      <c r="B3826">
        <f>IF(ISNUMBER(SEARCH(Form!$C$11,Tabel2[[#This Row],[Coordinate Projection System]])),MAX($B$1:B3825)+1,0)</f>
        <v>3825</v>
      </c>
      <c r="C3826" t="str">
        <f t="shared" si="59"/>
        <v>AGD84 / AMG zone 53</v>
      </c>
    </row>
    <row r="3827" spans="1:3" x14ac:dyDescent="0.3">
      <c r="A3827" t="s">
        <v>3884</v>
      </c>
      <c r="B3827">
        <f>IF(ISNUMBER(SEARCH(Form!$C$11,Tabel2[[#This Row],[Coordinate Projection System]])),MAX($B$1:B3826)+1,0)</f>
        <v>3826</v>
      </c>
      <c r="C3827" t="str">
        <f t="shared" si="59"/>
        <v>AGD84 / AMG zone 54</v>
      </c>
    </row>
    <row r="3828" spans="1:3" x14ac:dyDescent="0.3">
      <c r="A3828" t="s">
        <v>3885</v>
      </c>
      <c r="B3828">
        <f>IF(ISNUMBER(SEARCH(Form!$C$11,Tabel2[[#This Row],[Coordinate Projection System]])),MAX($B$1:B3827)+1,0)</f>
        <v>3827</v>
      </c>
      <c r="C3828" t="str">
        <f t="shared" si="59"/>
        <v>AGD84 / AMG zone 55</v>
      </c>
    </row>
    <row r="3829" spans="1:3" x14ac:dyDescent="0.3">
      <c r="A3829" t="s">
        <v>3886</v>
      </c>
      <c r="B3829">
        <f>IF(ISNUMBER(SEARCH(Form!$C$11,Tabel2[[#This Row],[Coordinate Projection System]])),MAX($B$1:B3828)+1,0)</f>
        <v>3828</v>
      </c>
      <c r="C3829" t="str">
        <f t="shared" si="59"/>
        <v>AGD84 / AMG zone 56</v>
      </c>
    </row>
    <row r="3830" spans="1:3" x14ac:dyDescent="0.3">
      <c r="A3830" t="s">
        <v>3887</v>
      </c>
      <c r="B3830">
        <f>IF(ISNUMBER(SEARCH(Form!$C$11,Tabel2[[#This Row],[Coordinate Projection System]])),MAX($B$1:B3829)+1,0)</f>
        <v>3829</v>
      </c>
      <c r="C3830" t="str">
        <f t="shared" si="59"/>
        <v>AGD84 / AMG zone 57 (deprecated)</v>
      </c>
    </row>
    <row r="3831" spans="1:3" x14ac:dyDescent="0.3">
      <c r="A3831" t="s">
        <v>3888</v>
      </c>
      <c r="B3831">
        <f>IF(ISNUMBER(SEARCH(Form!$C$11,Tabel2[[#This Row],[Coordinate Projection System]])),MAX($B$1:B3830)+1,0)</f>
        <v>3830</v>
      </c>
      <c r="C3831" t="str">
        <f t="shared" si="59"/>
        <v>AGD84 / AMG zone 58 (deprecated)</v>
      </c>
    </row>
    <row r="3832" spans="1:3" x14ac:dyDescent="0.3">
      <c r="A3832" t="s">
        <v>3889</v>
      </c>
      <c r="B3832">
        <f>IF(ISNUMBER(SEARCH(Form!$C$11,Tabel2[[#This Row],[Coordinate Projection System]])),MAX($B$1:B3831)+1,0)</f>
        <v>3831</v>
      </c>
      <c r="C3832" t="str">
        <f t="shared" si="59"/>
        <v>Ain el Abd / UTM zone 36N</v>
      </c>
    </row>
    <row r="3833" spans="1:3" x14ac:dyDescent="0.3">
      <c r="A3833" t="s">
        <v>3890</v>
      </c>
      <c r="B3833">
        <f>IF(ISNUMBER(SEARCH(Form!$C$11,Tabel2[[#This Row],[Coordinate Projection System]])),MAX($B$1:B3832)+1,0)</f>
        <v>3832</v>
      </c>
      <c r="C3833" t="str">
        <f t="shared" si="59"/>
        <v>Ain el Abd / UTM zone 37N</v>
      </c>
    </row>
    <row r="3834" spans="1:3" x14ac:dyDescent="0.3">
      <c r="A3834" t="s">
        <v>3891</v>
      </c>
      <c r="B3834">
        <f>IF(ISNUMBER(SEARCH(Form!$C$11,Tabel2[[#This Row],[Coordinate Projection System]])),MAX($B$1:B3833)+1,0)</f>
        <v>3833</v>
      </c>
      <c r="C3834" t="str">
        <f t="shared" si="59"/>
        <v>Ain el Abd / UTM zone 38N</v>
      </c>
    </row>
    <row r="3835" spans="1:3" x14ac:dyDescent="0.3">
      <c r="A3835" t="s">
        <v>3892</v>
      </c>
      <c r="B3835">
        <f>IF(ISNUMBER(SEARCH(Form!$C$11,Tabel2[[#This Row],[Coordinate Projection System]])),MAX($B$1:B3834)+1,0)</f>
        <v>3834</v>
      </c>
      <c r="C3835" t="str">
        <f t="shared" si="59"/>
        <v>Ain el Abd / UTM zone 39N</v>
      </c>
    </row>
    <row r="3836" spans="1:3" x14ac:dyDescent="0.3">
      <c r="A3836" t="s">
        <v>3893</v>
      </c>
      <c r="B3836">
        <f>IF(ISNUMBER(SEARCH(Form!$C$11,Tabel2[[#This Row],[Coordinate Projection System]])),MAX($B$1:B3835)+1,0)</f>
        <v>3835</v>
      </c>
      <c r="C3836" t="str">
        <f t="shared" si="59"/>
        <v>Ain el Abd / UTM zone 40N</v>
      </c>
    </row>
    <row r="3837" spans="1:3" x14ac:dyDescent="0.3">
      <c r="A3837" t="s">
        <v>3894</v>
      </c>
      <c r="B3837">
        <f>IF(ISNUMBER(SEARCH(Form!$C$11,Tabel2[[#This Row],[Coordinate Projection System]])),MAX($B$1:B3836)+1,0)</f>
        <v>3836</v>
      </c>
      <c r="C3837" t="str">
        <f t="shared" si="59"/>
        <v>Ain el Abd / Bahrain Grid</v>
      </c>
    </row>
    <row r="3838" spans="1:3" x14ac:dyDescent="0.3">
      <c r="A3838" t="s">
        <v>3895</v>
      </c>
      <c r="B3838">
        <f>IF(ISNUMBER(SEARCH(Form!$C$11,Tabel2[[#This Row],[Coordinate Projection System]])),MAX($B$1:B3837)+1,0)</f>
        <v>3837</v>
      </c>
      <c r="C3838" t="str">
        <f t="shared" si="59"/>
        <v>Afgooye / UTM zone 38N</v>
      </c>
    </row>
    <row r="3839" spans="1:3" x14ac:dyDescent="0.3">
      <c r="A3839" t="s">
        <v>3896</v>
      </c>
      <c r="B3839">
        <f>IF(ISNUMBER(SEARCH(Form!$C$11,Tabel2[[#This Row],[Coordinate Projection System]])),MAX($B$1:B3838)+1,0)</f>
        <v>3838</v>
      </c>
      <c r="C3839" t="str">
        <f t="shared" si="59"/>
        <v>Afgooye / UTM zone 39N</v>
      </c>
    </row>
    <row r="3840" spans="1:3" x14ac:dyDescent="0.3">
      <c r="A3840" t="s">
        <v>3897</v>
      </c>
      <c r="B3840">
        <f>IF(ISNUMBER(SEARCH(Form!$C$11,Tabel2[[#This Row],[Coordinate Projection System]])),MAX($B$1:B3839)+1,0)</f>
        <v>3839</v>
      </c>
      <c r="C3840" t="str">
        <f t="shared" si="59"/>
        <v>Lisbon (Lisbon) / Portuguese National Grid</v>
      </c>
    </row>
    <row r="3841" spans="1:3" x14ac:dyDescent="0.3">
      <c r="A3841" t="s">
        <v>3898</v>
      </c>
      <c r="B3841">
        <f>IF(ISNUMBER(SEARCH(Form!$C$11,Tabel2[[#This Row],[Coordinate Projection System]])),MAX($B$1:B3840)+1,0)</f>
        <v>3840</v>
      </c>
      <c r="C3841" t="str">
        <f t="shared" si="59"/>
        <v>Lisbon (Lisbon) / Portuguese Grid</v>
      </c>
    </row>
    <row r="3842" spans="1:3" x14ac:dyDescent="0.3">
      <c r="A3842" t="s">
        <v>3899</v>
      </c>
      <c r="B3842">
        <f>IF(ISNUMBER(SEARCH(Form!$C$11,Tabel2[[#This Row],[Coordinate Projection System]])),MAX($B$1:B3841)+1,0)</f>
        <v>3841</v>
      </c>
      <c r="C3842" t="str">
        <f t="shared" si="59"/>
        <v>Aratu / UTM zone 22S</v>
      </c>
    </row>
    <row r="3843" spans="1:3" x14ac:dyDescent="0.3">
      <c r="A3843" t="s">
        <v>3900</v>
      </c>
      <c r="B3843">
        <f>IF(ISNUMBER(SEARCH(Form!$C$11,Tabel2[[#This Row],[Coordinate Projection System]])),MAX($B$1:B3842)+1,0)</f>
        <v>3842</v>
      </c>
      <c r="C3843" t="str">
        <f t="shared" ref="C3843:C3906" si="60">_xlfn.IFNA(INDEX(A3843:A9354,MATCH(ROW(C3842),B3843:B9354,0)),"")</f>
        <v>Aratu / UTM zone 23S</v>
      </c>
    </row>
    <row r="3844" spans="1:3" x14ac:dyDescent="0.3">
      <c r="A3844" t="s">
        <v>3901</v>
      </c>
      <c r="B3844">
        <f>IF(ISNUMBER(SEARCH(Form!$C$11,Tabel2[[#This Row],[Coordinate Projection System]])),MAX($B$1:B3843)+1,0)</f>
        <v>3843</v>
      </c>
      <c r="C3844" t="str">
        <f t="shared" si="60"/>
        <v>Aratu / UTM zone 24S</v>
      </c>
    </row>
    <row r="3845" spans="1:3" x14ac:dyDescent="0.3">
      <c r="A3845" t="s">
        <v>3902</v>
      </c>
      <c r="B3845">
        <f>IF(ISNUMBER(SEARCH(Form!$C$11,Tabel2[[#This Row],[Coordinate Projection System]])),MAX($B$1:B3844)+1,0)</f>
        <v>3844</v>
      </c>
      <c r="C3845" t="str">
        <f t="shared" si="60"/>
        <v>Arc 1950 / UTM zone 34S</v>
      </c>
    </row>
    <row r="3846" spans="1:3" x14ac:dyDescent="0.3">
      <c r="A3846" t="s">
        <v>3903</v>
      </c>
      <c r="B3846">
        <f>IF(ISNUMBER(SEARCH(Form!$C$11,Tabel2[[#This Row],[Coordinate Projection System]])),MAX($B$1:B3845)+1,0)</f>
        <v>3845</v>
      </c>
      <c r="C3846" t="str">
        <f t="shared" si="60"/>
        <v>Arc 1950 / UTM zone 35S</v>
      </c>
    </row>
    <row r="3847" spans="1:3" x14ac:dyDescent="0.3">
      <c r="A3847" t="s">
        <v>3904</v>
      </c>
      <c r="B3847">
        <f>IF(ISNUMBER(SEARCH(Form!$C$11,Tabel2[[#This Row],[Coordinate Projection System]])),MAX($B$1:B3846)+1,0)</f>
        <v>3846</v>
      </c>
      <c r="C3847" t="str">
        <f t="shared" si="60"/>
        <v>Arc 1950 / UTM zone 36S</v>
      </c>
    </row>
    <row r="3848" spans="1:3" x14ac:dyDescent="0.3">
      <c r="A3848" t="s">
        <v>3905</v>
      </c>
      <c r="B3848">
        <f>IF(ISNUMBER(SEARCH(Form!$C$11,Tabel2[[#This Row],[Coordinate Projection System]])),MAX($B$1:B3847)+1,0)</f>
        <v>3847</v>
      </c>
      <c r="C3848" t="str">
        <f t="shared" si="60"/>
        <v>Arc 1960 / UTM zone 35S</v>
      </c>
    </row>
    <row r="3849" spans="1:3" x14ac:dyDescent="0.3">
      <c r="A3849" t="s">
        <v>3906</v>
      </c>
      <c r="B3849">
        <f>IF(ISNUMBER(SEARCH(Form!$C$11,Tabel2[[#This Row],[Coordinate Projection System]])),MAX($B$1:B3848)+1,0)</f>
        <v>3848</v>
      </c>
      <c r="C3849" t="str">
        <f t="shared" si="60"/>
        <v>Arc 1960 / UTM zone 36S</v>
      </c>
    </row>
    <row r="3850" spans="1:3" x14ac:dyDescent="0.3">
      <c r="A3850" t="s">
        <v>3907</v>
      </c>
      <c r="B3850">
        <f>IF(ISNUMBER(SEARCH(Form!$C$11,Tabel2[[#This Row],[Coordinate Projection System]])),MAX($B$1:B3849)+1,0)</f>
        <v>3849</v>
      </c>
      <c r="C3850" t="str">
        <f t="shared" si="60"/>
        <v>Arc 1960 / UTM zone 37S</v>
      </c>
    </row>
    <row r="3851" spans="1:3" x14ac:dyDescent="0.3">
      <c r="A3851" t="s">
        <v>3908</v>
      </c>
      <c r="B3851">
        <f>IF(ISNUMBER(SEARCH(Form!$C$11,Tabel2[[#This Row],[Coordinate Projection System]])),MAX($B$1:B3850)+1,0)</f>
        <v>3850</v>
      </c>
      <c r="C3851" t="str">
        <f t="shared" si="60"/>
        <v>Arc 1960 / UTM zone 35N</v>
      </c>
    </row>
    <row r="3852" spans="1:3" x14ac:dyDescent="0.3">
      <c r="A3852" t="s">
        <v>3909</v>
      </c>
      <c r="B3852">
        <f>IF(ISNUMBER(SEARCH(Form!$C$11,Tabel2[[#This Row],[Coordinate Projection System]])),MAX($B$1:B3851)+1,0)</f>
        <v>3851</v>
      </c>
      <c r="C3852" t="str">
        <f t="shared" si="60"/>
        <v>Arc 1960 / UTM zone 36N</v>
      </c>
    </row>
    <row r="3853" spans="1:3" x14ac:dyDescent="0.3">
      <c r="A3853" t="s">
        <v>3910</v>
      </c>
      <c r="B3853">
        <f>IF(ISNUMBER(SEARCH(Form!$C$11,Tabel2[[#This Row],[Coordinate Projection System]])),MAX($B$1:B3852)+1,0)</f>
        <v>3852</v>
      </c>
      <c r="C3853" t="str">
        <f t="shared" si="60"/>
        <v>Arc 1960 / UTM zone 37N</v>
      </c>
    </row>
    <row r="3854" spans="1:3" x14ac:dyDescent="0.3">
      <c r="A3854" t="s">
        <v>3911</v>
      </c>
      <c r="B3854">
        <f>IF(ISNUMBER(SEARCH(Form!$C$11,Tabel2[[#This Row],[Coordinate Projection System]])),MAX($B$1:B3853)+1,0)</f>
        <v>3853</v>
      </c>
      <c r="C3854" t="str">
        <f t="shared" si="60"/>
        <v>Batavia (Jakarta) / NEIEZ (deprecated)</v>
      </c>
    </row>
    <row r="3855" spans="1:3" x14ac:dyDescent="0.3">
      <c r="A3855" t="s">
        <v>3912</v>
      </c>
      <c r="B3855">
        <f>IF(ISNUMBER(SEARCH(Form!$C$11,Tabel2[[#This Row],[Coordinate Projection System]])),MAX($B$1:B3854)+1,0)</f>
        <v>3854</v>
      </c>
      <c r="C3855" t="str">
        <f t="shared" si="60"/>
        <v>Batavia / UTM zone 48S</v>
      </c>
    </row>
    <row r="3856" spans="1:3" x14ac:dyDescent="0.3">
      <c r="A3856" t="s">
        <v>3913</v>
      </c>
      <c r="B3856">
        <f>IF(ISNUMBER(SEARCH(Form!$C$11,Tabel2[[#This Row],[Coordinate Projection System]])),MAX($B$1:B3855)+1,0)</f>
        <v>3855</v>
      </c>
      <c r="C3856" t="str">
        <f t="shared" si="60"/>
        <v>Batavia / UTM zone 49S</v>
      </c>
    </row>
    <row r="3857" spans="1:3" x14ac:dyDescent="0.3">
      <c r="A3857" t="s">
        <v>3914</v>
      </c>
      <c r="B3857">
        <f>IF(ISNUMBER(SEARCH(Form!$C$11,Tabel2[[#This Row],[Coordinate Projection System]])),MAX($B$1:B3856)+1,0)</f>
        <v>3856</v>
      </c>
      <c r="C3857" t="str">
        <f t="shared" si="60"/>
        <v>Batavia / UTM zone 50S</v>
      </c>
    </row>
    <row r="3858" spans="1:3" x14ac:dyDescent="0.3">
      <c r="A3858" t="s">
        <v>3915</v>
      </c>
      <c r="B3858">
        <f>IF(ISNUMBER(SEARCH(Form!$C$11,Tabel2[[#This Row],[Coordinate Projection System]])),MAX($B$1:B3857)+1,0)</f>
        <v>3857</v>
      </c>
      <c r="C3858" t="str">
        <f t="shared" si="60"/>
        <v>Barbados 1938 / British West Indies Grid</v>
      </c>
    </row>
    <row r="3859" spans="1:3" x14ac:dyDescent="0.3">
      <c r="A3859" t="s">
        <v>3916</v>
      </c>
      <c r="B3859">
        <f>IF(ISNUMBER(SEARCH(Form!$C$11,Tabel2[[#This Row],[Coordinate Projection System]])),MAX($B$1:B3858)+1,0)</f>
        <v>3858</v>
      </c>
      <c r="C3859" t="str">
        <f t="shared" si="60"/>
        <v>Barbados 1938 / Barbados National Grid</v>
      </c>
    </row>
    <row r="3860" spans="1:3" x14ac:dyDescent="0.3">
      <c r="A3860" t="s">
        <v>3917</v>
      </c>
      <c r="B3860">
        <f>IF(ISNUMBER(SEARCH(Form!$C$11,Tabel2[[#This Row],[Coordinate Projection System]])),MAX($B$1:B3859)+1,0)</f>
        <v>3859</v>
      </c>
      <c r="C3860" t="str">
        <f t="shared" si="60"/>
        <v>Beijing 1954 / Gauss-Kruger zone 13</v>
      </c>
    </row>
    <row r="3861" spans="1:3" x14ac:dyDescent="0.3">
      <c r="A3861" t="s">
        <v>3918</v>
      </c>
      <c r="B3861">
        <f>IF(ISNUMBER(SEARCH(Form!$C$11,Tabel2[[#This Row],[Coordinate Projection System]])),MAX($B$1:B3860)+1,0)</f>
        <v>3860</v>
      </c>
      <c r="C3861" t="str">
        <f t="shared" si="60"/>
        <v>Beijing 1954 / Gauss-Kruger zone 14</v>
      </c>
    </row>
    <row r="3862" spans="1:3" x14ac:dyDescent="0.3">
      <c r="A3862" t="s">
        <v>3919</v>
      </c>
      <c r="B3862">
        <f>IF(ISNUMBER(SEARCH(Form!$C$11,Tabel2[[#This Row],[Coordinate Projection System]])),MAX($B$1:B3861)+1,0)</f>
        <v>3861</v>
      </c>
      <c r="C3862" t="str">
        <f t="shared" si="60"/>
        <v>Beijing 1954 / Gauss-Kruger zone 15</v>
      </c>
    </row>
    <row r="3863" spans="1:3" x14ac:dyDescent="0.3">
      <c r="A3863" t="s">
        <v>3920</v>
      </c>
      <c r="B3863">
        <f>IF(ISNUMBER(SEARCH(Form!$C$11,Tabel2[[#This Row],[Coordinate Projection System]])),MAX($B$1:B3862)+1,0)</f>
        <v>3862</v>
      </c>
      <c r="C3863" t="str">
        <f t="shared" si="60"/>
        <v>Beijing 1954 / Gauss-Kruger zone 16</v>
      </c>
    </row>
    <row r="3864" spans="1:3" x14ac:dyDescent="0.3">
      <c r="A3864" t="s">
        <v>3921</v>
      </c>
      <c r="B3864">
        <f>IF(ISNUMBER(SEARCH(Form!$C$11,Tabel2[[#This Row],[Coordinate Projection System]])),MAX($B$1:B3863)+1,0)</f>
        <v>3863</v>
      </c>
      <c r="C3864" t="str">
        <f t="shared" si="60"/>
        <v>Beijing 1954 / Gauss-Kruger zone 17</v>
      </c>
    </row>
    <row r="3865" spans="1:3" x14ac:dyDescent="0.3">
      <c r="A3865" t="s">
        <v>3922</v>
      </c>
      <c r="B3865">
        <f>IF(ISNUMBER(SEARCH(Form!$C$11,Tabel2[[#This Row],[Coordinate Projection System]])),MAX($B$1:B3864)+1,0)</f>
        <v>3864</v>
      </c>
      <c r="C3865" t="str">
        <f t="shared" si="60"/>
        <v>Beijing 1954 / Gauss-Kruger zone 18</v>
      </c>
    </row>
    <row r="3866" spans="1:3" x14ac:dyDescent="0.3">
      <c r="A3866" t="s">
        <v>3923</v>
      </c>
      <c r="B3866">
        <f>IF(ISNUMBER(SEARCH(Form!$C$11,Tabel2[[#This Row],[Coordinate Projection System]])),MAX($B$1:B3865)+1,0)</f>
        <v>3865</v>
      </c>
      <c r="C3866" t="str">
        <f t="shared" si="60"/>
        <v>Beijing 1954 / Gauss-Kruger zone 19</v>
      </c>
    </row>
    <row r="3867" spans="1:3" x14ac:dyDescent="0.3">
      <c r="A3867" t="s">
        <v>3924</v>
      </c>
      <c r="B3867">
        <f>IF(ISNUMBER(SEARCH(Form!$C$11,Tabel2[[#This Row],[Coordinate Projection System]])),MAX($B$1:B3866)+1,0)</f>
        <v>3866</v>
      </c>
      <c r="C3867" t="str">
        <f t="shared" si="60"/>
        <v>Beijing 1954 / Gauss-Kruger zone 20</v>
      </c>
    </row>
    <row r="3868" spans="1:3" x14ac:dyDescent="0.3">
      <c r="A3868" t="s">
        <v>3925</v>
      </c>
      <c r="B3868">
        <f>IF(ISNUMBER(SEARCH(Form!$C$11,Tabel2[[#This Row],[Coordinate Projection System]])),MAX($B$1:B3867)+1,0)</f>
        <v>3867</v>
      </c>
      <c r="C3868" t="str">
        <f t="shared" si="60"/>
        <v>Beijing 1954 / Gauss-Kruger zone 21</v>
      </c>
    </row>
    <row r="3869" spans="1:3" x14ac:dyDescent="0.3">
      <c r="A3869" t="s">
        <v>3926</v>
      </c>
      <c r="B3869">
        <f>IF(ISNUMBER(SEARCH(Form!$C$11,Tabel2[[#This Row],[Coordinate Projection System]])),MAX($B$1:B3868)+1,0)</f>
        <v>3868</v>
      </c>
      <c r="C3869" t="str">
        <f t="shared" si="60"/>
        <v>Beijing 1954 / Gauss-Kruger zone 22</v>
      </c>
    </row>
    <row r="3870" spans="1:3" x14ac:dyDescent="0.3">
      <c r="A3870" t="s">
        <v>3927</v>
      </c>
      <c r="B3870">
        <f>IF(ISNUMBER(SEARCH(Form!$C$11,Tabel2[[#This Row],[Coordinate Projection System]])),MAX($B$1:B3869)+1,0)</f>
        <v>3869</v>
      </c>
      <c r="C3870" t="str">
        <f t="shared" si="60"/>
        <v>Beijing 1954 / Gauss-Kruger zone 23</v>
      </c>
    </row>
    <row r="3871" spans="1:3" x14ac:dyDescent="0.3">
      <c r="A3871" t="s">
        <v>3928</v>
      </c>
      <c r="B3871">
        <f>IF(ISNUMBER(SEARCH(Form!$C$11,Tabel2[[#This Row],[Coordinate Projection System]])),MAX($B$1:B3870)+1,0)</f>
        <v>3870</v>
      </c>
      <c r="C3871" t="str">
        <f t="shared" si="60"/>
        <v>Beijing 1954 / Gauss-Kruger CM 75E</v>
      </c>
    </row>
    <row r="3872" spans="1:3" x14ac:dyDescent="0.3">
      <c r="A3872" t="s">
        <v>3929</v>
      </c>
      <c r="B3872">
        <f>IF(ISNUMBER(SEARCH(Form!$C$11,Tabel2[[#This Row],[Coordinate Projection System]])),MAX($B$1:B3871)+1,0)</f>
        <v>3871</v>
      </c>
      <c r="C3872" t="str">
        <f t="shared" si="60"/>
        <v>Beijing 1954 / Gauss-Kruger CM 81E</v>
      </c>
    </row>
    <row r="3873" spans="1:3" x14ac:dyDescent="0.3">
      <c r="A3873" t="s">
        <v>3930</v>
      </c>
      <c r="B3873">
        <f>IF(ISNUMBER(SEARCH(Form!$C$11,Tabel2[[#This Row],[Coordinate Projection System]])),MAX($B$1:B3872)+1,0)</f>
        <v>3872</v>
      </c>
      <c r="C3873" t="str">
        <f t="shared" si="60"/>
        <v>Beijing 1954 / Gauss-Kruger CM 87E</v>
      </c>
    </row>
    <row r="3874" spans="1:3" x14ac:dyDescent="0.3">
      <c r="A3874" t="s">
        <v>3931</v>
      </c>
      <c r="B3874">
        <f>IF(ISNUMBER(SEARCH(Form!$C$11,Tabel2[[#This Row],[Coordinate Projection System]])),MAX($B$1:B3873)+1,0)</f>
        <v>3873</v>
      </c>
      <c r="C3874" t="str">
        <f t="shared" si="60"/>
        <v>Beijing 1954 / Gauss-Kruger CM 93E</v>
      </c>
    </row>
    <row r="3875" spans="1:3" x14ac:dyDescent="0.3">
      <c r="A3875" t="s">
        <v>3932</v>
      </c>
      <c r="B3875">
        <f>IF(ISNUMBER(SEARCH(Form!$C$11,Tabel2[[#This Row],[Coordinate Projection System]])),MAX($B$1:B3874)+1,0)</f>
        <v>3874</v>
      </c>
      <c r="C3875" t="str">
        <f t="shared" si="60"/>
        <v>Beijing 1954 / Gauss-Kruger CM 99E</v>
      </c>
    </row>
    <row r="3876" spans="1:3" x14ac:dyDescent="0.3">
      <c r="A3876" t="s">
        <v>3933</v>
      </c>
      <c r="B3876">
        <f>IF(ISNUMBER(SEARCH(Form!$C$11,Tabel2[[#This Row],[Coordinate Projection System]])),MAX($B$1:B3875)+1,0)</f>
        <v>3875</v>
      </c>
      <c r="C3876" t="str">
        <f t="shared" si="60"/>
        <v>Beijing 1954 / Gauss-Kruger CM 105E</v>
      </c>
    </row>
    <row r="3877" spans="1:3" x14ac:dyDescent="0.3">
      <c r="A3877" t="s">
        <v>3934</v>
      </c>
      <c r="B3877">
        <f>IF(ISNUMBER(SEARCH(Form!$C$11,Tabel2[[#This Row],[Coordinate Projection System]])),MAX($B$1:B3876)+1,0)</f>
        <v>3876</v>
      </c>
      <c r="C3877" t="str">
        <f t="shared" si="60"/>
        <v>Beijing 1954 / Gauss-Kruger CM 111E</v>
      </c>
    </row>
    <row r="3878" spans="1:3" x14ac:dyDescent="0.3">
      <c r="A3878" t="s">
        <v>3935</v>
      </c>
      <c r="B3878">
        <f>IF(ISNUMBER(SEARCH(Form!$C$11,Tabel2[[#This Row],[Coordinate Projection System]])),MAX($B$1:B3877)+1,0)</f>
        <v>3877</v>
      </c>
      <c r="C3878" t="str">
        <f t="shared" si="60"/>
        <v>Beijing 1954 / Gauss-Kruger CM 117E</v>
      </c>
    </row>
    <row r="3879" spans="1:3" x14ac:dyDescent="0.3">
      <c r="A3879" t="s">
        <v>3936</v>
      </c>
      <c r="B3879">
        <f>IF(ISNUMBER(SEARCH(Form!$C$11,Tabel2[[#This Row],[Coordinate Projection System]])),MAX($B$1:B3878)+1,0)</f>
        <v>3878</v>
      </c>
      <c r="C3879" t="str">
        <f t="shared" si="60"/>
        <v>Beijing 1954 / Gauss-Kruger CM 123E</v>
      </c>
    </row>
    <row r="3880" spans="1:3" x14ac:dyDescent="0.3">
      <c r="A3880" t="s">
        <v>3937</v>
      </c>
      <c r="B3880">
        <f>IF(ISNUMBER(SEARCH(Form!$C$11,Tabel2[[#This Row],[Coordinate Projection System]])),MAX($B$1:B3879)+1,0)</f>
        <v>3879</v>
      </c>
      <c r="C3880" t="str">
        <f t="shared" si="60"/>
        <v>Beijing 1954 / Gauss-Kruger CM 129E</v>
      </c>
    </row>
    <row r="3881" spans="1:3" x14ac:dyDescent="0.3">
      <c r="A3881" t="s">
        <v>3938</v>
      </c>
      <c r="B3881">
        <f>IF(ISNUMBER(SEARCH(Form!$C$11,Tabel2[[#This Row],[Coordinate Projection System]])),MAX($B$1:B3880)+1,0)</f>
        <v>3880</v>
      </c>
      <c r="C3881" t="str">
        <f t="shared" si="60"/>
        <v>Beijing 1954 / Gauss-Kruger CM 135E</v>
      </c>
    </row>
    <row r="3882" spans="1:3" x14ac:dyDescent="0.3">
      <c r="A3882" t="s">
        <v>3939</v>
      </c>
      <c r="B3882">
        <f>IF(ISNUMBER(SEARCH(Form!$C$11,Tabel2[[#This Row],[Coordinate Projection System]])),MAX($B$1:B3881)+1,0)</f>
        <v>3881</v>
      </c>
      <c r="C3882" t="str">
        <f t="shared" si="60"/>
        <v>Beijing 1954 / Gauss-Kruger 13N (deprecated)</v>
      </c>
    </row>
    <row r="3883" spans="1:3" x14ac:dyDescent="0.3">
      <c r="A3883" t="s">
        <v>3940</v>
      </c>
      <c r="B3883">
        <f>IF(ISNUMBER(SEARCH(Form!$C$11,Tabel2[[#This Row],[Coordinate Projection System]])),MAX($B$1:B3882)+1,0)</f>
        <v>3882</v>
      </c>
      <c r="C3883" t="str">
        <f t="shared" si="60"/>
        <v>Beijing 1954 / Gauss-Kruger 14N (deprecated)</v>
      </c>
    </row>
    <row r="3884" spans="1:3" x14ac:dyDescent="0.3">
      <c r="A3884" t="s">
        <v>3941</v>
      </c>
      <c r="B3884">
        <f>IF(ISNUMBER(SEARCH(Form!$C$11,Tabel2[[#This Row],[Coordinate Projection System]])),MAX($B$1:B3883)+1,0)</f>
        <v>3883</v>
      </c>
      <c r="C3884" t="str">
        <f t="shared" si="60"/>
        <v>Beijing 1954 / Gauss-Kruger 15N (deprecated)</v>
      </c>
    </row>
    <row r="3885" spans="1:3" x14ac:dyDescent="0.3">
      <c r="A3885" t="s">
        <v>3942</v>
      </c>
      <c r="B3885">
        <f>IF(ISNUMBER(SEARCH(Form!$C$11,Tabel2[[#This Row],[Coordinate Projection System]])),MAX($B$1:B3884)+1,0)</f>
        <v>3884</v>
      </c>
      <c r="C3885" t="str">
        <f t="shared" si="60"/>
        <v>Beijing 1954 / Gauss-Kruger 16N (deprecated)</v>
      </c>
    </row>
    <row r="3886" spans="1:3" x14ac:dyDescent="0.3">
      <c r="A3886" t="s">
        <v>3943</v>
      </c>
      <c r="B3886">
        <f>IF(ISNUMBER(SEARCH(Form!$C$11,Tabel2[[#This Row],[Coordinate Projection System]])),MAX($B$1:B3885)+1,0)</f>
        <v>3885</v>
      </c>
      <c r="C3886" t="str">
        <f t="shared" si="60"/>
        <v>Beijing 1954 / Gauss-Kruger 17N (deprecated)</v>
      </c>
    </row>
    <row r="3887" spans="1:3" x14ac:dyDescent="0.3">
      <c r="A3887" t="s">
        <v>3944</v>
      </c>
      <c r="B3887">
        <f>IF(ISNUMBER(SEARCH(Form!$C$11,Tabel2[[#This Row],[Coordinate Projection System]])),MAX($B$1:B3886)+1,0)</f>
        <v>3886</v>
      </c>
      <c r="C3887" t="str">
        <f t="shared" si="60"/>
        <v>Beijing 1954 / Gauss-Kruger 18N (deprecated)</v>
      </c>
    </row>
    <row r="3888" spans="1:3" x14ac:dyDescent="0.3">
      <c r="A3888" t="s">
        <v>3945</v>
      </c>
      <c r="B3888">
        <f>IF(ISNUMBER(SEARCH(Form!$C$11,Tabel2[[#This Row],[Coordinate Projection System]])),MAX($B$1:B3887)+1,0)</f>
        <v>3887</v>
      </c>
      <c r="C3888" t="str">
        <f t="shared" si="60"/>
        <v>Beijing 1954 / Gauss-Kruger 19N (deprecated)</v>
      </c>
    </row>
    <row r="3889" spans="1:3" x14ac:dyDescent="0.3">
      <c r="A3889" t="s">
        <v>3946</v>
      </c>
      <c r="B3889">
        <f>IF(ISNUMBER(SEARCH(Form!$C$11,Tabel2[[#This Row],[Coordinate Projection System]])),MAX($B$1:B3888)+1,0)</f>
        <v>3888</v>
      </c>
      <c r="C3889" t="str">
        <f t="shared" si="60"/>
        <v>Beijing 1954 / Gauss-Kruger 20N (deprecated)</v>
      </c>
    </row>
    <row r="3890" spans="1:3" x14ac:dyDescent="0.3">
      <c r="A3890" t="s">
        <v>3947</v>
      </c>
      <c r="B3890">
        <f>IF(ISNUMBER(SEARCH(Form!$C$11,Tabel2[[#This Row],[Coordinate Projection System]])),MAX($B$1:B3889)+1,0)</f>
        <v>3889</v>
      </c>
      <c r="C3890" t="str">
        <f t="shared" si="60"/>
        <v>Beijing 1954 / Gauss-Kruger 21N (deprecated)</v>
      </c>
    </row>
    <row r="3891" spans="1:3" x14ac:dyDescent="0.3">
      <c r="A3891" t="s">
        <v>3948</v>
      </c>
      <c r="B3891">
        <f>IF(ISNUMBER(SEARCH(Form!$C$11,Tabel2[[#This Row],[Coordinate Projection System]])),MAX($B$1:B3890)+1,0)</f>
        <v>3890</v>
      </c>
      <c r="C3891" t="str">
        <f t="shared" si="60"/>
        <v>Beijing 1954 / Gauss-Kruger 22N (deprecated)</v>
      </c>
    </row>
    <row r="3892" spans="1:3" x14ac:dyDescent="0.3">
      <c r="A3892" t="s">
        <v>3949</v>
      </c>
      <c r="B3892">
        <f>IF(ISNUMBER(SEARCH(Form!$C$11,Tabel2[[#This Row],[Coordinate Projection System]])),MAX($B$1:B3891)+1,0)</f>
        <v>3891</v>
      </c>
      <c r="C3892" t="str">
        <f t="shared" si="60"/>
        <v>Beijing 1954 / Gauss-Kruger 23N (deprecated)</v>
      </c>
    </row>
    <row r="3893" spans="1:3" x14ac:dyDescent="0.3">
      <c r="A3893" t="s">
        <v>3950</v>
      </c>
      <c r="B3893">
        <f>IF(ISNUMBER(SEARCH(Form!$C$11,Tabel2[[#This Row],[Coordinate Projection System]])),MAX($B$1:B3892)+1,0)</f>
        <v>3892</v>
      </c>
      <c r="C3893" t="str">
        <f t="shared" si="60"/>
        <v>Belge 1950 (Brussels) / Belge Lambert 50</v>
      </c>
    </row>
    <row r="3894" spans="1:3" x14ac:dyDescent="0.3">
      <c r="A3894" t="s">
        <v>3951</v>
      </c>
      <c r="B3894">
        <f>IF(ISNUMBER(SEARCH(Form!$C$11,Tabel2[[#This Row],[Coordinate Projection System]])),MAX($B$1:B3893)+1,0)</f>
        <v>3893</v>
      </c>
      <c r="C3894" t="str">
        <f t="shared" si="60"/>
        <v>Bern 1898 (Bern) / LV03C</v>
      </c>
    </row>
    <row r="3895" spans="1:3" x14ac:dyDescent="0.3">
      <c r="A3895" t="s">
        <v>3952</v>
      </c>
      <c r="B3895">
        <f>IF(ISNUMBER(SEARCH(Form!$C$11,Tabel2[[#This Row],[Coordinate Projection System]])),MAX($B$1:B3894)+1,0)</f>
        <v>3894</v>
      </c>
      <c r="C3895" t="str">
        <f t="shared" si="60"/>
        <v>CH1903 / LV03</v>
      </c>
    </row>
    <row r="3896" spans="1:3" x14ac:dyDescent="0.3">
      <c r="A3896" t="s">
        <v>3953</v>
      </c>
      <c r="B3896">
        <f>IF(ISNUMBER(SEARCH(Form!$C$11,Tabel2[[#This Row],[Coordinate Projection System]])),MAX($B$1:B3895)+1,0)</f>
        <v>3895</v>
      </c>
      <c r="C3896" t="str">
        <f t="shared" si="60"/>
        <v>CH1903 / LV03C-G</v>
      </c>
    </row>
    <row r="3897" spans="1:3" x14ac:dyDescent="0.3">
      <c r="A3897" t="s">
        <v>3954</v>
      </c>
      <c r="B3897">
        <f>IF(ISNUMBER(SEARCH(Form!$C$11,Tabel2[[#This Row],[Coordinate Projection System]])),MAX($B$1:B3896)+1,0)</f>
        <v>3896</v>
      </c>
      <c r="C3897" t="str">
        <f t="shared" si="60"/>
        <v>Bogota 1975 / UTM zone 17N (deprecated)</v>
      </c>
    </row>
    <row r="3898" spans="1:3" x14ac:dyDescent="0.3">
      <c r="A3898" t="s">
        <v>3955</v>
      </c>
      <c r="B3898">
        <f>IF(ISNUMBER(SEARCH(Form!$C$11,Tabel2[[#This Row],[Coordinate Projection System]])),MAX($B$1:B3897)+1,0)</f>
        <v>3897</v>
      </c>
      <c r="C3898" t="str">
        <f t="shared" si="60"/>
        <v>Bogota 1975 / UTM zone 18N</v>
      </c>
    </row>
    <row r="3899" spans="1:3" x14ac:dyDescent="0.3">
      <c r="A3899" t="s">
        <v>3956</v>
      </c>
      <c r="B3899">
        <f>IF(ISNUMBER(SEARCH(Form!$C$11,Tabel2[[#This Row],[Coordinate Projection System]])),MAX($B$1:B3898)+1,0)</f>
        <v>3898</v>
      </c>
      <c r="C3899" t="str">
        <f t="shared" si="60"/>
        <v>Bogota 1975 / Colombia West zone (deprecated)</v>
      </c>
    </row>
    <row r="3900" spans="1:3" x14ac:dyDescent="0.3">
      <c r="A3900" t="s">
        <v>3957</v>
      </c>
      <c r="B3900">
        <f>IF(ISNUMBER(SEARCH(Form!$C$11,Tabel2[[#This Row],[Coordinate Projection System]])),MAX($B$1:B3899)+1,0)</f>
        <v>3899</v>
      </c>
      <c r="C3900" t="str">
        <f t="shared" si="60"/>
        <v>Bogota 1975 / Colombia Bogota zone (deprecated)</v>
      </c>
    </row>
    <row r="3901" spans="1:3" x14ac:dyDescent="0.3">
      <c r="A3901" t="s">
        <v>3958</v>
      </c>
      <c r="B3901">
        <f>IF(ISNUMBER(SEARCH(Form!$C$11,Tabel2[[#This Row],[Coordinate Projection System]])),MAX($B$1:B3900)+1,0)</f>
        <v>3900</v>
      </c>
      <c r="C3901" t="str">
        <f t="shared" si="60"/>
        <v>Bogota 1975 / Colombia East Central zone (deprecated)</v>
      </c>
    </row>
    <row r="3902" spans="1:3" x14ac:dyDescent="0.3">
      <c r="A3902" t="s">
        <v>3959</v>
      </c>
      <c r="B3902">
        <f>IF(ISNUMBER(SEARCH(Form!$C$11,Tabel2[[#This Row],[Coordinate Projection System]])),MAX($B$1:B3901)+1,0)</f>
        <v>3901</v>
      </c>
      <c r="C3902" t="str">
        <f t="shared" si="60"/>
        <v>Bogota 1975 / Colombia East (deprecated)</v>
      </c>
    </row>
    <row r="3903" spans="1:3" x14ac:dyDescent="0.3">
      <c r="A3903" t="s">
        <v>3960</v>
      </c>
      <c r="B3903">
        <f>IF(ISNUMBER(SEARCH(Form!$C$11,Tabel2[[#This Row],[Coordinate Projection System]])),MAX($B$1:B3902)+1,0)</f>
        <v>3902</v>
      </c>
      <c r="C3903" t="str">
        <f t="shared" si="60"/>
        <v>Bogota 1975 / Colombia West zone</v>
      </c>
    </row>
    <row r="3904" spans="1:3" x14ac:dyDescent="0.3">
      <c r="A3904" t="s">
        <v>3961</v>
      </c>
      <c r="B3904">
        <f>IF(ISNUMBER(SEARCH(Form!$C$11,Tabel2[[#This Row],[Coordinate Projection System]])),MAX($B$1:B3903)+1,0)</f>
        <v>3903</v>
      </c>
      <c r="C3904" t="str">
        <f t="shared" si="60"/>
        <v>Bogota 1975 / Colombia Bogota zone</v>
      </c>
    </row>
    <row r="3905" spans="1:3" x14ac:dyDescent="0.3">
      <c r="A3905" t="s">
        <v>3962</v>
      </c>
      <c r="B3905">
        <f>IF(ISNUMBER(SEARCH(Form!$C$11,Tabel2[[#This Row],[Coordinate Projection System]])),MAX($B$1:B3904)+1,0)</f>
        <v>3904</v>
      </c>
      <c r="C3905" t="str">
        <f t="shared" si="60"/>
        <v>Bogota 1975 / Colombia East Central zone</v>
      </c>
    </row>
    <row r="3906" spans="1:3" x14ac:dyDescent="0.3">
      <c r="A3906" t="s">
        <v>3963</v>
      </c>
      <c r="B3906">
        <f>IF(ISNUMBER(SEARCH(Form!$C$11,Tabel2[[#This Row],[Coordinate Projection System]])),MAX($B$1:B3905)+1,0)</f>
        <v>3905</v>
      </c>
      <c r="C3906" t="str">
        <f t="shared" si="60"/>
        <v>Bogota 1975 / Colombia East</v>
      </c>
    </row>
    <row r="3907" spans="1:3" x14ac:dyDescent="0.3">
      <c r="A3907" t="s">
        <v>3964</v>
      </c>
      <c r="B3907">
        <f>IF(ISNUMBER(SEARCH(Form!$C$11,Tabel2[[#This Row],[Coordinate Projection System]])),MAX($B$1:B3906)+1,0)</f>
        <v>3906</v>
      </c>
      <c r="C3907" t="str">
        <f t="shared" ref="C3907:C3970" si="61">_xlfn.IFNA(INDEX(A3907:A9418,MATCH(ROW(C3906),B3907:B9418,0)),"")</f>
        <v>Camacupa / UTM zone 32S</v>
      </c>
    </row>
    <row r="3908" spans="1:3" x14ac:dyDescent="0.3">
      <c r="A3908" t="s">
        <v>3965</v>
      </c>
      <c r="B3908">
        <f>IF(ISNUMBER(SEARCH(Form!$C$11,Tabel2[[#This Row],[Coordinate Projection System]])),MAX($B$1:B3907)+1,0)</f>
        <v>3907</v>
      </c>
      <c r="C3908" t="str">
        <f t="shared" si="61"/>
        <v>Camacupa / UTM zone 33S</v>
      </c>
    </row>
    <row r="3909" spans="1:3" x14ac:dyDescent="0.3">
      <c r="A3909" t="s">
        <v>3966</v>
      </c>
      <c r="B3909">
        <f>IF(ISNUMBER(SEARCH(Form!$C$11,Tabel2[[#This Row],[Coordinate Projection System]])),MAX($B$1:B3908)+1,0)</f>
        <v>3908</v>
      </c>
      <c r="C3909" t="str">
        <f t="shared" si="61"/>
        <v>Camacupa / TM 11.30 SE</v>
      </c>
    </row>
    <row r="3910" spans="1:3" x14ac:dyDescent="0.3">
      <c r="A3910" t="s">
        <v>3967</v>
      </c>
      <c r="B3910">
        <f>IF(ISNUMBER(SEARCH(Form!$C$11,Tabel2[[#This Row],[Coordinate Projection System]])),MAX($B$1:B3909)+1,0)</f>
        <v>3909</v>
      </c>
      <c r="C3910" t="str">
        <f t="shared" si="61"/>
        <v>Camacupa / TM 12 SE</v>
      </c>
    </row>
    <row r="3911" spans="1:3" x14ac:dyDescent="0.3">
      <c r="A3911" t="s">
        <v>3968</v>
      </c>
      <c r="B3911">
        <f>IF(ISNUMBER(SEARCH(Form!$C$11,Tabel2[[#This Row],[Coordinate Projection System]])),MAX($B$1:B3910)+1,0)</f>
        <v>3910</v>
      </c>
      <c r="C3911" t="str">
        <f t="shared" si="61"/>
        <v>POSGAR 98 / Argentina 1</v>
      </c>
    </row>
    <row r="3912" spans="1:3" x14ac:dyDescent="0.3">
      <c r="A3912" t="s">
        <v>3969</v>
      </c>
      <c r="B3912">
        <f>IF(ISNUMBER(SEARCH(Form!$C$11,Tabel2[[#This Row],[Coordinate Projection System]])),MAX($B$1:B3911)+1,0)</f>
        <v>3911</v>
      </c>
      <c r="C3912" t="str">
        <f t="shared" si="61"/>
        <v>POSGAR 98 / Argentina 2</v>
      </c>
    </row>
    <row r="3913" spans="1:3" x14ac:dyDescent="0.3">
      <c r="A3913" t="s">
        <v>3970</v>
      </c>
      <c r="B3913">
        <f>IF(ISNUMBER(SEARCH(Form!$C$11,Tabel2[[#This Row],[Coordinate Projection System]])),MAX($B$1:B3912)+1,0)</f>
        <v>3912</v>
      </c>
      <c r="C3913" t="str">
        <f t="shared" si="61"/>
        <v>POSGAR 98 / Argentina 3</v>
      </c>
    </row>
    <row r="3914" spans="1:3" x14ac:dyDescent="0.3">
      <c r="A3914" t="s">
        <v>3971</v>
      </c>
      <c r="B3914">
        <f>IF(ISNUMBER(SEARCH(Form!$C$11,Tabel2[[#This Row],[Coordinate Projection System]])),MAX($B$1:B3913)+1,0)</f>
        <v>3913</v>
      </c>
      <c r="C3914" t="str">
        <f t="shared" si="61"/>
        <v>POSGAR 98 / Argentina 4</v>
      </c>
    </row>
    <row r="3915" spans="1:3" x14ac:dyDescent="0.3">
      <c r="A3915" t="s">
        <v>3972</v>
      </c>
      <c r="B3915">
        <f>IF(ISNUMBER(SEARCH(Form!$C$11,Tabel2[[#This Row],[Coordinate Projection System]])),MAX($B$1:B3914)+1,0)</f>
        <v>3914</v>
      </c>
      <c r="C3915" t="str">
        <f t="shared" si="61"/>
        <v>POSGAR 98 / Argentina 5</v>
      </c>
    </row>
    <row r="3916" spans="1:3" x14ac:dyDescent="0.3">
      <c r="A3916" t="s">
        <v>3973</v>
      </c>
      <c r="B3916">
        <f>IF(ISNUMBER(SEARCH(Form!$C$11,Tabel2[[#This Row],[Coordinate Projection System]])),MAX($B$1:B3915)+1,0)</f>
        <v>3915</v>
      </c>
      <c r="C3916" t="str">
        <f t="shared" si="61"/>
        <v>POSGAR 98 / Argentina 6</v>
      </c>
    </row>
    <row r="3917" spans="1:3" x14ac:dyDescent="0.3">
      <c r="A3917" t="s">
        <v>3974</v>
      </c>
      <c r="B3917">
        <f>IF(ISNUMBER(SEARCH(Form!$C$11,Tabel2[[#This Row],[Coordinate Projection System]])),MAX($B$1:B3916)+1,0)</f>
        <v>3916</v>
      </c>
      <c r="C3917" t="str">
        <f t="shared" si="61"/>
        <v>POSGAR 98 / Argentina 7</v>
      </c>
    </row>
    <row r="3918" spans="1:3" x14ac:dyDescent="0.3">
      <c r="A3918" t="s">
        <v>3975</v>
      </c>
      <c r="B3918">
        <f>IF(ISNUMBER(SEARCH(Form!$C$11,Tabel2[[#This Row],[Coordinate Projection System]])),MAX($B$1:B3917)+1,0)</f>
        <v>3917</v>
      </c>
      <c r="C3918" t="str">
        <f t="shared" si="61"/>
        <v>POSGAR 94 / Argentina 1</v>
      </c>
    </row>
    <row r="3919" spans="1:3" x14ac:dyDescent="0.3">
      <c r="A3919" t="s">
        <v>3976</v>
      </c>
      <c r="B3919">
        <f>IF(ISNUMBER(SEARCH(Form!$C$11,Tabel2[[#This Row],[Coordinate Projection System]])),MAX($B$1:B3918)+1,0)</f>
        <v>3918</v>
      </c>
      <c r="C3919" t="str">
        <f t="shared" si="61"/>
        <v>POSGAR 94 / Argentina 2</v>
      </c>
    </row>
    <row r="3920" spans="1:3" x14ac:dyDescent="0.3">
      <c r="A3920" t="s">
        <v>3977</v>
      </c>
      <c r="B3920">
        <f>IF(ISNUMBER(SEARCH(Form!$C$11,Tabel2[[#This Row],[Coordinate Projection System]])),MAX($B$1:B3919)+1,0)</f>
        <v>3919</v>
      </c>
      <c r="C3920" t="str">
        <f t="shared" si="61"/>
        <v>POSGAR 94 / Argentina 3</v>
      </c>
    </row>
    <row r="3921" spans="1:3" x14ac:dyDescent="0.3">
      <c r="A3921" t="s">
        <v>3978</v>
      </c>
      <c r="B3921">
        <f>IF(ISNUMBER(SEARCH(Form!$C$11,Tabel2[[#This Row],[Coordinate Projection System]])),MAX($B$1:B3920)+1,0)</f>
        <v>3920</v>
      </c>
      <c r="C3921" t="str">
        <f t="shared" si="61"/>
        <v>POSGAR 94 / Argentina 4</v>
      </c>
    </row>
    <row r="3922" spans="1:3" x14ac:dyDescent="0.3">
      <c r="A3922" t="s">
        <v>3979</v>
      </c>
      <c r="B3922">
        <f>IF(ISNUMBER(SEARCH(Form!$C$11,Tabel2[[#This Row],[Coordinate Projection System]])),MAX($B$1:B3921)+1,0)</f>
        <v>3921</v>
      </c>
      <c r="C3922" t="str">
        <f t="shared" si="61"/>
        <v>POSGAR 94 / Argentina 5</v>
      </c>
    </row>
    <row r="3923" spans="1:3" x14ac:dyDescent="0.3">
      <c r="A3923" t="s">
        <v>3980</v>
      </c>
      <c r="B3923">
        <f>IF(ISNUMBER(SEARCH(Form!$C$11,Tabel2[[#This Row],[Coordinate Projection System]])),MAX($B$1:B3922)+1,0)</f>
        <v>3922</v>
      </c>
      <c r="C3923" t="str">
        <f t="shared" si="61"/>
        <v>POSGAR 94 / Argentina 6</v>
      </c>
    </row>
    <row r="3924" spans="1:3" x14ac:dyDescent="0.3">
      <c r="A3924" t="s">
        <v>3981</v>
      </c>
      <c r="B3924">
        <f>IF(ISNUMBER(SEARCH(Form!$C$11,Tabel2[[#This Row],[Coordinate Projection System]])),MAX($B$1:B3923)+1,0)</f>
        <v>3923</v>
      </c>
      <c r="C3924" t="str">
        <f t="shared" si="61"/>
        <v>POSGAR 94 / Argentina 7</v>
      </c>
    </row>
    <row r="3925" spans="1:3" x14ac:dyDescent="0.3">
      <c r="A3925" t="s">
        <v>3982</v>
      </c>
      <c r="B3925">
        <f>IF(ISNUMBER(SEARCH(Form!$C$11,Tabel2[[#This Row],[Coordinate Projection System]])),MAX($B$1:B3924)+1,0)</f>
        <v>3924</v>
      </c>
      <c r="C3925" t="str">
        <f t="shared" si="61"/>
        <v>Campo Inchauspe / Argentina 1</v>
      </c>
    </row>
    <row r="3926" spans="1:3" x14ac:dyDescent="0.3">
      <c r="A3926" t="s">
        <v>3983</v>
      </c>
      <c r="B3926">
        <f>IF(ISNUMBER(SEARCH(Form!$C$11,Tabel2[[#This Row],[Coordinate Projection System]])),MAX($B$1:B3925)+1,0)</f>
        <v>3925</v>
      </c>
      <c r="C3926" t="str">
        <f t="shared" si="61"/>
        <v>Campo Inchauspe / Argentina 2</v>
      </c>
    </row>
    <row r="3927" spans="1:3" x14ac:dyDescent="0.3">
      <c r="A3927" t="s">
        <v>3984</v>
      </c>
      <c r="B3927">
        <f>IF(ISNUMBER(SEARCH(Form!$C$11,Tabel2[[#This Row],[Coordinate Projection System]])),MAX($B$1:B3926)+1,0)</f>
        <v>3926</v>
      </c>
      <c r="C3927" t="str">
        <f t="shared" si="61"/>
        <v>Campo Inchauspe / Argentina 3</v>
      </c>
    </row>
    <row r="3928" spans="1:3" x14ac:dyDescent="0.3">
      <c r="A3928" t="s">
        <v>3985</v>
      </c>
      <c r="B3928">
        <f>IF(ISNUMBER(SEARCH(Form!$C$11,Tabel2[[#This Row],[Coordinate Projection System]])),MAX($B$1:B3927)+1,0)</f>
        <v>3927</v>
      </c>
      <c r="C3928" t="str">
        <f t="shared" si="61"/>
        <v>Campo Inchauspe / Argentina 4</v>
      </c>
    </row>
    <row r="3929" spans="1:3" x14ac:dyDescent="0.3">
      <c r="A3929" t="s">
        <v>3986</v>
      </c>
      <c r="B3929">
        <f>IF(ISNUMBER(SEARCH(Form!$C$11,Tabel2[[#This Row],[Coordinate Projection System]])),MAX($B$1:B3928)+1,0)</f>
        <v>3928</v>
      </c>
      <c r="C3929" t="str">
        <f t="shared" si="61"/>
        <v>Campo Inchauspe / Argentina 5</v>
      </c>
    </row>
    <row r="3930" spans="1:3" x14ac:dyDescent="0.3">
      <c r="A3930" t="s">
        <v>3987</v>
      </c>
      <c r="B3930">
        <f>IF(ISNUMBER(SEARCH(Form!$C$11,Tabel2[[#This Row],[Coordinate Projection System]])),MAX($B$1:B3929)+1,0)</f>
        <v>3929</v>
      </c>
      <c r="C3930" t="str">
        <f t="shared" si="61"/>
        <v>Campo Inchauspe / Argentina 6</v>
      </c>
    </row>
    <row r="3931" spans="1:3" x14ac:dyDescent="0.3">
      <c r="A3931" t="s">
        <v>3988</v>
      </c>
      <c r="B3931">
        <f>IF(ISNUMBER(SEARCH(Form!$C$11,Tabel2[[#This Row],[Coordinate Projection System]])),MAX($B$1:B3930)+1,0)</f>
        <v>3930</v>
      </c>
      <c r="C3931" t="str">
        <f t="shared" si="61"/>
        <v>Campo Inchauspe / Argentina 7</v>
      </c>
    </row>
    <row r="3932" spans="1:3" x14ac:dyDescent="0.3">
      <c r="A3932" t="s">
        <v>3989</v>
      </c>
      <c r="B3932">
        <f>IF(ISNUMBER(SEARCH(Form!$C$11,Tabel2[[#This Row],[Coordinate Projection System]])),MAX($B$1:B3931)+1,0)</f>
        <v>3931</v>
      </c>
      <c r="C3932" t="str">
        <f t="shared" si="61"/>
        <v>Cape / UTM zone 34S</v>
      </c>
    </row>
    <row r="3933" spans="1:3" x14ac:dyDescent="0.3">
      <c r="A3933" t="s">
        <v>3990</v>
      </c>
      <c r="B3933">
        <f>IF(ISNUMBER(SEARCH(Form!$C$11,Tabel2[[#This Row],[Coordinate Projection System]])),MAX($B$1:B3932)+1,0)</f>
        <v>3932</v>
      </c>
      <c r="C3933" t="str">
        <f t="shared" si="61"/>
        <v>Cape / UTM zone 35S</v>
      </c>
    </row>
    <row r="3934" spans="1:3" x14ac:dyDescent="0.3">
      <c r="A3934" t="s">
        <v>3991</v>
      </c>
      <c r="B3934">
        <f>IF(ISNUMBER(SEARCH(Form!$C$11,Tabel2[[#This Row],[Coordinate Projection System]])),MAX($B$1:B3933)+1,0)</f>
        <v>3933</v>
      </c>
      <c r="C3934" t="str">
        <f t="shared" si="61"/>
        <v>Cape / UTM zone 36S (deprecated)</v>
      </c>
    </row>
    <row r="3935" spans="1:3" x14ac:dyDescent="0.3">
      <c r="A3935" t="s">
        <v>3992</v>
      </c>
      <c r="B3935">
        <f>IF(ISNUMBER(SEARCH(Form!$C$11,Tabel2[[#This Row],[Coordinate Projection System]])),MAX($B$1:B3934)+1,0)</f>
        <v>3934</v>
      </c>
      <c r="C3935" t="str">
        <f t="shared" si="61"/>
        <v>Cape / Lo15</v>
      </c>
    </row>
    <row r="3936" spans="1:3" x14ac:dyDescent="0.3">
      <c r="A3936" t="s">
        <v>3993</v>
      </c>
      <c r="B3936">
        <f>IF(ISNUMBER(SEARCH(Form!$C$11,Tabel2[[#This Row],[Coordinate Projection System]])),MAX($B$1:B3935)+1,0)</f>
        <v>3935</v>
      </c>
      <c r="C3936" t="str">
        <f t="shared" si="61"/>
        <v>Cape / Lo17</v>
      </c>
    </row>
    <row r="3937" spans="1:3" x14ac:dyDescent="0.3">
      <c r="A3937" t="s">
        <v>3994</v>
      </c>
      <c r="B3937">
        <f>IF(ISNUMBER(SEARCH(Form!$C$11,Tabel2[[#This Row],[Coordinate Projection System]])),MAX($B$1:B3936)+1,0)</f>
        <v>3936</v>
      </c>
      <c r="C3937" t="str">
        <f t="shared" si="61"/>
        <v>Cape / Lo19</v>
      </c>
    </row>
    <row r="3938" spans="1:3" x14ac:dyDescent="0.3">
      <c r="A3938" t="s">
        <v>3995</v>
      </c>
      <c r="B3938">
        <f>IF(ISNUMBER(SEARCH(Form!$C$11,Tabel2[[#This Row],[Coordinate Projection System]])),MAX($B$1:B3937)+1,0)</f>
        <v>3937</v>
      </c>
      <c r="C3938" t="str">
        <f t="shared" si="61"/>
        <v>Cape / Lo21</v>
      </c>
    </row>
    <row r="3939" spans="1:3" x14ac:dyDescent="0.3">
      <c r="A3939" t="s">
        <v>3996</v>
      </c>
      <c r="B3939">
        <f>IF(ISNUMBER(SEARCH(Form!$C$11,Tabel2[[#This Row],[Coordinate Projection System]])),MAX($B$1:B3938)+1,0)</f>
        <v>3938</v>
      </c>
      <c r="C3939" t="str">
        <f t="shared" si="61"/>
        <v>Cape / Lo23</v>
      </c>
    </row>
    <row r="3940" spans="1:3" x14ac:dyDescent="0.3">
      <c r="A3940" t="s">
        <v>3997</v>
      </c>
      <c r="B3940">
        <f>IF(ISNUMBER(SEARCH(Form!$C$11,Tabel2[[#This Row],[Coordinate Projection System]])),MAX($B$1:B3939)+1,0)</f>
        <v>3939</v>
      </c>
      <c r="C3940" t="str">
        <f t="shared" si="61"/>
        <v>Cape / Lo25</v>
      </c>
    </row>
    <row r="3941" spans="1:3" x14ac:dyDescent="0.3">
      <c r="A3941" t="s">
        <v>3998</v>
      </c>
      <c r="B3941">
        <f>IF(ISNUMBER(SEARCH(Form!$C$11,Tabel2[[#This Row],[Coordinate Projection System]])),MAX($B$1:B3940)+1,0)</f>
        <v>3940</v>
      </c>
      <c r="C3941" t="str">
        <f t="shared" si="61"/>
        <v>Cape / Lo27</v>
      </c>
    </row>
    <row r="3942" spans="1:3" x14ac:dyDescent="0.3">
      <c r="A3942" t="s">
        <v>3999</v>
      </c>
      <c r="B3942">
        <f>IF(ISNUMBER(SEARCH(Form!$C$11,Tabel2[[#This Row],[Coordinate Projection System]])),MAX($B$1:B3941)+1,0)</f>
        <v>3941</v>
      </c>
      <c r="C3942" t="str">
        <f t="shared" si="61"/>
        <v>Cape / Lo29</v>
      </c>
    </row>
    <row r="3943" spans="1:3" x14ac:dyDescent="0.3">
      <c r="A3943" t="s">
        <v>4000</v>
      </c>
      <c r="B3943">
        <f>IF(ISNUMBER(SEARCH(Form!$C$11,Tabel2[[#This Row],[Coordinate Projection System]])),MAX($B$1:B3942)+1,0)</f>
        <v>3942</v>
      </c>
      <c r="C3943" t="str">
        <f t="shared" si="61"/>
        <v>Cape / Lo31</v>
      </c>
    </row>
    <row r="3944" spans="1:3" x14ac:dyDescent="0.3">
      <c r="A3944" t="s">
        <v>4001</v>
      </c>
      <c r="B3944">
        <f>IF(ISNUMBER(SEARCH(Form!$C$11,Tabel2[[#This Row],[Coordinate Projection System]])),MAX($B$1:B3943)+1,0)</f>
        <v>3943</v>
      </c>
      <c r="C3944" t="str">
        <f t="shared" si="61"/>
        <v>Cape / Lo33</v>
      </c>
    </row>
    <row r="3945" spans="1:3" x14ac:dyDescent="0.3">
      <c r="A3945" t="s">
        <v>4002</v>
      </c>
      <c r="B3945">
        <f>IF(ISNUMBER(SEARCH(Form!$C$11,Tabel2[[#This Row],[Coordinate Projection System]])),MAX($B$1:B3944)+1,0)</f>
        <v>3944</v>
      </c>
      <c r="C3945" t="str">
        <f t="shared" si="61"/>
        <v>Carthage (Paris) / Tunisia Mining GridUnable to translate coordinate system EPSG:22300 into PROJ.4 format.</v>
      </c>
    </row>
    <row r="3946" spans="1:3" x14ac:dyDescent="0.3">
      <c r="A3946" t="s">
        <v>4003</v>
      </c>
      <c r="B3946">
        <f>IF(ISNUMBER(SEARCH(Form!$C$11,Tabel2[[#This Row],[Coordinate Projection System]])),MAX($B$1:B3945)+1,0)</f>
        <v>3945</v>
      </c>
      <c r="C3946" t="str">
        <f t="shared" si="61"/>
        <v>Carthage / UTM zone 32N</v>
      </c>
    </row>
    <row r="3947" spans="1:3" x14ac:dyDescent="0.3">
      <c r="A3947" t="s">
        <v>4004</v>
      </c>
      <c r="B3947">
        <f>IF(ISNUMBER(SEARCH(Form!$C$11,Tabel2[[#This Row],[Coordinate Projection System]])),MAX($B$1:B3946)+1,0)</f>
        <v>3946</v>
      </c>
      <c r="C3947" t="str">
        <f t="shared" si="61"/>
        <v>Carthage / Nord Tunisie</v>
      </c>
    </row>
    <row r="3948" spans="1:3" x14ac:dyDescent="0.3">
      <c r="A3948" t="s">
        <v>4005</v>
      </c>
      <c r="B3948">
        <f>IF(ISNUMBER(SEARCH(Form!$C$11,Tabel2[[#This Row],[Coordinate Projection System]])),MAX($B$1:B3947)+1,0)</f>
        <v>3947</v>
      </c>
      <c r="C3948" t="str">
        <f t="shared" si="61"/>
        <v>Carthage / Sud Tunisie</v>
      </c>
    </row>
    <row r="3949" spans="1:3" x14ac:dyDescent="0.3">
      <c r="A3949" t="s">
        <v>4006</v>
      </c>
      <c r="B3949">
        <f>IF(ISNUMBER(SEARCH(Form!$C$11,Tabel2[[#This Row],[Coordinate Projection System]])),MAX($B$1:B3948)+1,0)</f>
        <v>3948</v>
      </c>
      <c r="C3949" t="str">
        <f t="shared" si="61"/>
        <v>Corrego Alegre 1970-72 / UTM zone 21S</v>
      </c>
    </row>
    <row r="3950" spans="1:3" x14ac:dyDescent="0.3">
      <c r="A3950" t="s">
        <v>4007</v>
      </c>
      <c r="B3950">
        <f>IF(ISNUMBER(SEARCH(Form!$C$11,Tabel2[[#This Row],[Coordinate Projection System]])),MAX($B$1:B3949)+1,0)</f>
        <v>3949</v>
      </c>
      <c r="C3950" t="str">
        <f t="shared" si="61"/>
        <v>Corrego Alegre 1970-72 / UTM zone 22S</v>
      </c>
    </row>
    <row r="3951" spans="1:3" x14ac:dyDescent="0.3">
      <c r="A3951" t="s">
        <v>4008</v>
      </c>
      <c r="B3951">
        <f>IF(ISNUMBER(SEARCH(Form!$C$11,Tabel2[[#This Row],[Coordinate Projection System]])),MAX($B$1:B3950)+1,0)</f>
        <v>3950</v>
      </c>
      <c r="C3951" t="str">
        <f t="shared" si="61"/>
        <v>Corrego Alegre 1970-72 / UTM zone 23S</v>
      </c>
    </row>
    <row r="3952" spans="1:3" x14ac:dyDescent="0.3">
      <c r="A3952" t="s">
        <v>4009</v>
      </c>
      <c r="B3952">
        <f>IF(ISNUMBER(SEARCH(Form!$C$11,Tabel2[[#This Row],[Coordinate Projection System]])),MAX($B$1:B3951)+1,0)</f>
        <v>3951</v>
      </c>
      <c r="C3952" t="str">
        <f t="shared" si="61"/>
        <v>Corrego Alegre 1970-72 / UTM zone 24S</v>
      </c>
    </row>
    <row r="3953" spans="1:3" x14ac:dyDescent="0.3">
      <c r="A3953" t="s">
        <v>4010</v>
      </c>
      <c r="B3953">
        <f>IF(ISNUMBER(SEARCH(Form!$C$11,Tabel2[[#This Row],[Coordinate Projection System]])),MAX($B$1:B3952)+1,0)</f>
        <v>3952</v>
      </c>
      <c r="C3953" t="str">
        <f t="shared" si="61"/>
        <v>Corrego Alegre 1970-72 / UTM zone 25S</v>
      </c>
    </row>
    <row r="3954" spans="1:3" x14ac:dyDescent="0.3">
      <c r="A3954" t="s">
        <v>4011</v>
      </c>
      <c r="B3954">
        <f>IF(ISNUMBER(SEARCH(Form!$C$11,Tabel2[[#This Row],[Coordinate Projection System]])),MAX($B$1:B3953)+1,0)</f>
        <v>3953</v>
      </c>
      <c r="C3954" t="str">
        <f t="shared" si="61"/>
        <v>Deir ez Zor / Levant Zone</v>
      </c>
    </row>
    <row r="3955" spans="1:3" x14ac:dyDescent="0.3">
      <c r="A3955" t="s">
        <v>4012</v>
      </c>
      <c r="B3955">
        <f>IF(ISNUMBER(SEARCH(Form!$C$11,Tabel2[[#This Row],[Coordinate Projection System]])),MAX($B$1:B3954)+1,0)</f>
        <v>3954</v>
      </c>
      <c r="C3955" t="str">
        <f t="shared" si="61"/>
        <v>Deir ez Zor / Syria Lambert</v>
      </c>
    </row>
    <row r="3956" spans="1:3" x14ac:dyDescent="0.3">
      <c r="A3956" t="s">
        <v>4013</v>
      </c>
      <c r="B3956">
        <f>IF(ISNUMBER(SEARCH(Form!$C$11,Tabel2[[#This Row],[Coordinate Projection System]])),MAX($B$1:B3955)+1,0)</f>
        <v>3955</v>
      </c>
      <c r="C3956" t="str">
        <f t="shared" si="61"/>
        <v>Deir ez Zor / Levant Stereographic</v>
      </c>
    </row>
    <row r="3957" spans="1:3" x14ac:dyDescent="0.3">
      <c r="A3957" t="s">
        <v>4014</v>
      </c>
      <c r="B3957">
        <f>IF(ISNUMBER(SEARCH(Form!$C$11,Tabel2[[#This Row],[Coordinate Projection System]])),MAX($B$1:B3956)+1,0)</f>
        <v>3956</v>
      </c>
      <c r="C3957" t="str">
        <f t="shared" si="61"/>
        <v>Douala / UTM zone 32N (deprecated)</v>
      </c>
    </row>
    <row r="3958" spans="1:3" x14ac:dyDescent="0.3">
      <c r="A3958" t="s">
        <v>4015</v>
      </c>
      <c r="B3958">
        <f>IF(ISNUMBER(SEARCH(Form!$C$11,Tabel2[[#This Row],[Coordinate Projection System]])),MAX($B$1:B3957)+1,0)</f>
        <v>3957</v>
      </c>
      <c r="C3958" t="str">
        <f t="shared" si="61"/>
        <v>Egypt 1907 / Blue Belt</v>
      </c>
    </row>
    <row r="3959" spans="1:3" x14ac:dyDescent="0.3">
      <c r="A3959" t="s">
        <v>4016</v>
      </c>
      <c r="B3959">
        <f>IF(ISNUMBER(SEARCH(Form!$C$11,Tabel2[[#This Row],[Coordinate Projection System]])),MAX($B$1:B3958)+1,0)</f>
        <v>3958</v>
      </c>
      <c r="C3959" t="str">
        <f t="shared" si="61"/>
        <v>Egypt 1907 / Red Belt</v>
      </c>
    </row>
    <row r="3960" spans="1:3" x14ac:dyDescent="0.3">
      <c r="A3960" t="s">
        <v>4017</v>
      </c>
      <c r="B3960">
        <f>IF(ISNUMBER(SEARCH(Form!$C$11,Tabel2[[#This Row],[Coordinate Projection System]])),MAX($B$1:B3959)+1,0)</f>
        <v>3959</v>
      </c>
      <c r="C3960" t="str">
        <f t="shared" si="61"/>
        <v>Egypt 1907 / Purple Belt</v>
      </c>
    </row>
    <row r="3961" spans="1:3" x14ac:dyDescent="0.3">
      <c r="A3961" t="s">
        <v>4018</v>
      </c>
      <c r="B3961">
        <f>IF(ISNUMBER(SEARCH(Form!$C$11,Tabel2[[#This Row],[Coordinate Projection System]])),MAX($B$1:B3960)+1,0)</f>
        <v>3960</v>
      </c>
      <c r="C3961" t="str">
        <f t="shared" si="61"/>
        <v>Egypt 1907 / Extended Purple Belt</v>
      </c>
    </row>
    <row r="3962" spans="1:3" x14ac:dyDescent="0.3">
      <c r="A3962" t="s">
        <v>4019</v>
      </c>
      <c r="B3962">
        <f>IF(ISNUMBER(SEARCH(Form!$C$11,Tabel2[[#This Row],[Coordinate Projection System]])),MAX($B$1:B3961)+1,0)</f>
        <v>3961</v>
      </c>
      <c r="C3962" t="str">
        <f t="shared" si="61"/>
        <v>ED50 / UTM zone 28N</v>
      </c>
    </row>
    <row r="3963" spans="1:3" x14ac:dyDescent="0.3">
      <c r="A3963" t="s">
        <v>4020</v>
      </c>
      <c r="B3963">
        <f>IF(ISNUMBER(SEARCH(Form!$C$11,Tabel2[[#This Row],[Coordinate Projection System]])),MAX($B$1:B3962)+1,0)</f>
        <v>3962</v>
      </c>
      <c r="C3963" t="str">
        <f t="shared" si="61"/>
        <v>ED50 / UTM zone 29N</v>
      </c>
    </row>
    <row r="3964" spans="1:3" x14ac:dyDescent="0.3">
      <c r="A3964" t="s">
        <v>4021</v>
      </c>
      <c r="B3964">
        <f>IF(ISNUMBER(SEARCH(Form!$C$11,Tabel2[[#This Row],[Coordinate Projection System]])),MAX($B$1:B3963)+1,0)</f>
        <v>3963</v>
      </c>
      <c r="C3964" t="str">
        <f t="shared" si="61"/>
        <v>ED50 / UTM zone 30N</v>
      </c>
    </row>
    <row r="3965" spans="1:3" x14ac:dyDescent="0.3">
      <c r="A3965" t="s">
        <v>4022</v>
      </c>
      <c r="B3965">
        <f>IF(ISNUMBER(SEARCH(Form!$C$11,Tabel2[[#This Row],[Coordinate Projection System]])),MAX($B$1:B3964)+1,0)</f>
        <v>3964</v>
      </c>
      <c r="C3965" t="str">
        <f t="shared" si="61"/>
        <v>ED50 / UTM zone 31N</v>
      </c>
    </row>
    <row r="3966" spans="1:3" x14ac:dyDescent="0.3">
      <c r="A3966" t="s">
        <v>4023</v>
      </c>
      <c r="B3966">
        <f>IF(ISNUMBER(SEARCH(Form!$C$11,Tabel2[[#This Row],[Coordinate Projection System]])),MAX($B$1:B3965)+1,0)</f>
        <v>3965</v>
      </c>
      <c r="C3966" t="str">
        <f t="shared" si="61"/>
        <v>ED50 / UTM zone 32N</v>
      </c>
    </row>
    <row r="3967" spans="1:3" x14ac:dyDescent="0.3">
      <c r="A3967" t="s">
        <v>4024</v>
      </c>
      <c r="B3967">
        <f>IF(ISNUMBER(SEARCH(Form!$C$11,Tabel2[[#This Row],[Coordinate Projection System]])),MAX($B$1:B3966)+1,0)</f>
        <v>3966</v>
      </c>
      <c r="C3967" t="str">
        <f t="shared" si="61"/>
        <v>ED50 / UTM zone 33N</v>
      </c>
    </row>
    <row r="3968" spans="1:3" x14ac:dyDescent="0.3">
      <c r="A3968" t="s">
        <v>4025</v>
      </c>
      <c r="B3968">
        <f>IF(ISNUMBER(SEARCH(Form!$C$11,Tabel2[[#This Row],[Coordinate Projection System]])),MAX($B$1:B3967)+1,0)</f>
        <v>3967</v>
      </c>
      <c r="C3968" t="str">
        <f t="shared" si="61"/>
        <v>ED50 / UTM zone 34N</v>
      </c>
    </row>
    <row r="3969" spans="1:3" x14ac:dyDescent="0.3">
      <c r="A3969" t="s">
        <v>4026</v>
      </c>
      <c r="B3969">
        <f>IF(ISNUMBER(SEARCH(Form!$C$11,Tabel2[[#This Row],[Coordinate Projection System]])),MAX($B$1:B3968)+1,0)</f>
        <v>3968</v>
      </c>
      <c r="C3969" t="str">
        <f t="shared" si="61"/>
        <v>ED50 / UTM zone 35N</v>
      </c>
    </row>
    <row r="3970" spans="1:3" x14ac:dyDescent="0.3">
      <c r="A3970" t="s">
        <v>4027</v>
      </c>
      <c r="B3970">
        <f>IF(ISNUMBER(SEARCH(Form!$C$11,Tabel2[[#This Row],[Coordinate Projection System]])),MAX($B$1:B3969)+1,0)</f>
        <v>3969</v>
      </c>
      <c r="C3970" t="str">
        <f t="shared" si="61"/>
        <v>ED50 / UTM zone 36N</v>
      </c>
    </row>
    <row r="3971" spans="1:3" x14ac:dyDescent="0.3">
      <c r="A3971" t="s">
        <v>4028</v>
      </c>
      <c r="B3971">
        <f>IF(ISNUMBER(SEARCH(Form!$C$11,Tabel2[[#This Row],[Coordinate Projection System]])),MAX($B$1:B3970)+1,0)</f>
        <v>3970</v>
      </c>
      <c r="C3971" t="str">
        <f t="shared" ref="C3971:C4034" si="62">_xlfn.IFNA(INDEX(A3971:A9482,MATCH(ROW(C3970),B3971:B9482,0)),"")</f>
        <v>ED50 / UTM zone 37N</v>
      </c>
    </row>
    <row r="3972" spans="1:3" x14ac:dyDescent="0.3">
      <c r="A3972" t="s">
        <v>4029</v>
      </c>
      <c r="B3972">
        <f>IF(ISNUMBER(SEARCH(Form!$C$11,Tabel2[[#This Row],[Coordinate Projection System]])),MAX($B$1:B3971)+1,0)</f>
        <v>3971</v>
      </c>
      <c r="C3972" t="str">
        <f t="shared" si="62"/>
        <v>ED50 / UTM zone 38N</v>
      </c>
    </row>
    <row r="3973" spans="1:3" x14ac:dyDescent="0.3">
      <c r="A3973" t="s">
        <v>4030</v>
      </c>
      <c r="B3973">
        <f>IF(ISNUMBER(SEARCH(Form!$C$11,Tabel2[[#This Row],[Coordinate Projection System]])),MAX($B$1:B3972)+1,0)</f>
        <v>3972</v>
      </c>
      <c r="C3973" t="str">
        <f t="shared" si="62"/>
        <v>ED50 / TM 0 N</v>
      </c>
    </row>
    <row r="3974" spans="1:3" x14ac:dyDescent="0.3">
      <c r="A3974" t="s">
        <v>4031</v>
      </c>
      <c r="B3974">
        <f>IF(ISNUMBER(SEARCH(Form!$C$11,Tabel2[[#This Row],[Coordinate Projection System]])),MAX($B$1:B3973)+1,0)</f>
        <v>3973</v>
      </c>
      <c r="C3974" t="str">
        <f t="shared" si="62"/>
        <v>ED50 / TM 5 NE</v>
      </c>
    </row>
    <row r="3975" spans="1:3" x14ac:dyDescent="0.3">
      <c r="A3975" t="s">
        <v>4032</v>
      </c>
      <c r="B3975">
        <f>IF(ISNUMBER(SEARCH(Form!$C$11,Tabel2[[#This Row],[Coordinate Projection System]])),MAX($B$1:B3974)+1,0)</f>
        <v>3974</v>
      </c>
      <c r="C3975" t="str">
        <f t="shared" si="62"/>
        <v>Fahud / UTM zone 39N</v>
      </c>
    </row>
    <row r="3976" spans="1:3" x14ac:dyDescent="0.3">
      <c r="A3976" t="s">
        <v>4033</v>
      </c>
      <c r="B3976">
        <f>IF(ISNUMBER(SEARCH(Form!$C$11,Tabel2[[#This Row],[Coordinate Projection System]])),MAX($B$1:B3975)+1,0)</f>
        <v>3975</v>
      </c>
      <c r="C3976" t="str">
        <f t="shared" si="62"/>
        <v>Fahud / UTM zone 40N</v>
      </c>
    </row>
    <row r="3977" spans="1:3" x14ac:dyDescent="0.3">
      <c r="A3977" t="s">
        <v>4034</v>
      </c>
      <c r="B3977">
        <f>IF(ISNUMBER(SEARCH(Form!$C$11,Tabel2[[#This Row],[Coordinate Projection System]])),MAX($B$1:B3976)+1,0)</f>
        <v>3976</v>
      </c>
      <c r="C3977" t="str">
        <f t="shared" si="62"/>
        <v>Garoua / UTM zone 33N (deprecated)</v>
      </c>
    </row>
    <row r="3978" spans="1:3" x14ac:dyDescent="0.3">
      <c r="A3978" t="s">
        <v>4035</v>
      </c>
      <c r="B3978">
        <f>IF(ISNUMBER(SEARCH(Form!$C$11,Tabel2[[#This Row],[Coordinate Projection System]])),MAX($B$1:B3977)+1,0)</f>
        <v>3977</v>
      </c>
      <c r="C3978" t="str">
        <f t="shared" si="62"/>
        <v>HD72 / EOV</v>
      </c>
    </row>
    <row r="3979" spans="1:3" x14ac:dyDescent="0.3">
      <c r="A3979" t="s">
        <v>4036</v>
      </c>
      <c r="B3979">
        <f>IF(ISNUMBER(SEARCH(Form!$C$11,Tabel2[[#This Row],[Coordinate Projection System]])),MAX($B$1:B3978)+1,0)</f>
        <v>3978</v>
      </c>
      <c r="C3979" t="str">
        <f t="shared" si="62"/>
        <v>DGN95 / Indonesia TM-3 zone 46.2</v>
      </c>
    </row>
    <row r="3980" spans="1:3" x14ac:dyDescent="0.3">
      <c r="A3980" t="s">
        <v>4037</v>
      </c>
      <c r="B3980">
        <f>IF(ISNUMBER(SEARCH(Form!$C$11,Tabel2[[#This Row],[Coordinate Projection System]])),MAX($B$1:B3979)+1,0)</f>
        <v>3979</v>
      </c>
      <c r="C3980" t="str">
        <f t="shared" si="62"/>
        <v>DGN95 / Indonesia TM-3 zone 47.1</v>
      </c>
    </row>
    <row r="3981" spans="1:3" x14ac:dyDescent="0.3">
      <c r="A3981" t="s">
        <v>4038</v>
      </c>
      <c r="B3981">
        <f>IF(ISNUMBER(SEARCH(Form!$C$11,Tabel2[[#This Row],[Coordinate Projection System]])),MAX($B$1:B3980)+1,0)</f>
        <v>3980</v>
      </c>
      <c r="C3981" t="str">
        <f t="shared" si="62"/>
        <v>DGN95 / Indonesia TM-3 zone 47.2</v>
      </c>
    </row>
    <row r="3982" spans="1:3" x14ac:dyDescent="0.3">
      <c r="A3982" t="s">
        <v>4039</v>
      </c>
      <c r="B3982">
        <f>IF(ISNUMBER(SEARCH(Form!$C$11,Tabel2[[#This Row],[Coordinate Projection System]])),MAX($B$1:B3981)+1,0)</f>
        <v>3981</v>
      </c>
      <c r="C3982" t="str">
        <f t="shared" si="62"/>
        <v>DGN95 / Indonesia TM-3 zone 48.1</v>
      </c>
    </row>
    <row r="3983" spans="1:3" x14ac:dyDescent="0.3">
      <c r="A3983" t="s">
        <v>4040</v>
      </c>
      <c r="B3983">
        <f>IF(ISNUMBER(SEARCH(Form!$C$11,Tabel2[[#This Row],[Coordinate Projection System]])),MAX($B$1:B3982)+1,0)</f>
        <v>3982</v>
      </c>
      <c r="C3983" t="str">
        <f t="shared" si="62"/>
        <v>DGN95 / Indonesia TM-3 zone 48.2</v>
      </c>
    </row>
    <row r="3984" spans="1:3" x14ac:dyDescent="0.3">
      <c r="A3984" t="s">
        <v>4041</v>
      </c>
      <c r="B3984">
        <f>IF(ISNUMBER(SEARCH(Form!$C$11,Tabel2[[#This Row],[Coordinate Projection System]])),MAX($B$1:B3983)+1,0)</f>
        <v>3983</v>
      </c>
      <c r="C3984" t="str">
        <f t="shared" si="62"/>
        <v>DGN95 / Indonesia TM-3 zone 49.1</v>
      </c>
    </row>
    <row r="3985" spans="1:3" x14ac:dyDescent="0.3">
      <c r="A3985" t="s">
        <v>4042</v>
      </c>
      <c r="B3985">
        <f>IF(ISNUMBER(SEARCH(Form!$C$11,Tabel2[[#This Row],[Coordinate Projection System]])),MAX($B$1:B3984)+1,0)</f>
        <v>3984</v>
      </c>
      <c r="C3985" t="str">
        <f t="shared" si="62"/>
        <v>DGN95 / Indonesia TM-3 zone 49.2</v>
      </c>
    </row>
    <row r="3986" spans="1:3" x14ac:dyDescent="0.3">
      <c r="A3986" t="s">
        <v>4043</v>
      </c>
      <c r="B3986">
        <f>IF(ISNUMBER(SEARCH(Form!$C$11,Tabel2[[#This Row],[Coordinate Projection System]])),MAX($B$1:B3985)+1,0)</f>
        <v>3985</v>
      </c>
      <c r="C3986" t="str">
        <f t="shared" si="62"/>
        <v>DGN95 / Indonesia TM-3 zone 50.1</v>
      </c>
    </row>
    <row r="3987" spans="1:3" x14ac:dyDescent="0.3">
      <c r="A3987" t="s">
        <v>4044</v>
      </c>
      <c r="B3987">
        <f>IF(ISNUMBER(SEARCH(Form!$C$11,Tabel2[[#This Row],[Coordinate Projection System]])),MAX($B$1:B3986)+1,0)</f>
        <v>3986</v>
      </c>
      <c r="C3987" t="str">
        <f t="shared" si="62"/>
        <v>DGN95 / Indonesia TM-3 zone 50.2</v>
      </c>
    </row>
    <row r="3988" spans="1:3" x14ac:dyDescent="0.3">
      <c r="A3988" t="s">
        <v>4045</v>
      </c>
      <c r="B3988">
        <f>IF(ISNUMBER(SEARCH(Form!$C$11,Tabel2[[#This Row],[Coordinate Projection System]])),MAX($B$1:B3987)+1,0)</f>
        <v>3987</v>
      </c>
      <c r="C3988" t="str">
        <f t="shared" si="62"/>
        <v>DGN95 / Indonesia TM-3 zone 51.1</v>
      </c>
    </row>
    <row r="3989" spans="1:3" x14ac:dyDescent="0.3">
      <c r="A3989" t="s">
        <v>4046</v>
      </c>
      <c r="B3989">
        <f>IF(ISNUMBER(SEARCH(Form!$C$11,Tabel2[[#This Row],[Coordinate Projection System]])),MAX($B$1:B3988)+1,0)</f>
        <v>3988</v>
      </c>
      <c r="C3989" t="str">
        <f t="shared" si="62"/>
        <v>DGN95 / Indonesia TM-3 zone 51.2</v>
      </c>
    </row>
    <row r="3990" spans="1:3" x14ac:dyDescent="0.3">
      <c r="A3990" t="s">
        <v>4047</v>
      </c>
      <c r="B3990">
        <f>IF(ISNUMBER(SEARCH(Form!$C$11,Tabel2[[#This Row],[Coordinate Projection System]])),MAX($B$1:B3989)+1,0)</f>
        <v>3989</v>
      </c>
      <c r="C3990" t="str">
        <f t="shared" si="62"/>
        <v>DGN95 / Indonesia TM-3 zone 52.1</v>
      </c>
    </row>
    <row r="3991" spans="1:3" x14ac:dyDescent="0.3">
      <c r="A3991" t="s">
        <v>4048</v>
      </c>
      <c r="B3991">
        <f>IF(ISNUMBER(SEARCH(Form!$C$11,Tabel2[[#This Row],[Coordinate Projection System]])),MAX($B$1:B3990)+1,0)</f>
        <v>3990</v>
      </c>
      <c r="C3991" t="str">
        <f t="shared" si="62"/>
        <v>DGN95 / Indonesia TM-3 zone 52.2</v>
      </c>
    </row>
    <row r="3992" spans="1:3" x14ac:dyDescent="0.3">
      <c r="A3992" t="s">
        <v>4049</v>
      </c>
      <c r="B3992">
        <f>IF(ISNUMBER(SEARCH(Form!$C$11,Tabel2[[#This Row],[Coordinate Projection System]])),MAX($B$1:B3991)+1,0)</f>
        <v>3991</v>
      </c>
      <c r="C3992" t="str">
        <f t="shared" si="62"/>
        <v>DGN95 / Indonesia TM-3 zone 53.1</v>
      </c>
    </row>
    <row r="3993" spans="1:3" x14ac:dyDescent="0.3">
      <c r="A3993" t="s">
        <v>4050</v>
      </c>
      <c r="B3993">
        <f>IF(ISNUMBER(SEARCH(Form!$C$11,Tabel2[[#This Row],[Coordinate Projection System]])),MAX($B$1:B3992)+1,0)</f>
        <v>3992</v>
      </c>
      <c r="C3993" t="str">
        <f t="shared" si="62"/>
        <v>DGN95 / Indonesia TM-3 zone 53.2</v>
      </c>
    </row>
    <row r="3994" spans="1:3" x14ac:dyDescent="0.3">
      <c r="A3994" t="s">
        <v>4051</v>
      </c>
      <c r="B3994">
        <f>IF(ISNUMBER(SEARCH(Form!$C$11,Tabel2[[#This Row],[Coordinate Projection System]])),MAX($B$1:B3993)+1,0)</f>
        <v>3993</v>
      </c>
      <c r="C3994" t="str">
        <f t="shared" si="62"/>
        <v>DGN95 / Indonesia TM-3 zone 54.1</v>
      </c>
    </row>
    <row r="3995" spans="1:3" x14ac:dyDescent="0.3">
      <c r="A3995" t="s">
        <v>4052</v>
      </c>
      <c r="B3995">
        <f>IF(ISNUMBER(SEARCH(Form!$C$11,Tabel2[[#This Row],[Coordinate Projection System]])),MAX($B$1:B3994)+1,0)</f>
        <v>3994</v>
      </c>
      <c r="C3995" t="str">
        <f t="shared" si="62"/>
        <v>ID74 / UTM zone 46N</v>
      </c>
    </row>
    <row r="3996" spans="1:3" x14ac:dyDescent="0.3">
      <c r="A3996" t="s">
        <v>4053</v>
      </c>
      <c r="B3996">
        <f>IF(ISNUMBER(SEARCH(Form!$C$11,Tabel2[[#This Row],[Coordinate Projection System]])),MAX($B$1:B3995)+1,0)</f>
        <v>3995</v>
      </c>
      <c r="C3996" t="str">
        <f t="shared" si="62"/>
        <v>ID74 / UTM zone 47N</v>
      </c>
    </row>
    <row r="3997" spans="1:3" x14ac:dyDescent="0.3">
      <c r="A3997" t="s">
        <v>4054</v>
      </c>
      <c r="B3997">
        <f>IF(ISNUMBER(SEARCH(Form!$C$11,Tabel2[[#This Row],[Coordinate Projection System]])),MAX($B$1:B3996)+1,0)</f>
        <v>3996</v>
      </c>
      <c r="C3997" t="str">
        <f t="shared" si="62"/>
        <v>ID74 / UTM zone 48N</v>
      </c>
    </row>
    <row r="3998" spans="1:3" x14ac:dyDescent="0.3">
      <c r="A3998" t="s">
        <v>4055</v>
      </c>
      <c r="B3998">
        <f>IF(ISNUMBER(SEARCH(Form!$C$11,Tabel2[[#This Row],[Coordinate Projection System]])),MAX($B$1:B3997)+1,0)</f>
        <v>3997</v>
      </c>
      <c r="C3998" t="str">
        <f t="shared" si="62"/>
        <v>ID74 / UTM zone 49N</v>
      </c>
    </row>
    <row r="3999" spans="1:3" x14ac:dyDescent="0.3">
      <c r="A3999" t="s">
        <v>4056</v>
      </c>
      <c r="B3999">
        <f>IF(ISNUMBER(SEARCH(Form!$C$11,Tabel2[[#This Row],[Coordinate Projection System]])),MAX($B$1:B3998)+1,0)</f>
        <v>3998</v>
      </c>
      <c r="C3999" t="str">
        <f t="shared" si="62"/>
        <v>ID74 / UTM zone 50N</v>
      </c>
    </row>
    <row r="4000" spans="1:3" x14ac:dyDescent="0.3">
      <c r="A4000" t="s">
        <v>4057</v>
      </c>
      <c r="B4000">
        <f>IF(ISNUMBER(SEARCH(Form!$C$11,Tabel2[[#This Row],[Coordinate Projection System]])),MAX($B$1:B3999)+1,0)</f>
        <v>3999</v>
      </c>
      <c r="C4000" t="str">
        <f t="shared" si="62"/>
        <v>ID74 / UTM zone 51N</v>
      </c>
    </row>
    <row r="4001" spans="1:3" x14ac:dyDescent="0.3">
      <c r="A4001" t="s">
        <v>4058</v>
      </c>
      <c r="B4001">
        <f>IF(ISNUMBER(SEARCH(Form!$C$11,Tabel2[[#This Row],[Coordinate Projection System]])),MAX($B$1:B4000)+1,0)</f>
        <v>4000</v>
      </c>
      <c r="C4001" t="str">
        <f t="shared" si="62"/>
        <v>ID74 / UTM zone 52N</v>
      </c>
    </row>
    <row r="4002" spans="1:3" x14ac:dyDescent="0.3">
      <c r="A4002" t="s">
        <v>4059</v>
      </c>
      <c r="B4002">
        <f>IF(ISNUMBER(SEARCH(Form!$C$11,Tabel2[[#This Row],[Coordinate Projection System]])),MAX($B$1:B4001)+1,0)</f>
        <v>4001</v>
      </c>
      <c r="C4002" t="str">
        <f t="shared" si="62"/>
        <v>ID74 / UTM zone 53N (deprecated)</v>
      </c>
    </row>
    <row r="4003" spans="1:3" x14ac:dyDescent="0.3">
      <c r="A4003" t="s">
        <v>4060</v>
      </c>
      <c r="B4003">
        <f>IF(ISNUMBER(SEARCH(Form!$C$11,Tabel2[[#This Row],[Coordinate Projection System]])),MAX($B$1:B4002)+1,0)</f>
        <v>4002</v>
      </c>
      <c r="C4003" t="str">
        <f t="shared" si="62"/>
        <v>DGN95 / UTM zone 46N</v>
      </c>
    </row>
    <row r="4004" spans="1:3" x14ac:dyDescent="0.3">
      <c r="A4004" t="s">
        <v>4061</v>
      </c>
      <c r="B4004">
        <f>IF(ISNUMBER(SEARCH(Form!$C$11,Tabel2[[#This Row],[Coordinate Projection System]])),MAX($B$1:B4003)+1,0)</f>
        <v>4003</v>
      </c>
      <c r="C4004" t="str">
        <f t="shared" si="62"/>
        <v>DGN95 / UTM zone 47N</v>
      </c>
    </row>
    <row r="4005" spans="1:3" x14ac:dyDescent="0.3">
      <c r="A4005" t="s">
        <v>4062</v>
      </c>
      <c r="B4005">
        <f>IF(ISNUMBER(SEARCH(Form!$C$11,Tabel2[[#This Row],[Coordinate Projection System]])),MAX($B$1:B4004)+1,0)</f>
        <v>4004</v>
      </c>
      <c r="C4005" t="str">
        <f t="shared" si="62"/>
        <v>DGN95 / UTM zone 48N</v>
      </c>
    </row>
    <row r="4006" spans="1:3" x14ac:dyDescent="0.3">
      <c r="A4006" t="s">
        <v>4063</v>
      </c>
      <c r="B4006">
        <f>IF(ISNUMBER(SEARCH(Form!$C$11,Tabel2[[#This Row],[Coordinate Projection System]])),MAX($B$1:B4005)+1,0)</f>
        <v>4005</v>
      </c>
      <c r="C4006" t="str">
        <f t="shared" si="62"/>
        <v>DGN95 / UTM zone 49N</v>
      </c>
    </row>
    <row r="4007" spans="1:3" x14ac:dyDescent="0.3">
      <c r="A4007" t="s">
        <v>4064</v>
      </c>
      <c r="B4007">
        <f>IF(ISNUMBER(SEARCH(Form!$C$11,Tabel2[[#This Row],[Coordinate Projection System]])),MAX($B$1:B4006)+1,0)</f>
        <v>4006</v>
      </c>
      <c r="C4007" t="str">
        <f t="shared" si="62"/>
        <v>DGN95 / UTM zone 50N</v>
      </c>
    </row>
    <row r="4008" spans="1:3" x14ac:dyDescent="0.3">
      <c r="A4008" t="s">
        <v>4065</v>
      </c>
      <c r="B4008">
        <f>IF(ISNUMBER(SEARCH(Form!$C$11,Tabel2[[#This Row],[Coordinate Projection System]])),MAX($B$1:B4007)+1,0)</f>
        <v>4007</v>
      </c>
      <c r="C4008" t="str">
        <f t="shared" si="62"/>
        <v>DGN95 / UTM zone 51N</v>
      </c>
    </row>
    <row r="4009" spans="1:3" x14ac:dyDescent="0.3">
      <c r="A4009" t="s">
        <v>4066</v>
      </c>
      <c r="B4009">
        <f>IF(ISNUMBER(SEARCH(Form!$C$11,Tabel2[[#This Row],[Coordinate Projection System]])),MAX($B$1:B4008)+1,0)</f>
        <v>4008</v>
      </c>
      <c r="C4009" t="str">
        <f t="shared" si="62"/>
        <v>DGN95 / UTM zone 52N</v>
      </c>
    </row>
    <row r="4010" spans="1:3" x14ac:dyDescent="0.3">
      <c r="A4010" t="s">
        <v>4067</v>
      </c>
      <c r="B4010">
        <f>IF(ISNUMBER(SEARCH(Form!$C$11,Tabel2[[#This Row],[Coordinate Projection System]])),MAX($B$1:B4009)+1,0)</f>
        <v>4009</v>
      </c>
      <c r="C4010" t="str">
        <f t="shared" si="62"/>
        <v>DGN95 / UTM zone 47S</v>
      </c>
    </row>
    <row r="4011" spans="1:3" x14ac:dyDescent="0.3">
      <c r="A4011" t="s">
        <v>4068</v>
      </c>
      <c r="B4011">
        <f>IF(ISNUMBER(SEARCH(Form!$C$11,Tabel2[[#This Row],[Coordinate Projection System]])),MAX($B$1:B4010)+1,0)</f>
        <v>4010</v>
      </c>
      <c r="C4011" t="str">
        <f t="shared" si="62"/>
        <v>DGN95 / UTM zone 48S</v>
      </c>
    </row>
    <row r="4012" spans="1:3" x14ac:dyDescent="0.3">
      <c r="A4012" t="s">
        <v>4069</v>
      </c>
      <c r="B4012">
        <f>IF(ISNUMBER(SEARCH(Form!$C$11,Tabel2[[#This Row],[Coordinate Projection System]])),MAX($B$1:B4011)+1,0)</f>
        <v>4011</v>
      </c>
      <c r="C4012" t="str">
        <f t="shared" si="62"/>
        <v>DGN95 / UTM zone 49S</v>
      </c>
    </row>
    <row r="4013" spans="1:3" x14ac:dyDescent="0.3">
      <c r="A4013" t="s">
        <v>4070</v>
      </c>
      <c r="B4013">
        <f>IF(ISNUMBER(SEARCH(Form!$C$11,Tabel2[[#This Row],[Coordinate Projection System]])),MAX($B$1:B4012)+1,0)</f>
        <v>4012</v>
      </c>
      <c r="C4013" t="str">
        <f t="shared" si="62"/>
        <v>DGN95 / UTM zone 50S</v>
      </c>
    </row>
    <row r="4014" spans="1:3" x14ac:dyDescent="0.3">
      <c r="A4014" t="s">
        <v>4071</v>
      </c>
      <c r="B4014">
        <f>IF(ISNUMBER(SEARCH(Form!$C$11,Tabel2[[#This Row],[Coordinate Projection System]])),MAX($B$1:B4013)+1,0)</f>
        <v>4013</v>
      </c>
      <c r="C4014" t="str">
        <f t="shared" si="62"/>
        <v>DGN95 / UTM zone 51S</v>
      </c>
    </row>
    <row r="4015" spans="1:3" x14ac:dyDescent="0.3">
      <c r="A4015" t="s">
        <v>4072</v>
      </c>
      <c r="B4015">
        <f>IF(ISNUMBER(SEARCH(Form!$C$11,Tabel2[[#This Row],[Coordinate Projection System]])),MAX($B$1:B4014)+1,0)</f>
        <v>4014</v>
      </c>
      <c r="C4015" t="str">
        <f t="shared" si="62"/>
        <v>DGN95 / UTM zone 52S</v>
      </c>
    </row>
    <row r="4016" spans="1:3" x14ac:dyDescent="0.3">
      <c r="A4016" t="s">
        <v>4073</v>
      </c>
      <c r="B4016">
        <f>IF(ISNUMBER(SEARCH(Form!$C$11,Tabel2[[#This Row],[Coordinate Projection System]])),MAX($B$1:B4015)+1,0)</f>
        <v>4015</v>
      </c>
      <c r="C4016" t="str">
        <f t="shared" si="62"/>
        <v>DGN95 / UTM zone 53S</v>
      </c>
    </row>
    <row r="4017" spans="1:3" x14ac:dyDescent="0.3">
      <c r="A4017" t="s">
        <v>4074</v>
      </c>
      <c r="B4017">
        <f>IF(ISNUMBER(SEARCH(Form!$C$11,Tabel2[[#This Row],[Coordinate Projection System]])),MAX($B$1:B4016)+1,0)</f>
        <v>4016</v>
      </c>
      <c r="C4017" t="str">
        <f t="shared" si="62"/>
        <v>DGN95 / UTM zone 54S</v>
      </c>
    </row>
    <row r="4018" spans="1:3" x14ac:dyDescent="0.3">
      <c r="A4018" t="s">
        <v>4075</v>
      </c>
      <c r="B4018">
        <f>IF(ISNUMBER(SEARCH(Form!$C$11,Tabel2[[#This Row],[Coordinate Projection System]])),MAX($B$1:B4017)+1,0)</f>
        <v>4017</v>
      </c>
      <c r="C4018" t="str">
        <f t="shared" si="62"/>
        <v>ID74 / UTM zone 46S (deprecated)</v>
      </c>
    </row>
    <row r="4019" spans="1:3" x14ac:dyDescent="0.3">
      <c r="A4019" t="s">
        <v>4076</v>
      </c>
      <c r="B4019">
        <f>IF(ISNUMBER(SEARCH(Form!$C$11,Tabel2[[#This Row],[Coordinate Projection System]])),MAX($B$1:B4018)+1,0)</f>
        <v>4018</v>
      </c>
      <c r="C4019" t="str">
        <f t="shared" si="62"/>
        <v>ID74 / UTM zone 47S</v>
      </c>
    </row>
    <row r="4020" spans="1:3" x14ac:dyDescent="0.3">
      <c r="A4020" t="s">
        <v>4077</v>
      </c>
      <c r="B4020">
        <f>IF(ISNUMBER(SEARCH(Form!$C$11,Tabel2[[#This Row],[Coordinate Projection System]])),MAX($B$1:B4019)+1,0)</f>
        <v>4019</v>
      </c>
      <c r="C4020" t="str">
        <f t="shared" si="62"/>
        <v>ID74 / UTM zone 48S</v>
      </c>
    </row>
    <row r="4021" spans="1:3" x14ac:dyDescent="0.3">
      <c r="A4021" t="s">
        <v>4078</v>
      </c>
      <c r="B4021">
        <f>IF(ISNUMBER(SEARCH(Form!$C$11,Tabel2[[#This Row],[Coordinate Projection System]])),MAX($B$1:B4020)+1,0)</f>
        <v>4020</v>
      </c>
      <c r="C4021" t="str">
        <f t="shared" si="62"/>
        <v>ID74 / UTM zone 49S</v>
      </c>
    </row>
    <row r="4022" spans="1:3" x14ac:dyDescent="0.3">
      <c r="A4022" t="s">
        <v>4079</v>
      </c>
      <c r="B4022">
        <f>IF(ISNUMBER(SEARCH(Form!$C$11,Tabel2[[#This Row],[Coordinate Projection System]])),MAX($B$1:B4021)+1,0)</f>
        <v>4021</v>
      </c>
      <c r="C4022" t="str">
        <f t="shared" si="62"/>
        <v>ID74 / UTM zone 50S</v>
      </c>
    </row>
    <row r="4023" spans="1:3" x14ac:dyDescent="0.3">
      <c r="A4023" t="s">
        <v>4080</v>
      </c>
      <c r="B4023">
        <f>IF(ISNUMBER(SEARCH(Form!$C$11,Tabel2[[#This Row],[Coordinate Projection System]])),MAX($B$1:B4022)+1,0)</f>
        <v>4022</v>
      </c>
      <c r="C4023" t="str">
        <f t="shared" si="62"/>
        <v>ID74 / UTM zone 51S</v>
      </c>
    </row>
    <row r="4024" spans="1:3" x14ac:dyDescent="0.3">
      <c r="A4024" t="s">
        <v>4081</v>
      </c>
      <c r="B4024">
        <f>IF(ISNUMBER(SEARCH(Form!$C$11,Tabel2[[#This Row],[Coordinate Projection System]])),MAX($B$1:B4023)+1,0)</f>
        <v>4023</v>
      </c>
      <c r="C4024" t="str">
        <f t="shared" si="62"/>
        <v>ID74 / UTM zone 52S</v>
      </c>
    </row>
    <row r="4025" spans="1:3" x14ac:dyDescent="0.3">
      <c r="A4025" t="s">
        <v>4082</v>
      </c>
      <c r="B4025">
        <f>IF(ISNUMBER(SEARCH(Form!$C$11,Tabel2[[#This Row],[Coordinate Projection System]])),MAX($B$1:B4024)+1,0)</f>
        <v>4024</v>
      </c>
      <c r="C4025" t="str">
        <f t="shared" si="62"/>
        <v>ID74 / UTM zone 53S</v>
      </c>
    </row>
    <row r="4026" spans="1:3" x14ac:dyDescent="0.3">
      <c r="A4026" t="s">
        <v>4083</v>
      </c>
      <c r="B4026">
        <f>IF(ISNUMBER(SEARCH(Form!$C$11,Tabel2[[#This Row],[Coordinate Projection System]])),MAX($B$1:B4025)+1,0)</f>
        <v>4025</v>
      </c>
      <c r="C4026" t="str">
        <f t="shared" si="62"/>
        <v>ID74 / UTM zone 54S</v>
      </c>
    </row>
    <row r="4027" spans="1:3" x14ac:dyDescent="0.3">
      <c r="A4027" t="s">
        <v>4084</v>
      </c>
      <c r="B4027">
        <f>IF(ISNUMBER(SEARCH(Form!$C$11,Tabel2[[#This Row],[Coordinate Projection System]])),MAX($B$1:B4026)+1,0)</f>
        <v>4026</v>
      </c>
      <c r="C4027" t="str">
        <f t="shared" si="62"/>
        <v>Indian 1954 / UTM zone 46N</v>
      </c>
    </row>
    <row r="4028" spans="1:3" x14ac:dyDescent="0.3">
      <c r="A4028" t="s">
        <v>4085</v>
      </c>
      <c r="B4028">
        <f>IF(ISNUMBER(SEARCH(Form!$C$11,Tabel2[[#This Row],[Coordinate Projection System]])),MAX($B$1:B4027)+1,0)</f>
        <v>4027</v>
      </c>
      <c r="C4028" t="str">
        <f t="shared" si="62"/>
        <v>Indian 1954 / UTM zone 47N</v>
      </c>
    </row>
    <row r="4029" spans="1:3" x14ac:dyDescent="0.3">
      <c r="A4029" t="s">
        <v>4086</v>
      </c>
      <c r="B4029">
        <f>IF(ISNUMBER(SEARCH(Form!$C$11,Tabel2[[#This Row],[Coordinate Projection System]])),MAX($B$1:B4028)+1,0)</f>
        <v>4028</v>
      </c>
      <c r="C4029" t="str">
        <f t="shared" si="62"/>
        <v>Indian 1954 / UTM zone 48N</v>
      </c>
    </row>
    <row r="4030" spans="1:3" x14ac:dyDescent="0.3">
      <c r="A4030" t="s">
        <v>4087</v>
      </c>
      <c r="B4030">
        <f>IF(ISNUMBER(SEARCH(Form!$C$11,Tabel2[[#This Row],[Coordinate Projection System]])),MAX($B$1:B4029)+1,0)</f>
        <v>4029</v>
      </c>
      <c r="C4030" t="str">
        <f t="shared" si="62"/>
        <v>Indian 1975 / UTM zone 47N</v>
      </c>
    </row>
    <row r="4031" spans="1:3" x14ac:dyDescent="0.3">
      <c r="A4031" t="s">
        <v>4088</v>
      </c>
      <c r="B4031">
        <f>IF(ISNUMBER(SEARCH(Form!$C$11,Tabel2[[#This Row],[Coordinate Projection System]])),MAX($B$1:B4030)+1,0)</f>
        <v>4030</v>
      </c>
      <c r="C4031" t="str">
        <f t="shared" si="62"/>
        <v>Indian 1975 / UTM zone 48N</v>
      </c>
    </row>
    <row r="4032" spans="1:3" x14ac:dyDescent="0.3">
      <c r="A4032" t="s">
        <v>4089</v>
      </c>
      <c r="B4032">
        <f>IF(ISNUMBER(SEARCH(Form!$C$11,Tabel2[[#This Row],[Coordinate Projection System]])),MAX($B$1:B4031)+1,0)</f>
        <v>4031</v>
      </c>
      <c r="C4032" t="str">
        <f t="shared" si="62"/>
        <v>Jamaica 1875 / Jamaica (Old Grid)</v>
      </c>
    </row>
    <row r="4033" spans="1:3" x14ac:dyDescent="0.3">
      <c r="A4033" t="s">
        <v>4090</v>
      </c>
      <c r="B4033">
        <f>IF(ISNUMBER(SEARCH(Form!$C$11,Tabel2[[#This Row],[Coordinate Projection System]])),MAX($B$1:B4032)+1,0)</f>
        <v>4032</v>
      </c>
      <c r="C4033" t="str">
        <f t="shared" si="62"/>
        <v>JAD69 / Jamaica National Grid</v>
      </c>
    </row>
    <row r="4034" spans="1:3" x14ac:dyDescent="0.3">
      <c r="A4034" t="s">
        <v>4091</v>
      </c>
      <c r="B4034">
        <f>IF(ISNUMBER(SEARCH(Form!$C$11,Tabel2[[#This Row],[Coordinate Projection System]])),MAX($B$1:B4033)+1,0)</f>
        <v>4033</v>
      </c>
      <c r="C4034" t="str">
        <f t="shared" si="62"/>
        <v>Kalianpur 1937 / UTM zone 45N</v>
      </c>
    </row>
    <row r="4035" spans="1:3" x14ac:dyDescent="0.3">
      <c r="A4035" t="s">
        <v>4092</v>
      </c>
      <c r="B4035">
        <f>IF(ISNUMBER(SEARCH(Form!$C$11,Tabel2[[#This Row],[Coordinate Projection System]])),MAX($B$1:B4034)+1,0)</f>
        <v>4034</v>
      </c>
      <c r="C4035" t="str">
        <f t="shared" ref="C4035:C4098" si="63">_xlfn.IFNA(INDEX(A4035:A9546,MATCH(ROW(C4034),B4035:B9546,0)),"")</f>
        <v>Kalianpur 1937 / UTM zone 46N</v>
      </c>
    </row>
    <row r="4036" spans="1:3" x14ac:dyDescent="0.3">
      <c r="A4036" t="s">
        <v>4093</v>
      </c>
      <c r="B4036">
        <f>IF(ISNUMBER(SEARCH(Form!$C$11,Tabel2[[#This Row],[Coordinate Projection System]])),MAX($B$1:B4035)+1,0)</f>
        <v>4035</v>
      </c>
      <c r="C4036" t="str">
        <f t="shared" si="63"/>
        <v>Kalianpur 1962 / UTM zone 41N</v>
      </c>
    </row>
    <row r="4037" spans="1:3" x14ac:dyDescent="0.3">
      <c r="A4037" t="s">
        <v>4094</v>
      </c>
      <c r="B4037">
        <f>IF(ISNUMBER(SEARCH(Form!$C$11,Tabel2[[#This Row],[Coordinate Projection System]])),MAX($B$1:B4036)+1,0)</f>
        <v>4036</v>
      </c>
      <c r="C4037" t="str">
        <f t="shared" si="63"/>
        <v>Kalianpur 1962 / UTM zone 42N</v>
      </c>
    </row>
    <row r="4038" spans="1:3" x14ac:dyDescent="0.3">
      <c r="A4038" t="s">
        <v>4095</v>
      </c>
      <c r="B4038">
        <f>IF(ISNUMBER(SEARCH(Form!$C$11,Tabel2[[#This Row],[Coordinate Projection System]])),MAX($B$1:B4037)+1,0)</f>
        <v>4037</v>
      </c>
      <c r="C4038" t="str">
        <f t="shared" si="63"/>
        <v>Kalianpur 1962 / UTM zone 43N</v>
      </c>
    </row>
    <row r="4039" spans="1:3" x14ac:dyDescent="0.3">
      <c r="A4039" t="s">
        <v>4096</v>
      </c>
      <c r="B4039">
        <f>IF(ISNUMBER(SEARCH(Form!$C$11,Tabel2[[#This Row],[Coordinate Projection System]])),MAX($B$1:B4038)+1,0)</f>
        <v>4038</v>
      </c>
      <c r="C4039" t="str">
        <f t="shared" si="63"/>
        <v>Kalianpur 1975 / UTM zone 42N</v>
      </c>
    </row>
    <row r="4040" spans="1:3" x14ac:dyDescent="0.3">
      <c r="A4040" t="s">
        <v>4097</v>
      </c>
      <c r="B4040">
        <f>IF(ISNUMBER(SEARCH(Form!$C$11,Tabel2[[#This Row],[Coordinate Projection System]])),MAX($B$1:B4039)+1,0)</f>
        <v>4039</v>
      </c>
      <c r="C4040" t="str">
        <f t="shared" si="63"/>
        <v>Kalianpur 1975 / UTM zone 43N</v>
      </c>
    </row>
    <row r="4041" spans="1:3" x14ac:dyDescent="0.3">
      <c r="A4041" t="s">
        <v>4098</v>
      </c>
      <c r="B4041">
        <f>IF(ISNUMBER(SEARCH(Form!$C$11,Tabel2[[#This Row],[Coordinate Projection System]])),MAX($B$1:B4040)+1,0)</f>
        <v>4040</v>
      </c>
      <c r="C4041" t="str">
        <f t="shared" si="63"/>
        <v>Kalianpur 1975 / UTM zone 44N</v>
      </c>
    </row>
    <row r="4042" spans="1:3" x14ac:dyDescent="0.3">
      <c r="A4042" t="s">
        <v>4099</v>
      </c>
      <c r="B4042">
        <f>IF(ISNUMBER(SEARCH(Form!$C$11,Tabel2[[#This Row],[Coordinate Projection System]])),MAX($B$1:B4041)+1,0)</f>
        <v>4041</v>
      </c>
      <c r="C4042" t="str">
        <f t="shared" si="63"/>
        <v>Kalianpur 1975 / UTM zone 45N</v>
      </c>
    </row>
    <row r="4043" spans="1:3" x14ac:dyDescent="0.3">
      <c r="A4043" t="s">
        <v>4100</v>
      </c>
      <c r="B4043">
        <f>IF(ISNUMBER(SEARCH(Form!$C$11,Tabel2[[#This Row],[Coordinate Projection System]])),MAX($B$1:B4042)+1,0)</f>
        <v>4042</v>
      </c>
      <c r="C4043" t="str">
        <f t="shared" si="63"/>
        <v>Kalianpur 1975 / UTM zone 46N</v>
      </c>
    </row>
    <row r="4044" spans="1:3" x14ac:dyDescent="0.3">
      <c r="A4044" t="s">
        <v>4101</v>
      </c>
      <c r="B4044">
        <f>IF(ISNUMBER(SEARCH(Form!$C$11,Tabel2[[#This Row],[Coordinate Projection System]])),MAX($B$1:B4043)+1,0)</f>
        <v>4043</v>
      </c>
      <c r="C4044" t="str">
        <f t="shared" si="63"/>
        <v>Kalianpur 1975 / UTM zone 47N</v>
      </c>
    </row>
    <row r="4045" spans="1:3" x14ac:dyDescent="0.3">
      <c r="A4045" t="s">
        <v>4102</v>
      </c>
      <c r="B4045">
        <f>IF(ISNUMBER(SEARCH(Form!$C$11,Tabel2[[#This Row],[Coordinate Projection System]])),MAX($B$1:B4044)+1,0)</f>
        <v>4044</v>
      </c>
      <c r="C4045" t="str">
        <f t="shared" si="63"/>
        <v>Kalianpur 1880 / India zone 0</v>
      </c>
    </row>
    <row r="4046" spans="1:3" x14ac:dyDescent="0.3">
      <c r="A4046" t="s">
        <v>4103</v>
      </c>
      <c r="B4046">
        <f>IF(ISNUMBER(SEARCH(Form!$C$11,Tabel2[[#This Row],[Coordinate Projection System]])),MAX($B$1:B4045)+1,0)</f>
        <v>4045</v>
      </c>
      <c r="C4046" t="str">
        <f t="shared" si="63"/>
        <v>Kalianpur 1880 / India zone I</v>
      </c>
    </row>
    <row r="4047" spans="1:3" x14ac:dyDescent="0.3">
      <c r="A4047" t="s">
        <v>4104</v>
      </c>
      <c r="B4047">
        <f>IF(ISNUMBER(SEARCH(Form!$C$11,Tabel2[[#This Row],[Coordinate Projection System]])),MAX($B$1:B4046)+1,0)</f>
        <v>4046</v>
      </c>
      <c r="C4047" t="str">
        <f t="shared" si="63"/>
        <v>Kalianpur 1880 / India zone IIa</v>
      </c>
    </row>
    <row r="4048" spans="1:3" x14ac:dyDescent="0.3">
      <c r="A4048" t="s">
        <v>4105</v>
      </c>
      <c r="B4048">
        <f>IF(ISNUMBER(SEARCH(Form!$C$11,Tabel2[[#This Row],[Coordinate Projection System]])),MAX($B$1:B4047)+1,0)</f>
        <v>4047</v>
      </c>
      <c r="C4048" t="str">
        <f t="shared" si="63"/>
        <v>Kalianpur 1880 / India zone IIIa</v>
      </c>
    </row>
    <row r="4049" spans="1:3" x14ac:dyDescent="0.3">
      <c r="A4049" t="s">
        <v>4106</v>
      </c>
      <c r="B4049">
        <f>IF(ISNUMBER(SEARCH(Form!$C$11,Tabel2[[#This Row],[Coordinate Projection System]])),MAX($B$1:B4048)+1,0)</f>
        <v>4048</v>
      </c>
      <c r="C4049" t="str">
        <f t="shared" si="63"/>
        <v>Kalianpur 1880 / India zone IVa</v>
      </c>
    </row>
    <row r="4050" spans="1:3" x14ac:dyDescent="0.3">
      <c r="A4050" t="s">
        <v>4107</v>
      </c>
      <c r="B4050">
        <f>IF(ISNUMBER(SEARCH(Form!$C$11,Tabel2[[#This Row],[Coordinate Projection System]])),MAX($B$1:B4049)+1,0)</f>
        <v>4049</v>
      </c>
      <c r="C4050" t="str">
        <f t="shared" si="63"/>
        <v>Kalianpur 1937 / India zone IIb</v>
      </c>
    </row>
    <row r="4051" spans="1:3" x14ac:dyDescent="0.3">
      <c r="A4051" t="s">
        <v>4108</v>
      </c>
      <c r="B4051">
        <f>IF(ISNUMBER(SEARCH(Form!$C$11,Tabel2[[#This Row],[Coordinate Projection System]])),MAX($B$1:B4050)+1,0)</f>
        <v>4050</v>
      </c>
      <c r="C4051" t="str">
        <f t="shared" si="63"/>
        <v>Kalianpur 1962 / India zone I</v>
      </c>
    </row>
    <row r="4052" spans="1:3" x14ac:dyDescent="0.3">
      <c r="A4052" t="s">
        <v>4109</v>
      </c>
      <c r="B4052">
        <f>IF(ISNUMBER(SEARCH(Form!$C$11,Tabel2[[#This Row],[Coordinate Projection System]])),MAX($B$1:B4051)+1,0)</f>
        <v>4051</v>
      </c>
      <c r="C4052" t="str">
        <f t="shared" si="63"/>
        <v>Kalianpur 1962 / India zone IIa</v>
      </c>
    </row>
    <row r="4053" spans="1:3" x14ac:dyDescent="0.3">
      <c r="A4053" t="s">
        <v>4110</v>
      </c>
      <c r="B4053">
        <f>IF(ISNUMBER(SEARCH(Form!$C$11,Tabel2[[#This Row],[Coordinate Projection System]])),MAX($B$1:B4052)+1,0)</f>
        <v>4052</v>
      </c>
      <c r="C4053" t="str">
        <f t="shared" si="63"/>
        <v>Kalianpur 1975 / India zone I</v>
      </c>
    </row>
    <row r="4054" spans="1:3" x14ac:dyDescent="0.3">
      <c r="A4054" t="s">
        <v>4111</v>
      </c>
      <c r="B4054">
        <f>IF(ISNUMBER(SEARCH(Form!$C$11,Tabel2[[#This Row],[Coordinate Projection System]])),MAX($B$1:B4053)+1,0)</f>
        <v>4053</v>
      </c>
      <c r="C4054" t="str">
        <f t="shared" si="63"/>
        <v>Kalianpur 1975 / India zone IIa</v>
      </c>
    </row>
    <row r="4055" spans="1:3" x14ac:dyDescent="0.3">
      <c r="A4055" t="s">
        <v>4112</v>
      </c>
      <c r="B4055">
        <f>IF(ISNUMBER(SEARCH(Form!$C$11,Tabel2[[#This Row],[Coordinate Projection System]])),MAX($B$1:B4054)+1,0)</f>
        <v>4054</v>
      </c>
      <c r="C4055" t="str">
        <f t="shared" si="63"/>
        <v>Kalianpur 1975 / India zone IIb</v>
      </c>
    </row>
    <row r="4056" spans="1:3" x14ac:dyDescent="0.3">
      <c r="A4056" t="s">
        <v>4113</v>
      </c>
      <c r="B4056">
        <f>IF(ISNUMBER(SEARCH(Form!$C$11,Tabel2[[#This Row],[Coordinate Projection System]])),MAX($B$1:B4055)+1,0)</f>
        <v>4055</v>
      </c>
      <c r="C4056" t="str">
        <f t="shared" si="63"/>
        <v>Kalianpur 1975 / India zone IIIa</v>
      </c>
    </row>
    <row r="4057" spans="1:3" x14ac:dyDescent="0.3">
      <c r="A4057" t="s">
        <v>4114</v>
      </c>
      <c r="B4057">
        <f>IF(ISNUMBER(SEARCH(Form!$C$11,Tabel2[[#This Row],[Coordinate Projection System]])),MAX($B$1:B4056)+1,0)</f>
        <v>4056</v>
      </c>
      <c r="C4057" t="str">
        <f t="shared" si="63"/>
        <v>Kalianpur 1880 / India zone IIb</v>
      </c>
    </row>
    <row r="4058" spans="1:3" x14ac:dyDescent="0.3">
      <c r="A4058" t="s">
        <v>4115</v>
      </c>
      <c r="B4058">
        <f>IF(ISNUMBER(SEARCH(Form!$C$11,Tabel2[[#This Row],[Coordinate Projection System]])),MAX($B$1:B4057)+1,0)</f>
        <v>4057</v>
      </c>
      <c r="C4058" t="str">
        <f t="shared" si="63"/>
        <v>Kalianpur 1975 / India zone IVa</v>
      </c>
    </row>
    <row r="4059" spans="1:3" x14ac:dyDescent="0.3">
      <c r="A4059" t="s">
        <v>4116</v>
      </c>
      <c r="B4059">
        <f>IF(ISNUMBER(SEARCH(Form!$C$11,Tabel2[[#This Row],[Coordinate Projection System]])),MAX($B$1:B4058)+1,0)</f>
        <v>4058</v>
      </c>
      <c r="C4059" t="str">
        <f t="shared" si="63"/>
        <v>Kertau 1968 / Singapore Grid</v>
      </c>
    </row>
    <row r="4060" spans="1:3" x14ac:dyDescent="0.3">
      <c r="A4060" t="s">
        <v>4117</v>
      </c>
      <c r="B4060">
        <f>IF(ISNUMBER(SEARCH(Form!$C$11,Tabel2[[#This Row],[Coordinate Projection System]])),MAX($B$1:B4059)+1,0)</f>
        <v>4059</v>
      </c>
      <c r="C4060" t="str">
        <f t="shared" si="63"/>
        <v>Kertau 1968 / UTM zone 47N</v>
      </c>
    </row>
    <row r="4061" spans="1:3" x14ac:dyDescent="0.3">
      <c r="A4061" t="s">
        <v>4118</v>
      </c>
      <c r="B4061">
        <f>IF(ISNUMBER(SEARCH(Form!$C$11,Tabel2[[#This Row],[Coordinate Projection System]])),MAX($B$1:B4060)+1,0)</f>
        <v>4060</v>
      </c>
      <c r="C4061" t="str">
        <f t="shared" si="63"/>
        <v>Kertau 1968 / UTM zone 48N</v>
      </c>
    </row>
    <row r="4062" spans="1:3" x14ac:dyDescent="0.3">
      <c r="A4062" t="s">
        <v>4119</v>
      </c>
      <c r="B4062">
        <f>IF(ISNUMBER(SEARCH(Form!$C$11,Tabel2[[#This Row],[Coordinate Projection System]])),MAX($B$1:B4061)+1,0)</f>
        <v>4061</v>
      </c>
      <c r="C4062" t="str">
        <f t="shared" si="63"/>
        <v>Kertau / R.S.O. Malaya (ch) (deprecated)</v>
      </c>
    </row>
    <row r="4063" spans="1:3" x14ac:dyDescent="0.3">
      <c r="A4063" t="s">
        <v>4120</v>
      </c>
      <c r="B4063">
        <f>IF(ISNUMBER(SEARCH(Form!$C$11,Tabel2[[#This Row],[Coordinate Projection System]])),MAX($B$1:B4062)+1,0)</f>
        <v>4062</v>
      </c>
      <c r="C4063" t="str">
        <f t="shared" si="63"/>
        <v>KOC Lambert</v>
      </c>
    </row>
    <row r="4064" spans="1:3" x14ac:dyDescent="0.3">
      <c r="A4064" t="s">
        <v>4121</v>
      </c>
      <c r="B4064">
        <f>IF(ISNUMBER(SEARCH(Form!$C$11,Tabel2[[#This Row],[Coordinate Projection System]])),MAX($B$1:B4063)+1,0)</f>
        <v>4063</v>
      </c>
      <c r="C4064" t="str">
        <f t="shared" si="63"/>
        <v>La Canoa / UTM zone 18N</v>
      </c>
    </row>
    <row r="4065" spans="1:3" x14ac:dyDescent="0.3">
      <c r="A4065" t="s">
        <v>4122</v>
      </c>
      <c r="B4065">
        <f>IF(ISNUMBER(SEARCH(Form!$C$11,Tabel2[[#This Row],[Coordinate Projection System]])),MAX($B$1:B4064)+1,0)</f>
        <v>4064</v>
      </c>
      <c r="C4065" t="str">
        <f t="shared" si="63"/>
        <v>La Canoa / UTM zone 19N</v>
      </c>
    </row>
    <row r="4066" spans="1:3" x14ac:dyDescent="0.3">
      <c r="A4066" t="s">
        <v>4123</v>
      </c>
      <c r="B4066">
        <f>IF(ISNUMBER(SEARCH(Form!$C$11,Tabel2[[#This Row],[Coordinate Projection System]])),MAX($B$1:B4065)+1,0)</f>
        <v>4065</v>
      </c>
      <c r="C4066" t="str">
        <f t="shared" si="63"/>
        <v>La Canoa / UTM zone 20N</v>
      </c>
    </row>
    <row r="4067" spans="1:3" x14ac:dyDescent="0.3">
      <c r="A4067" t="s">
        <v>4124</v>
      </c>
      <c r="B4067">
        <f>IF(ISNUMBER(SEARCH(Form!$C$11,Tabel2[[#This Row],[Coordinate Projection System]])),MAX($B$1:B4066)+1,0)</f>
        <v>4066</v>
      </c>
      <c r="C4067" t="str">
        <f t="shared" si="63"/>
        <v>PSAD56 / UTM zone 17N</v>
      </c>
    </row>
    <row r="4068" spans="1:3" x14ac:dyDescent="0.3">
      <c r="A4068" t="s">
        <v>4125</v>
      </c>
      <c r="B4068">
        <f>IF(ISNUMBER(SEARCH(Form!$C$11,Tabel2[[#This Row],[Coordinate Projection System]])),MAX($B$1:B4067)+1,0)</f>
        <v>4067</v>
      </c>
      <c r="C4068" t="str">
        <f t="shared" si="63"/>
        <v>PSAD56 / UTM zone 18N</v>
      </c>
    </row>
    <row r="4069" spans="1:3" x14ac:dyDescent="0.3">
      <c r="A4069" t="s">
        <v>4126</v>
      </c>
      <c r="B4069">
        <f>IF(ISNUMBER(SEARCH(Form!$C$11,Tabel2[[#This Row],[Coordinate Projection System]])),MAX($B$1:B4068)+1,0)</f>
        <v>4068</v>
      </c>
      <c r="C4069" t="str">
        <f t="shared" si="63"/>
        <v>PSAD56 / UTM zone 19N</v>
      </c>
    </row>
    <row r="4070" spans="1:3" x14ac:dyDescent="0.3">
      <c r="A4070" t="s">
        <v>4127</v>
      </c>
      <c r="B4070">
        <f>IF(ISNUMBER(SEARCH(Form!$C$11,Tabel2[[#This Row],[Coordinate Projection System]])),MAX($B$1:B4069)+1,0)</f>
        <v>4069</v>
      </c>
      <c r="C4070" t="str">
        <f t="shared" si="63"/>
        <v>PSAD56 / UTM zone 20N</v>
      </c>
    </row>
    <row r="4071" spans="1:3" x14ac:dyDescent="0.3">
      <c r="A4071" t="s">
        <v>4128</v>
      </c>
      <c r="B4071">
        <f>IF(ISNUMBER(SEARCH(Form!$C$11,Tabel2[[#This Row],[Coordinate Projection System]])),MAX($B$1:B4070)+1,0)</f>
        <v>4070</v>
      </c>
      <c r="C4071" t="str">
        <f t="shared" si="63"/>
        <v>PSAD56 / UTM zone 21N</v>
      </c>
    </row>
    <row r="4072" spans="1:3" x14ac:dyDescent="0.3">
      <c r="A4072" t="s">
        <v>4129</v>
      </c>
      <c r="B4072">
        <f>IF(ISNUMBER(SEARCH(Form!$C$11,Tabel2[[#This Row],[Coordinate Projection System]])),MAX($B$1:B4071)+1,0)</f>
        <v>4071</v>
      </c>
      <c r="C4072" t="str">
        <f t="shared" si="63"/>
        <v>PSAD56 / UTM zone 17S</v>
      </c>
    </row>
    <row r="4073" spans="1:3" x14ac:dyDescent="0.3">
      <c r="A4073" t="s">
        <v>4130</v>
      </c>
      <c r="B4073">
        <f>IF(ISNUMBER(SEARCH(Form!$C$11,Tabel2[[#This Row],[Coordinate Projection System]])),MAX($B$1:B4072)+1,0)</f>
        <v>4072</v>
      </c>
      <c r="C4073" t="str">
        <f t="shared" si="63"/>
        <v>PSAD56 / UTM zone 18S</v>
      </c>
    </row>
    <row r="4074" spans="1:3" x14ac:dyDescent="0.3">
      <c r="A4074" t="s">
        <v>4131</v>
      </c>
      <c r="B4074">
        <f>IF(ISNUMBER(SEARCH(Form!$C$11,Tabel2[[#This Row],[Coordinate Projection System]])),MAX($B$1:B4073)+1,0)</f>
        <v>4073</v>
      </c>
      <c r="C4074" t="str">
        <f t="shared" si="63"/>
        <v>PSAD56 / UTM zone 19S</v>
      </c>
    </row>
    <row r="4075" spans="1:3" x14ac:dyDescent="0.3">
      <c r="A4075" t="s">
        <v>4132</v>
      </c>
      <c r="B4075">
        <f>IF(ISNUMBER(SEARCH(Form!$C$11,Tabel2[[#This Row],[Coordinate Projection System]])),MAX($B$1:B4074)+1,0)</f>
        <v>4074</v>
      </c>
      <c r="C4075" t="str">
        <f t="shared" si="63"/>
        <v>PSAD56 / UTM zone 20S</v>
      </c>
    </row>
    <row r="4076" spans="1:3" x14ac:dyDescent="0.3">
      <c r="A4076" t="s">
        <v>4133</v>
      </c>
      <c r="B4076">
        <f>IF(ISNUMBER(SEARCH(Form!$C$11,Tabel2[[#This Row],[Coordinate Projection System]])),MAX($B$1:B4075)+1,0)</f>
        <v>4075</v>
      </c>
      <c r="C4076" t="str">
        <f t="shared" si="63"/>
        <v>PSAD56 / UTM zone 21S</v>
      </c>
    </row>
    <row r="4077" spans="1:3" x14ac:dyDescent="0.3">
      <c r="A4077" t="s">
        <v>4134</v>
      </c>
      <c r="B4077">
        <f>IF(ISNUMBER(SEARCH(Form!$C$11,Tabel2[[#This Row],[Coordinate Projection System]])),MAX($B$1:B4076)+1,0)</f>
        <v>4076</v>
      </c>
      <c r="C4077" t="str">
        <f t="shared" si="63"/>
        <v>PSAD56 / UTM zone 22S</v>
      </c>
    </row>
    <row r="4078" spans="1:3" x14ac:dyDescent="0.3">
      <c r="A4078" t="s">
        <v>4135</v>
      </c>
      <c r="B4078">
        <f>IF(ISNUMBER(SEARCH(Form!$C$11,Tabel2[[#This Row],[Coordinate Projection System]])),MAX($B$1:B4077)+1,0)</f>
        <v>4077</v>
      </c>
      <c r="C4078" t="str">
        <f t="shared" si="63"/>
        <v>PSAD56 / Peru west zone</v>
      </c>
    </row>
    <row r="4079" spans="1:3" x14ac:dyDescent="0.3">
      <c r="A4079" t="s">
        <v>4136</v>
      </c>
      <c r="B4079">
        <f>IF(ISNUMBER(SEARCH(Form!$C$11,Tabel2[[#This Row],[Coordinate Projection System]])),MAX($B$1:B4078)+1,0)</f>
        <v>4078</v>
      </c>
      <c r="C4079" t="str">
        <f t="shared" si="63"/>
        <v>PSAD56 / Peru central zone</v>
      </c>
    </row>
    <row r="4080" spans="1:3" x14ac:dyDescent="0.3">
      <c r="A4080" t="s">
        <v>4137</v>
      </c>
      <c r="B4080">
        <f>IF(ISNUMBER(SEARCH(Form!$C$11,Tabel2[[#This Row],[Coordinate Projection System]])),MAX($B$1:B4079)+1,0)</f>
        <v>4079</v>
      </c>
      <c r="C4080" t="str">
        <f t="shared" si="63"/>
        <v>PSAD56 / Peru east zone</v>
      </c>
    </row>
    <row r="4081" spans="1:3" x14ac:dyDescent="0.3">
      <c r="A4081" t="s">
        <v>4138</v>
      </c>
      <c r="B4081">
        <f>IF(ISNUMBER(SEARCH(Form!$C$11,Tabel2[[#This Row],[Coordinate Projection System]])),MAX($B$1:B4080)+1,0)</f>
        <v>4080</v>
      </c>
      <c r="C4081" t="str">
        <f t="shared" si="63"/>
        <v>Leigon / Ghana Metre Grid</v>
      </c>
    </row>
    <row r="4082" spans="1:3" x14ac:dyDescent="0.3">
      <c r="A4082" t="s">
        <v>4139</v>
      </c>
      <c r="B4082">
        <f>IF(ISNUMBER(SEARCH(Form!$C$11,Tabel2[[#This Row],[Coordinate Projection System]])),MAX($B$1:B4081)+1,0)</f>
        <v>4081</v>
      </c>
      <c r="C4082" t="str">
        <f t="shared" si="63"/>
        <v>Lome / UTM zone 31N</v>
      </c>
    </row>
    <row r="4083" spans="1:3" x14ac:dyDescent="0.3">
      <c r="A4083" t="s">
        <v>4140</v>
      </c>
      <c r="B4083">
        <f>IF(ISNUMBER(SEARCH(Form!$C$11,Tabel2[[#This Row],[Coordinate Projection System]])),MAX($B$1:B4082)+1,0)</f>
        <v>4082</v>
      </c>
      <c r="C4083" t="str">
        <f t="shared" si="63"/>
        <v>Luzon 1911 / Philippines zone I</v>
      </c>
    </row>
    <row r="4084" spans="1:3" x14ac:dyDescent="0.3">
      <c r="A4084" t="s">
        <v>4141</v>
      </c>
      <c r="B4084">
        <f>IF(ISNUMBER(SEARCH(Form!$C$11,Tabel2[[#This Row],[Coordinate Projection System]])),MAX($B$1:B4083)+1,0)</f>
        <v>4083</v>
      </c>
      <c r="C4084" t="str">
        <f t="shared" si="63"/>
        <v>Luzon 1911 / Philippines zone II</v>
      </c>
    </row>
    <row r="4085" spans="1:3" x14ac:dyDescent="0.3">
      <c r="A4085" t="s">
        <v>4142</v>
      </c>
      <c r="B4085">
        <f>IF(ISNUMBER(SEARCH(Form!$C$11,Tabel2[[#This Row],[Coordinate Projection System]])),MAX($B$1:B4084)+1,0)</f>
        <v>4084</v>
      </c>
      <c r="C4085" t="str">
        <f t="shared" si="63"/>
        <v>Luzon 1911 / Philippines zone III</v>
      </c>
    </row>
    <row r="4086" spans="1:3" x14ac:dyDescent="0.3">
      <c r="A4086" t="s">
        <v>4143</v>
      </c>
      <c r="B4086">
        <f>IF(ISNUMBER(SEARCH(Form!$C$11,Tabel2[[#This Row],[Coordinate Projection System]])),MAX($B$1:B4085)+1,0)</f>
        <v>4085</v>
      </c>
      <c r="C4086" t="str">
        <f t="shared" si="63"/>
        <v>Luzon 1911 / Philippines zone IV</v>
      </c>
    </row>
    <row r="4087" spans="1:3" x14ac:dyDescent="0.3">
      <c r="A4087" t="s">
        <v>4144</v>
      </c>
      <c r="B4087">
        <f>IF(ISNUMBER(SEARCH(Form!$C$11,Tabel2[[#This Row],[Coordinate Projection System]])),MAX($B$1:B4086)+1,0)</f>
        <v>4086</v>
      </c>
      <c r="C4087" t="str">
        <f t="shared" si="63"/>
        <v>Luzon 1911 / Philippines zone V</v>
      </c>
    </row>
    <row r="4088" spans="1:3" x14ac:dyDescent="0.3">
      <c r="A4088" t="s">
        <v>4145</v>
      </c>
      <c r="B4088">
        <f>IF(ISNUMBER(SEARCH(Form!$C$11,Tabel2[[#This Row],[Coordinate Projection System]])),MAX($B$1:B4087)+1,0)</f>
        <v>4087</v>
      </c>
      <c r="C4088" t="str">
        <f t="shared" si="63"/>
        <v>Makassar (Jakarta) / NEIEZ (deprecated)</v>
      </c>
    </row>
    <row r="4089" spans="1:3" x14ac:dyDescent="0.3">
      <c r="A4089" t="s">
        <v>4146</v>
      </c>
      <c r="B4089">
        <f>IF(ISNUMBER(SEARCH(Form!$C$11,Tabel2[[#This Row],[Coordinate Projection System]])),MAX($B$1:B4088)+1,0)</f>
        <v>4088</v>
      </c>
      <c r="C4089" t="str">
        <f t="shared" si="63"/>
        <v>ETRS89 / UTM zone 28N</v>
      </c>
    </row>
    <row r="4090" spans="1:3" x14ac:dyDescent="0.3">
      <c r="A4090" t="s">
        <v>4147</v>
      </c>
      <c r="B4090">
        <f>IF(ISNUMBER(SEARCH(Form!$C$11,Tabel2[[#This Row],[Coordinate Projection System]])),MAX($B$1:B4089)+1,0)</f>
        <v>4089</v>
      </c>
      <c r="C4090" t="str">
        <f t="shared" si="63"/>
        <v>ETRS89 / UTM zone 29N</v>
      </c>
    </row>
    <row r="4091" spans="1:3" x14ac:dyDescent="0.3">
      <c r="A4091" t="s">
        <v>4148</v>
      </c>
      <c r="B4091">
        <f>IF(ISNUMBER(SEARCH(Form!$C$11,Tabel2[[#This Row],[Coordinate Projection System]])),MAX($B$1:B4090)+1,0)</f>
        <v>4090</v>
      </c>
      <c r="C4091" t="str">
        <f t="shared" si="63"/>
        <v>ETRS89 / UTM zone 30N</v>
      </c>
    </row>
    <row r="4092" spans="1:3" x14ac:dyDescent="0.3">
      <c r="A4092" t="s">
        <v>4149</v>
      </c>
      <c r="B4092">
        <f>IF(ISNUMBER(SEARCH(Form!$C$11,Tabel2[[#This Row],[Coordinate Projection System]])),MAX($B$1:B4091)+1,0)</f>
        <v>4091</v>
      </c>
      <c r="C4092" t="str">
        <f t="shared" si="63"/>
        <v>ETRS89 / UTM zone 31N</v>
      </c>
    </row>
    <row r="4093" spans="1:3" x14ac:dyDescent="0.3">
      <c r="A4093" t="s">
        <v>4150</v>
      </c>
      <c r="B4093">
        <f>IF(ISNUMBER(SEARCH(Form!$C$11,Tabel2[[#This Row],[Coordinate Projection System]])),MAX($B$1:B4092)+1,0)</f>
        <v>4092</v>
      </c>
      <c r="C4093" t="str">
        <f t="shared" si="63"/>
        <v>ETRS89 / UTM zone 32N</v>
      </c>
    </row>
    <row r="4094" spans="1:3" x14ac:dyDescent="0.3">
      <c r="A4094" t="s">
        <v>4151</v>
      </c>
      <c r="B4094">
        <f>IF(ISNUMBER(SEARCH(Form!$C$11,Tabel2[[#This Row],[Coordinate Projection System]])),MAX($B$1:B4093)+1,0)</f>
        <v>4093</v>
      </c>
      <c r="C4094" t="str">
        <f t="shared" si="63"/>
        <v>ETRS89 / UTM zone 33N</v>
      </c>
    </row>
    <row r="4095" spans="1:3" x14ac:dyDescent="0.3">
      <c r="A4095" t="s">
        <v>4152</v>
      </c>
      <c r="B4095">
        <f>IF(ISNUMBER(SEARCH(Form!$C$11,Tabel2[[#This Row],[Coordinate Projection System]])),MAX($B$1:B4094)+1,0)</f>
        <v>4094</v>
      </c>
      <c r="C4095" t="str">
        <f t="shared" si="63"/>
        <v>ETRS89 / UTM zone 34N</v>
      </c>
    </row>
    <row r="4096" spans="1:3" x14ac:dyDescent="0.3">
      <c r="A4096" t="s">
        <v>4153</v>
      </c>
      <c r="B4096">
        <f>IF(ISNUMBER(SEARCH(Form!$C$11,Tabel2[[#This Row],[Coordinate Projection System]])),MAX($B$1:B4095)+1,0)</f>
        <v>4095</v>
      </c>
      <c r="C4096" t="str">
        <f t="shared" si="63"/>
        <v>ETRS89 / UTM zone 35N</v>
      </c>
    </row>
    <row r="4097" spans="1:3" x14ac:dyDescent="0.3">
      <c r="A4097" t="s">
        <v>4154</v>
      </c>
      <c r="B4097">
        <f>IF(ISNUMBER(SEARCH(Form!$C$11,Tabel2[[#This Row],[Coordinate Projection System]])),MAX($B$1:B4096)+1,0)</f>
        <v>4096</v>
      </c>
      <c r="C4097" t="str">
        <f t="shared" si="63"/>
        <v>ETRS89 / UTM zone 36N</v>
      </c>
    </row>
    <row r="4098" spans="1:3" x14ac:dyDescent="0.3">
      <c r="A4098" t="s">
        <v>4155</v>
      </c>
      <c r="B4098">
        <f>IF(ISNUMBER(SEARCH(Form!$C$11,Tabel2[[#This Row],[Coordinate Projection System]])),MAX($B$1:B4097)+1,0)</f>
        <v>4097</v>
      </c>
      <c r="C4098" t="str">
        <f t="shared" si="63"/>
        <v>ETRS89 / UTM zone 37N</v>
      </c>
    </row>
    <row r="4099" spans="1:3" x14ac:dyDescent="0.3">
      <c r="A4099" t="s">
        <v>4156</v>
      </c>
      <c r="B4099">
        <f>IF(ISNUMBER(SEARCH(Form!$C$11,Tabel2[[#This Row],[Coordinate Projection System]])),MAX($B$1:B4098)+1,0)</f>
        <v>4098</v>
      </c>
      <c r="C4099" t="str">
        <f t="shared" ref="C4099:C4162" si="64">_xlfn.IFNA(INDEX(A4099:A9610,MATCH(ROW(C4098),B4099:B9610,0)),"")</f>
        <v>ETRS89 / UTM zone 38N (deprecated)</v>
      </c>
    </row>
    <row r="4100" spans="1:3" x14ac:dyDescent="0.3">
      <c r="A4100" t="s">
        <v>4157</v>
      </c>
      <c r="B4100">
        <f>IF(ISNUMBER(SEARCH(Form!$C$11,Tabel2[[#This Row],[Coordinate Projection System]])),MAX($B$1:B4099)+1,0)</f>
        <v>4099</v>
      </c>
      <c r="C4100" t="str">
        <f t="shared" si="64"/>
        <v>ETRS89 / TM Baltic93</v>
      </c>
    </row>
    <row r="4101" spans="1:3" x14ac:dyDescent="0.3">
      <c r="A4101" t="s">
        <v>4158</v>
      </c>
      <c r="B4101">
        <f>IF(ISNUMBER(SEARCH(Form!$C$11,Tabel2[[#This Row],[Coordinate Projection System]])),MAX($B$1:B4100)+1,0)</f>
        <v>4100</v>
      </c>
      <c r="C4101" t="str">
        <f t="shared" si="64"/>
        <v>Malongo 1987 / UTM zone 32S</v>
      </c>
    </row>
    <row r="4102" spans="1:3" x14ac:dyDescent="0.3">
      <c r="A4102" t="s">
        <v>4159</v>
      </c>
      <c r="B4102">
        <f>IF(ISNUMBER(SEARCH(Form!$C$11,Tabel2[[#This Row],[Coordinate Projection System]])),MAX($B$1:B4101)+1,0)</f>
        <v>4101</v>
      </c>
      <c r="C4102" t="str">
        <f t="shared" si="64"/>
        <v>Merchich / Nord Maroc</v>
      </c>
    </row>
    <row r="4103" spans="1:3" x14ac:dyDescent="0.3">
      <c r="A4103" t="s">
        <v>4160</v>
      </c>
      <c r="B4103">
        <f>IF(ISNUMBER(SEARCH(Form!$C$11,Tabel2[[#This Row],[Coordinate Projection System]])),MAX($B$1:B4102)+1,0)</f>
        <v>4102</v>
      </c>
      <c r="C4103" t="str">
        <f t="shared" si="64"/>
        <v>Merchich / Sud Maroc</v>
      </c>
    </row>
    <row r="4104" spans="1:3" x14ac:dyDescent="0.3">
      <c r="A4104" t="s">
        <v>4161</v>
      </c>
      <c r="B4104">
        <f>IF(ISNUMBER(SEARCH(Form!$C$11,Tabel2[[#This Row],[Coordinate Projection System]])),MAX($B$1:B4103)+1,0)</f>
        <v>4103</v>
      </c>
      <c r="C4104" t="str">
        <f t="shared" si="64"/>
        <v>Merchich / Sahara (deprecated)</v>
      </c>
    </row>
    <row r="4105" spans="1:3" x14ac:dyDescent="0.3">
      <c r="A4105" t="s">
        <v>4162</v>
      </c>
      <c r="B4105">
        <f>IF(ISNUMBER(SEARCH(Form!$C$11,Tabel2[[#This Row],[Coordinate Projection System]])),MAX($B$1:B4104)+1,0)</f>
        <v>4104</v>
      </c>
      <c r="C4105" t="str">
        <f t="shared" si="64"/>
        <v>Merchich / Sahara Nord</v>
      </c>
    </row>
    <row r="4106" spans="1:3" x14ac:dyDescent="0.3">
      <c r="A4106" t="s">
        <v>4163</v>
      </c>
      <c r="B4106">
        <f>IF(ISNUMBER(SEARCH(Form!$C$11,Tabel2[[#This Row],[Coordinate Projection System]])),MAX($B$1:B4105)+1,0)</f>
        <v>4105</v>
      </c>
      <c r="C4106" t="str">
        <f t="shared" si="64"/>
        <v>Merchich / Sahara Sud</v>
      </c>
    </row>
    <row r="4107" spans="1:3" x14ac:dyDescent="0.3">
      <c r="A4107" t="s">
        <v>4164</v>
      </c>
      <c r="B4107">
        <f>IF(ISNUMBER(SEARCH(Form!$C$11,Tabel2[[#This Row],[Coordinate Projection System]])),MAX($B$1:B4106)+1,0)</f>
        <v>4106</v>
      </c>
      <c r="C4107" t="str">
        <f t="shared" si="64"/>
        <v>Massawa / UTM zone 37N</v>
      </c>
    </row>
    <row r="4108" spans="1:3" x14ac:dyDescent="0.3">
      <c r="A4108" t="s">
        <v>4165</v>
      </c>
      <c r="B4108">
        <f>IF(ISNUMBER(SEARCH(Form!$C$11,Tabel2[[#This Row],[Coordinate Projection System]])),MAX($B$1:B4107)+1,0)</f>
        <v>4107</v>
      </c>
      <c r="C4108" t="str">
        <f t="shared" si="64"/>
        <v>Minna / UTM zone 31N</v>
      </c>
    </row>
    <row r="4109" spans="1:3" x14ac:dyDescent="0.3">
      <c r="A4109" t="s">
        <v>4166</v>
      </c>
      <c r="B4109">
        <f>IF(ISNUMBER(SEARCH(Form!$C$11,Tabel2[[#This Row],[Coordinate Projection System]])),MAX($B$1:B4108)+1,0)</f>
        <v>4108</v>
      </c>
      <c r="C4109" t="str">
        <f t="shared" si="64"/>
        <v>Minna / UTM zone 32N</v>
      </c>
    </row>
    <row r="4110" spans="1:3" x14ac:dyDescent="0.3">
      <c r="A4110" t="s">
        <v>4167</v>
      </c>
      <c r="B4110">
        <f>IF(ISNUMBER(SEARCH(Form!$C$11,Tabel2[[#This Row],[Coordinate Projection System]])),MAX($B$1:B4109)+1,0)</f>
        <v>4109</v>
      </c>
      <c r="C4110" t="str">
        <f t="shared" si="64"/>
        <v>Minna / Nigeria West Belt</v>
      </c>
    </row>
    <row r="4111" spans="1:3" x14ac:dyDescent="0.3">
      <c r="A4111" t="s">
        <v>4168</v>
      </c>
      <c r="B4111">
        <f>IF(ISNUMBER(SEARCH(Form!$C$11,Tabel2[[#This Row],[Coordinate Projection System]])),MAX($B$1:B4110)+1,0)</f>
        <v>4110</v>
      </c>
      <c r="C4111" t="str">
        <f t="shared" si="64"/>
        <v>Minna / Nigeria Mid Belt</v>
      </c>
    </row>
    <row r="4112" spans="1:3" x14ac:dyDescent="0.3">
      <c r="A4112" t="s">
        <v>4169</v>
      </c>
      <c r="B4112">
        <f>IF(ISNUMBER(SEARCH(Form!$C$11,Tabel2[[#This Row],[Coordinate Projection System]])),MAX($B$1:B4111)+1,0)</f>
        <v>4111</v>
      </c>
      <c r="C4112" t="str">
        <f t="shared" si="64"/>
        <v>Minna / Nigeria East Belt</v>
      </c>
    </row>
    <row r="4113" spans="1:3" x14ac:dyDescent="0.3">
      <c r="A4113" t="s">
        <v>4170</v>
      </c>
      <c r="B4113">
        <f>IF(ISNUMBER(SEARCH(Form!$C$11,Tabel2[[#This Row],[Coordinate Projection System]])),MAX($B$1:B4112)+1,0)</f>
        <v>4112</v>
      </c>
      <c r="C4113" t="str">
        <f t="shared" si="64"/>
        <v>Mhast / UTM zone 32S (deprecated)</v>
      </c>
    </row>
    <row r="4114" spans="1:3" x14ac:dyDescent="0.3">
      <c r="A4114" t="s">
        <v>4171</v>
      </c>
      <c r="B4114">
        <f>IF(ISNUMBER(SEARCH(Form!$C$11,Tabel2[[#This Row],[Coordinate Projection System]])),MAX($B$1:B4113)+1,0)</f>
        <v>4113</v>
      </c>
      <c r="C4114" t="str">
        <f t="shared" si="64"/>
        <v>Monte Mario (Rome) / Italy zone 1 (deprecated)</v>
      </c>
    </row>
    <row r="4115" spans="1:3" x14ac:dyDescent="0.3">
      <c r="A4115" t="s">
        <v>4172</v>
      </c>
      <c r="B4115">
        <f>IF(ISNUMBER(SEARCH(Form!$C$11,Tabel2[[#This Row],[Coordinate Projection System]])),MAX($B$1:B4114)+1,0)</f>
        <v>4114</v>
      </c>
      <c r="C4115" t="str">
        <f t="shared" si="64"/>
        <v>Monte Mario (Rome) / Italy zone 2 (deprecated)</v>
      </c>
    </row>
    <row r="4116" spans="1:3" x14ac:dyDescent="0.3">
      <c r="A4116" t="s">
        <v>4173</v>
      </c>
      <c r="B4116">
        <f>IF(ISNUMBER(SEARCH(Form!$C$11,Tabel2[[#This Row],[Coordinate Projection System]])),MAX($B$1:B4115)+1,0)</f>
        <v>4115</v>
      </c>
      <c r="C4116" t="str">
        <f t="shared" si="64"/>
        <v>M'poraloko / UTM zone 32N</v>
      </c>
    </row>
    <row r="4117" spans="1:3" x14ac:dyDescent="0.3">
      <c r="A4117" t="s">
        <v>4174</v>
      </c>
      <c r="B4117">
        <f>IF(ISNUMBER(SEARCH(Form!$C$11,Tabel2[[#This Row],[Coordinate Projection System]])),MAX($B$1:B4116)+1,0)</f>
        <v>4116</v>
      </c>
      <c r="C4117" t="str">
        <f t="shared" si="64"/>
        <v>M'poraloko / UTM zone 32S</v>
      </c>
    </row>
    <row r="4118" spans="1:3" x14ac:dyDescent="0.3">
      <c r="A4118" t="s">
        <v>4175</v>
      </c>
      <c r="B4118">
        <f>IF(ISNUMBER(SEARCH(Form!$C$11,Tabel2[[#This Row],[Coordinate Projection System]])),MAX($B$1:B4117)+1,0)</f>
        <v>4117</v>
      </c>
      <c r="C4118" t="str">
        <f t="shared" si="64"/>
        <v>NAD27 / UTM zone 1N</v>
      </c>
    </row>
    <row r="4119" spans="1:3" x14ac:dyDescent="0.3">
      <c r="A4119" t="s">
        <v>4176</v>
      </c>
      <c r="B4119">
        <f>IF(ISNUMBER(SEARCH(Form!$C$11,Tabel2[[#This Row],[Coordinate Projection System]])),MAX($B$1:B4118)+1,0)</f>
        <v>4118</v>
      </c>
      <c r="C4119" t="str">
        <f t="shared" si="64"/>
        <v>NAD27 / UTM zone 2N</v>
      </c>
    </row>
    <row r="4120" spans="1:3" x14ac:dyDescent="0.3">
      <c r="A4120" t="s">
        <v>4177</v>
      </c>
      <c r="B4120">
        <f>IF(ISNUMBER(SEARCH(Form!$C$11,Tabel2[[#This Row],[Coordinate Projection System]])),MAX($B$1:B4119)+1,0)</f>
        <v>4119</v>
      </c>
      <c r="C4120" t="str">
        <f t="shared" si="64"/>
        <v>NAD27 / UTM zone 3N</v>
      </c>
    </row>
    <row r="4121" spans="1:3" x14ac:dyDescent="0.3">
      <c r="A4121" t="s">
        <v>4178</v>
      </c>
      <c r="B4121">
        <f>IF(ISNUMBER(SEARCH(Form!$C$11,Tabel2[[#This Row],[Coordinate Projection System]])),MAX($B$1:B4120)+1,0)</f>
        <v>4120</v>
      </c>
      <c r="C4121" t="str">
        <f t="shared" si="64"/>
        <v>NAD27 / UTM zone 4N</v>
      </c>
    </row>
    <row r="4122" spans="1:3" x14ac:dyDescent="0.3">
      <c r="A4122" t="s">
        <v>4179</v>
      </c>
      <c r="B4122">
        <f>IF(ISNUMBER(SEARCH(Form!$C$11,Tabel2[[#This Row],[Coordinate Projection System]])),MAX($B$1:B4121)+1,0)</f>
        <v>4121</v>
      </c>
      <c r="C4122" t="str">
        <f t="shared" si="64"/>
        <v>NAD27 / UTM zone 5N</v>
      </c>
    </row>
    <row r="4123" spans="1:3" x14ac:dyDescent="0.3">
      <c r="A4123" t="s">
        <v>4180</v>
      </c>
      <c r="B4123">
        <f>IF(ISNUMBER(SEARCH(Form!$C$11,Tabel2[[#This Row],[Coordinate Projection System]])),MAX($B$1:B4122)+1,0)</f>
        <v>4122</v>
      </c>
      <c r="C4123" t="str">
        <f t="shared" si="64"/>
        <v>NAD27 / UTM zone 6N</v>
      </c>
    </row>
    <row r="4124" spans="1:3" x14ac:dyDescent="0.3">
      <c r="A4124" t="s">
        <v>4181</v>
      </c>
      <c r="B4124">
        <f>IF(ISNUMBER(SEARCH(Form!$C$11,Tabel2[[#This Row],[Coordinate Projection System]])),MAX($B$1:B4123)+1,0)</f>
        <v>4123</v>
      </c>
      <c r="C4124" t="str">
        <f t="shared" si="64"/>
        <v>NAD27 / UTM zone 7N</v>
      </c>
    </row>
    <row r="4125" spans="1:3" x14ac:dyDescent="0.3">
      <c r="A4125" t="s">
        <v>4182</v>
      </c>
      <c r="B4125">
        <f>IF(ISNUMBER(SEARCH(Form!$C$11,Tabel2[[#This Row],[Coordinate Projection System]])),MAX($B$1:B4124)+1,0)</f>
        <v>4124</v>
      </c>
      <c r="C4125" t="str">
        <f t="shared" si="64"/>
        <v>NAD27 / UTM zone 8N</v>
      </c>
    </row>
    <row r="4126" spans="1:3" x14ac:dyDescent="0.3">
      <c r="A4126" t="s">
        <v>4183</v>
      </c>
      <c r="B4126">
        <f>IF(ISNUMBER(SEARCH(Form!$C$11,Tabel2[[#This Row],[Coordinate Projection System]])),MAX($B$1:B4125)+1,0)</f>
        <v>4125</v>
      </c>
      <c r="C4126" t="str">
        <f t="shared" si="64"/>
        <v>NAD27 / UTM zone 9N</v>
      </c>
    </row>
    <row r="4127" spans="1:3" x14ac:dyDescent="0.3">
      <c r="A4127" t="s">
        <v>4184</v>
      </c>
      <c r="B4127">
        <f>IF(ISNUMBER(SEARCH(Form!$C$11,Tabel2[[#This Row],[Coordinate Projection System]])),MAX($B$1:B4126)+1,0)</f>
        <v>4126</v>
      </c>
      <c r="C4127" t="str">
        <f t="shared" si="64"/>
        <v>NAD27 / UTM zone 10N</v>
      </c>
    </row>
    <row r="4128" spans="1:3" x14ac:dyDescent="0.3">
      <c r="A4128" t="s">
        <v>4185</v>
      </c>
      <c r="B4128">
        <f>IF(ISNUMBER(SEARCH(Form!$C$11,Tabel2[[#This Row],[Coordinate Projection System]])),MAX($B$1:B4127)+1,0)</f>
        <v>4127</v>
      </c>
      <c r="C4128" t="str">
        <f t="shared" si="64"/>
        <v>NAD27 / UTM zone 11N</v>
      </c>
    </row>
    <row r="4129" spans="1:3" x14ac:dyDescent="0.3">
      <c r="A4129" t="s">
        <v>4186</v>
      </c>
      <c r="B4129">
        <f>IF(ISNUMBER(SEARCH(Form!$C$11,Tabel2[[#This Row],[Coordinate Projection System]])),MAX($B$1:B4128)+1,0)</f>
        <v>4128</v>
      </c>
      <c r="C4129" t="str">
        <f t="shared" si="64"/>
        <v>NAD27 / UTM zone 12N</v>
      </c>
    </row>
    <row r="4130" spans="1:3" x14ac:dyDescent="0.3">
      <c r="A4130" t="s">
        <v>4187</v>
      </c>
      <c r="B4130">
        <f>IF(ISNUMBER(SEARCH(Form!$C$11,Tabel2[[#This Row],[Coordinate Projection System]])),MAX($B$1:B4129)+1,0)</f>
        <v>4129</v>
      </c>
      <c r="C4130" t="str">
        <f t="shared" si="64"/>
        <v>NAD27 / UTM zone 13N</v>
      </c>
    </row>
    <row r="4131" spans="1:3" x14ac:dyDescent="0.3">
      <c r="A4131" t="s">
        <v>4188</v>
      </c>
      <c r="B4131">
        <f>IF(ISNUMBER(SEARCH(Form!$C$11,Tabel2[[#This Row],[Coordinate Projection System]])),MAX($B$1:B4130)+1,0)</f>
        <v>4130</v>
      </c>
      <c r="C4131" t="str">
        <f t="shared" si="64"/>
        <v>NAD27 / UTM zone 14N</v>
      </c>
    </row>
    <row r="4132" spans="1:3" x14ac:dyDescent="0.3">
      <c r="A4132" t="s">
        <v>4189</v>
      </c>
      <c r="B4132">
        <f>IF(ISNUMBER(SEARCH(Form!$C$11,Tabel2[[#This Row],[Coordinate Projection System]])),MAX($B$1:B4131)+1,0)</f>
        <v>4131</v>
      </c>
      <c r="C4132" t="str">
        <f t="shared" si="64"/>
        <v>NAD27 / UTM zone 15N</v>
      </c>
    </row>
    <row r="4133" spans="1:3" x14ac:dyDescent="0.3">
      <c r="A4133" t="s">
        <v>4190</v>
      </c>
      <c r="B4133">
        <f>IF(ISNUMBER(SEARCH(Form!$C$11,Tabel2[[#This Row],[Coordinate Projection System]])),MAX($B$1:B4132)+1,0)</f>
        <v>4132</v>
      </c>
      <c r="C4133" t="str">
        <f t="shared" si="64"/>
        <v>NAD27 / UTM zone 16N</v>
      </c>
    </row>
    <row r="4134" spans="1:3" x14ac:dyDescent="0.3">
      <c r="A4134" t="s">
        <v>4191</v>
      </c>
      <c r="B4134">
        <f>IF(ISNUMBER(SEARCH(Form!$C$11,Tabel2[[#This Row],[Coordinate Projection System]])),MAX($B$1:B4133)+1,0)</f>
        <v>4133</v>
      </c>
      <c r="C4134" t="str">
        <f t="shared" si="64"/>
        <v>NAD27 / UTM zone 17N</v>
      </c>
    </row>
    <row r="4135" spans="1:3" x14ac:dyDescent="0.3">
      <c r="A4135" t="s">
        <v>4192</v>
      </c>
      <c r="B4135">
        <f>IF(ISNUMBER(SEARCH(Form!$C$11,Tabel2[[#This Row],[Coordinate Projection System]])),MAX($B$1:B4134)+1,0)</f>
        <v>4134</v>
      </c>
      <c r="C4135" t="str">
        <f t="shared" si="64"/>
        <v>NAD27 / UTM zone 18N</v>
      </c>
    </row>
    <row r="4136" spans="1:3" x14ac:dyDescent="0.3">
      <c r="A4136" t="s">
        <v>4193</v>
      </c>
      <c r="B4136">
        <f>IF(ISNUMBER(SEARCH(Form!$C$11,Tabel2[[#This Row],[Coordinate Projection System]])),MAX($B$1:B4135)+1,0)</f>
        <v>4135</v>
      </c>
      <c r="C4136" t="str">
        <f t="shared" si="64"/>
        <v>NAD27 / UTM zone 19N</v>
      </c>
    </row>
    <row r="4137" spans="1:3" x14ac:dyDescent="0.3">
      <c r="A4137" t="s">
        <v>4194</v>
      </c>
      <c r="B4137">
        <f>IF(ISNUMBER(SEARCH(Form!$C$11,Tabel2[[#This Row],[Coordinate Projection System]])),MAX($B$1:B4136)+1,0)</f>
        <v>4136</v>
      </c>
      <c r="C4137" t="str">
        <f t="shared" si="64"/>
        <v>NAD27 / UTM zone 20N</v>
      </c>
    </row>
    <row r="4138" spans="1:3" x14ac:dyDescent="0.3">
      <c r="A4138" t="s">
        <v>4195</v>
      </c>
      <c r="B4138">
        <f>IF(ISNUMBER(SEARCH(Form!$C$11,Tabel2[[#This Row],[Coordinate Projection System]])),MAX($B$1:B4137)+1,0)</f>
        <v>4137</v>
      </c>
      <c r="C4138" t="str">
        <f t="shared" si="64"/>
        <v>NAD27 / UTM zone 21N</v>
      </c>
    </row>
    <row r="4139" spans="1:3" x14ac:dyDescent="0.3">
      <c r="A4139" t="s">
        <v>4196</v>
      </c>
      <c r="B4139">
        <f>IF(ISNUMBER(SEARCH(Form!$C$11,Tabel2[[#This Row],[Coordinate Projection System]])),MAX($B$1:B4138)+1,0)</f>
        <v>4138</v>
      </c>
      <c r="C4139" t="str">
        <f t="shared" si="64"/>
        <v>NAD27 / UTM zone 22N</v>
      </c>
    </row>
    <row r="4140" spans="1:3" x14ac:dyDescent="0.3">
      <c r="A4140" t="s">
        <v>4197</v>
      </c>
      <c r="B4140">
        <f>IF(ISNUMBER(SEARCH(Form!$C$11,Tabel2[[#This Row],[Coordinate Projection System]])),MAX($B$1:B4139)+1,0)</f>
        <v>4139</v>
      </c>
      <c r="C4140" t="str">
        <f t="shared" si="64"/>
        <v>NAD27 / Alabama East</v>
      </c>
    </row>
    <row r="4141" spans="1:3" x14ac:dyDescent="0.3">
      <c r="A4141" t="s">
        <v>4198</v>
      </c>
      <c r="B4141">
        <f>IF(ISNUMBER(SEARCH(Form!$C$11,Tabel2[[#This Row],[Coordinate Projection System]])),MAX($B$1:B4140)+1,0)</f>
        <v>4140</v>
      </c>
      <c r="C4141" t="str">
        <f t="shared" si="64"/>
        <v>NAD27 / Alabama West</v>
      </c>
    </row>
    <row r="4142" spans="1:3" x14ac:dyDescent="0.3">
      <c r="A4142" t="s">
        <v>4199</v>
      </c>
      <c r="B4142">
        <f>IF(ISNUMBER(SEARCH(Form!$C$11,Tabel2[[#This Row],[Coordinate Projection System]])),MAX($B$1:B4141)+1,0)</f>
        <v>4141</v>
      </c>
      <c r="C4142" t="str">
        <f t="shared" si="64"/>
        <v>NAD27 / Alaska zone 1</v>
      </c>
    </row>
    <row r="4143" spans="1:3" x14ac:dyDescent="0.3">
      <c r="A4143" t="s">
        <v>4200</v>
      </c>
      <c r="B4143">
        <f>IF(ISNUMBER(SEARCH(Form!$C$11,Tabel2[[#This Row],[Coordinate Projection System]])),MAX($B$1:B4142)+1,0)</f>
        <v>4142</v>
      </c>
      <c r="C4143" t="str">
        <f t="shared" si="64"/>
        <v>NAD27 / Alaska zone 2</v>
      </c>
    </row>
    <row r="4144" spans="1:3" x14ac:dyDescent="0.3">
      <c r="A4144" t="s">
        <v>4201</v>
      </c>
      <c r="B4144">
        <f>IF(ISNUMBER(SEARCH(Form!$C$11,Tabel2[[#This Row],[Coordinate Projection System]])),MAX($B$1:B4143)+1,0)</f>
        <v>4143</v>
      </c>
      <c r="C4144" t="str">
        <f t="shared" si="64"/>
        <v>NAD27 / Alaska zone 3</v>
      </c>
    </row>
    <row r="4145" spans="1:3" x14ac:dyDescent="0.3">
      <c r="A4145" t="s">
        <v>4202</v>
      </c>
      <c r="B4145">
        <f>IF(ISNUMBER(SEARCH(Form!$C$11,Tabel2[[#This Row],[Coordinate Projection System]])),MAX($B$1:B4144)+1,0)</f>
        <v>4144</v>
      </c>
      <c r="C4145" t="str">
        <f t="shared" si="64"/>
        <v>NAD27 / Alaska zone 4</v>
      </c>
    </row>
    <row r="4146" spans="1:3" x14ac:dyDescent="0.3">
      <c r="A4146" t="s">
        <v>4203</v>
      </c>
      <c r="B4146">
        <f>IF(ISNUMBER(SEARCH(Form!$C$11,Tabel2[[#This Row],[Coordinate Projection System]])),MAX($B$1:B4145)+1,0)</f>
        <v>4145</v>
      </c>
      <c r="C4146" t="str">
        <f t="shared" si="64"/>
        <v>NAD27 / Alaska zone 5</v>
      </c>
    </row>
    <row r="4147" spans="1:3" x14ac:dyDescent="0.3">
      <c r="A4147" t="s">
        <v>4204</v>
      </c>
      <c r="B4147">
        <f>IF(ISNUMBER(SEARCH(Form!$C$11,Tabel2[[#This Row],[Coordinate Projection System]])),MAX($B$1:B4146)+1,0)</f>
        <v>4146</v>
      </c>
      <c r="C4147" t="str">
        <f t="shared" si="64"/>
        <v>NAD27 / Alaska zone 6</v>
      </c>
    </row>
    <row r="4148" spans="1:3" x14ac:dyDescent="0.3">
      <c r="A4148" t="s">
        <v>4205</v>
      </c>
      <c r="B4148">
        <f>IF(ISNUMBER(SEARCH(Form!$C$11,Tabel2[[#This Row],[Coordinate Projection System]])),MAX($B$1:B4147)+1,0)</f>
        <v>4147</v>
      </c>
      <c r="C4148" t="str">
        <f t="shared" si="64"/>
        <v>NAD27 / Alaska zone 7</v>
      </c>
    </row>
    <row r="4149" spans="1:3" x14ac:dyDescent="0.3">
      <c r="A4149" t="s">
        <v>4206</v>
      </c>
      <c r="B4149">
        <f>IF(ISNUMBER(SEARCH(Form!$C$11,Tabel2[[#This Row],[Coordinate Projection System]])),MAX($B$1:B4148)+1,0)</f>
        <v>4148</v>
      </c>
      <c r="C4149" t="str">
        <f t="shared" si="64"/>
        <v>NAD27 / Alaska zone 8</v>
      </c>
    </row>
    <row r="4150" spans="1:3" x14ac:dyDescent="0.3">
      <c r="A4150" t="s">
        <v>4207</v>
      </c>
      <c r="B4150">
        <f>IF(ISNUMBER(SEARCH(Form!$C$11,Tabel2[[#This Row],[Coordinate Projection System]])),MAX($B$1:B4149)+1,0)</f>
        <v>4149</v>
      </c>
      <c r="C4150" t="str">
        <f t="shared" si="64"/>
        <v>NAD27 / Alaska zone 9</v>
      </c>
    </row>
    <row r="4151" spans="1:3" x14ac:dyDescent="0.3">
      <c r="A4151" t="s">
        <v>4208</v>
      </c>
      <c r="B4151">
        <f>IF(ISNUMBER(SEARCH(Form!$C$11,Tabel2[[#This Row],[Coordinate Projection System]])),MAX($B$1:B4150)+1,0)</f>
        <v>4150</v>
      </c>
      <c r="C4151" t="str">
        <f t="shared" si="64"/>
        <v>NAD27 / Alaska zone 10</v>
      </c>
    </row>
    <row r="4152" spans="1:3" x14ac:dyDescent="0.3">
      <c r="A4152" t="s">
        <v>4209</v>
      </c>
      <c r="B4152">
        <f>IF(ISNUMBER(SEARCH(Form!$C$11,Tabel2[[#This Row],[Coordinate Projection System]])),MAX($B$1:B4151)+1,0)</f>
        <v>4151</v>
      </c>
      <c r="C4152" t="str">
        <f t="shared" si="64"/>
        <v>NAD27 / California zone I</v>
      </c>
    </row>
    <row r="4153" spans="1:3" x14ac:dyDescent="0.3">
      <c r="A4153" t="s">
        <v>4210</v>
      </c>
      <c r="B4153">
        <f>IF(ISNUMBER(SEARCH(Form!$C$11,Tabel2[[#This Row],[Coordinate Projection System]])),MAX($B$1:B4152)+1,0)</f>
        <v>4152</v>
      </c>
      <c r="C4153" t="str">
        <f t="shared" si="64"/>
        <v>NAD27 / California zone II</v>
      </c>
    </row>
    <row r="4154" spans="1:3" x14ac:dyDescent="0.3">
      <c r="A4154" t="s">
        <v>4211</v>
      </c>
      <c r="B4154">
        <f>IF(ISNUMBER(SEARCH(Form!$C$11,Tabel2[[#This Row],[Coordinate Projection System]])),MAX($B$1:B4153)+1,0)</f>
        <v>4153</v>
      </c>
      <c r="C4154" t="str">
        <f t="shared" si="64"/>
        <v>NAD27 / California zone III</v>
      </c>
    </row>
    <row r="4155" spans="1:3" x14ac:dyDescent="0.3">
      <c r="A4155" t="s">
        <v>4212</v>
      </c>
      <c r="B4155">
        <f>IF(ISNUMBER(SEARCH(Form!$C$11,Tabel2[[#This Row],[Coordinate Projection System]])),MAX($B$1:B4154)+1,0)</f>
        <v>4154</v>
      </c>
      <c r="C4155" t="str">
        <f t="shared" si="64"/>
        <v>NAD27 / California zone IV</v>
      </c>
    </row>
    <row r="4156" spans="1:3" x14ac:dyDescent="0.3">
      <c r="A4156" t="s">
        <v>4213</v>
      </c>
      <c r="B4156">
        <f>IF(ISNUMBER(SEARCH(Form!$C$11,Tabel2[[#This Row],[Coordinate Projection System]])),MAX($B$1:B4155)+1,0)</f>
        <v>4155</v>
      </c>
      <c r="C4156" t="str">
        <f t="shared" si="64"/>
        <v>NAD27 / California zone V</v>
      </c>
    </row>
    <row r="4157" spans="1:3" x14ac:dyDescent="0.3">
      <c r="A4157" t="s">
        <v>4214</v>
      </c>
      <c r="B4157">
        <f>IF(ISNUMBER(SEARCH(Form!$C$11,Tabel2[[#This Row],[Coordinate Projection System]])),MAX($B$1:B4156)+1,0)</f>
        <v>4156</v>
      </c>
      <c r="C4157" t="str">
        <f t="shared" si="64"/>
        <v>NAD27 / California zone VI</v>
      </c>
    </row>
    <row r="4158" spans="1:3" x14ac:dyDescent="0.3">
      <c r="A4158" t="s">
        <v>4215</v>
      </c>
      <c r="B4158">
        <f>IF(ISNUMBER(SEARCH(Form!$C$11,Tabel2[[#This Row],[Coordinate Projection System]])),MAX($B$1:B4157)+1,0)</f>
        <v>4157</v>
      </c>
      <c r="C4158" t="str">
        <f t="shared" si="64"/>
        <v>NAD27 / California zone VII (deprecated)</v>
      </c>
    </row>
    <row r="4159" spans="1:3" x14ac:dyDescent="0.3">
      <c r="A4159" t="s">
        <v>4216</v>
      </c>
      <c r="B4159">
        <f>IF(ISNUMBER(SEARCH(Form!$C$11,Tabel2[[#This Row],[Coordinate Projection System]])),MAX($B$1:B4158)+1,0)</f>
        <v>4158</v>
      </c>
      <c r="C4159" t="str">
        <f t="shared" si="64"/>
        <v>NAD27 / Arizona East</v>
      </c>
    </row>
    <row r="4160" spans="1:3" x14ac:dyDescent="0.3">
      <c r="A4160" t="s">
        <v>4217</v>
      </c>
      <c r="B4160">
        <f>IF(ISNUMBER(SEARCH(Form!$C$11,Tabel2[[#This Row],[Coordinate Projection System]])),MAX($B$1:B4159)+1,0)</f>
        <v>4159</v>
      </c>
      <c r="C4160" t="str">
        <f t="shared" si="64"/>
        <v>NAD27 / Arizona Central</v>
      </c>
    </row>
    <row r="4161" spans="1:3" x14ac:dyDescent="0.3">
      <c r="A4161" t="s">
        <v>4218</v>
      </c>
      <c r="B4161">
        <f>IF(ISNUMBER(SEARCH(Form!$C$11,Tabel2[[#This Row],[Coordinate Projection System]])),MAX($B$1:B4160)+1,0)</f>
        <v>4160</v>
      </c>
      <c r="C4161" t="str">
        <f t="shared" si="64"/>
        <v>NAD27 / Arizona West</v>
      </c>
    </row>
    <row r="4162" spans="1:3" x14ac:dyDescent="0.3">
      <c r="A4162" t="s">
        <v>4219</v>
      </c>
      <c r="B4162">
        <f>IF(ISNUMBER(SEARCH(Form!$C$11,Tabel2[[#This Row],[Coordinate Projection System]])),MAX($B$1:B4161)+1,0)</f>
        <v>4161</v>
      </c>
      <c r="C4162" t="str">
        <f t="shared" si="64"/>
        <v>NAD27 / Arkansas North</v>
      </c>
    </row>
    <row r="4163" spans="1:3" x14ac:dyDescent="0.3">
      <c r="A4163" t="s">
        <v>4220</v>
      </c>
      <c r="B4163">
        <f>IF(ISNUMBER(SEARCH(Form!$C$11,Tabel2[[#This Row],[Coordinate Projection System]])),MAX($B$1:B4162)+1,0)</f>
        <v>4162</v>
      </c>
      <c r="C4163" t="str">
        <f t="shared" ref="C4163:C4226" si="65">_xlfn.IFNA(INDEX(A4163:A9674,MATCH(ROW(C4162),B4163:B9674,0)),"")</f>
        <v>NAD27 / Arkansas South</v>
      </c>
    </row>
    <row r="4164" spans="1:3" x14ac:dyDescent="0.3">
      <c r="A4164" t="s">
        <v>4221</v>
      </c>
      <c r="B4164">
        <f>IF(ISNUMBER(SEARCH(Form!$C$11,Tabel2[[#This Row],[Coordinate Projection System]])),MAX($B$1:B4163)+1,0)</f>
        <v>4163</v>
      </c>
      <c r="C4164" t="str">
        <f t="shared" si="65"/>
        <v>NAD27 / Colorado North</v>
      </c>
    </row>
    <row r="4165" spans="1:3" x14ac:dyDescent="0.3">
      <c r="A4165" t="s">
        <v>4222</v>
      </c>
      <c r="B4165">
        <f>IF(ISNUMBER(SEARCH(Form!$C$11,Tabel2[[#This Row],[Coordinate Projection System]])),MAX($B$1:B4164)+1,0)</f>
        <v>4164</v>
      </c>
      <c r="C4165" t="str">
        <f t="shared" si="65"/>
        <v>NAD27 / Colorado Central</v>
      </c>
    </row>
    <row r="4166" spans="1:3" x14ac:dyDescent="0.3">
      <c r="A4166" t="s">
        <v>4223</v>
      </c>
      <c r="B4166">
        <f>IF(ISNUMBER(SEARCH(Form!$C$11,Tabel2[[#This Row],[Coordinate Projection System]])),MAX($B$1:B4165)+1,0)</f>
        <v>4165</v>
      </c>
      <c r="C4166" t="str">
        <f t="shared" si="65"/>
        <v>NAD27 / Colorado South</v>
      </c>
    </row>
    <row r="4167" spans="1:3" x14ac:dyDescent="0.3">
      <c r="A4167" t="s">
        <v>4224</v>
      </c>
      <c r="B4167">
        <f>IF(ISNUMBER(SEARCH(Form!$C$11,Tabel2[[#This Row],[Coordinate Projection System]])),MAX($B$1:B4166)+1,0)</f>
        <v>4166</v>
      </c>
      <c r="C4167" t="str">
        <f t="shared" si="65"/>
        <v>NAD27 / Connecticut</v>
      </c>
    </row>
    <row r="4168" spans="1:3" x14ac:dyDescent="0.3">
      <c r="A4168" t="s">
        <v>4225</v>
      </c>
      <c r="B4168">
        <f>IF(ISNUMBER(SEARCH(Form!$C$11,Tabel2[[#This Row],[Coordinate Projection System]])),MAX($B$1:B4167)+1,0)</f>
        <v>4167</v>
      </c>
      <c r="C4168" t="str">
        <f t="shared" si="65"/>
        <v>NAD27 / Delaware</v>
      </c>
    </row>
    <row r="4169" spans="1:3" x14ac:dyDescent="0.3">
      <c r="A4169" t="s">
        <v>4226</v>
      </c>
      <c r="B4169">
        <f>IF(ISNUMBER(SEARCH(Form!$C$11,Tabel2[[#This Row],[Coordinate Projection System]])),MAX($B$1:B4168)+1,0)</f>
        <v>4168</v>
      </c>
      <c r="C4169" t="str">
        <f t="shared" si="65"/>
        <v>NAD27 / Florida East</v>
      </c>
    </row>
    <row r="4170" spans="1:3" x14ac:dyDescent="0.3">
      <c r="A4170" t="s">
        <v>4227</v>
      </c>
      <c r="B4170">
        <f>IF(ISNUMBER(SEARCH(Form!$C$11,Tabel2[[#This Row],[Coordinate Projection System]])),MAX($B$1:B4169)+1,0)</f>
        <v>4169</v>
      </c>
      <c r="C4170" t="str">
        <f t="shared" si="65"/>
        <v>NAD27 / Florida West</v>
      </c>
    </row>
    <row r="4171" spans="1:3" x14ac:dyDescent="0.3">
      <c r="A4171" t="s">
        <v>4228</v>
      </c>
      <c r="B4171">
        <f>IF(ISNUMBER(SEARCH(Form!$C$11,Tabel2[[#This Row],[Coordinate Projection System]])),MAX($B$1:B4170)+1,0)</f>
        <v>4170</v>
      </c>
      <c r="C4171" t="str">
        <f t="shared" si="65"/>
        <v>NAD27 / Florida North</v>
      </c>
    </row>
    <row r="4172" spans="1:3" x14ac:dyDescent="0.3">
      <c r="A4172" t="s">
        <v>4229</v>
      </c>
      <c r="B4172">
        <f>IF(ISNUMBER(SEARCH(Form!$C$11,Tabel2[[#This Row],[Coordinate Projection System]])),MAX($B$1:B4171)+1,0)</f>
        <v>4171</v>
      </c>
      <c r="C4172" t="str">
        <f t="shared" si="65"/>
        <v>NAD27 / Georgia East</v>
      </c>
    </row>
    <row r="4173" spans="1:3" x14ac:dyDescent="0.3">
      <c r="A4173" t="s">
        <v>4230</v>
      </c>
      <c r="B4173">
        <f>IF(ISNUMBER(SEARCH(Form!$C$11,Tabel2[[#This Row],[Coordinate Projection System]])),MAX($B$1:B4172)+1,0)</f>
        <v>4172</v>
      </c>
      <c r="C4173" t="str">
        <f t="shared" si="65"/>
        <v>NAD27 / Georgia West</v>
      </c>
    </row>
    <row r="4174" spans="1:3" x14ac:dyDescent="0.3">
      <c r="A4174" t="s">
        <v>4231</v>
      </c>
      <c r="B4174">
        <f>IF(ISNUMBER(SEARCH(Form!$C$11,Tabel2[[#This Row],[Coordinate Projection System]])),MAX($B$1:B4173)+1,0)</f>
        <v>4173</v>
      </c>
      <c r="C4174" t="str">
        <f t="shared" si="65"/>
        <v>NAD27 / Idaho East</v>
      </c>
    </row>
    <row r="4175" spans="1:3" x14ac:dyDescent="0.3">
      <c r="A4175" t="s">
        <v>4232</v>
      </c>
      <c r="B4175">
        <f>IF(ISNUMBER(SEARCH(Form!$C$11,Tabel2[[#This Row],[Coordinate Projection System]])),MAX($B$1:B4174)+1,0)</f>
        <v>4174</v>
      </c>
      <c r="C4175" t="str">
        <f t="shared" si="65"/>
        <v>NAD27 / Idaho Central</v>
      </c>
    </row>
    <row r="4176" spans="1:3" x14ac:dyDescent="0.3">
      <c r="A4176" t="s">
        <v>4233</v>
      </c>
      <c r="B4176">
        <f>IF(ISNUMBER(SEARCH(Form!$C$11,Tabel2[[#This Row],[Coordinate Projection System]])),MAX($B$1:B4175)+1,0)</f>
        <v>4175</v>
      </c>
      <c r="C4176" t="str">
        <f t="shared" si="65"/>
        <v>NAD27 / Idaho West</v>
      </c>
    </row>
    <row r="4177" spans="1:3" x14ac:dyDescent="0.3">
      <c r="A4177" t="s">
        <v>4234</v>
      </c>
      <c r="B4177">
        <f>IF(ISNUMBER(SEARCH(Form!$C$11,Tabel2[[#This Row],[Coordinate Projection System]])),MAX($B$1:B4176)+1,0)</f>
        <v>4176</v>
      </c>
      <c r="C4177" t="str">
        <f t="shared" si="65"/>
        <v>NAD27 / Illinois East</v>
      </c>
    </row>
    <row r="4178" spans="1:3" x14ac:dyDescent="0.3">
      <c r="A4178" t="s">
        <v>4235</v>
      </c>
      <c r="B4178">
        <f>IF(ISNUMBER(SEARCH(Form!$C$11,Tabel2[[#This Row],[Coordinate Projection System]])),MAX($B$1:B4177)+1,0)</f>
        <v>4177</v>
      </c>
      <c r="C4178" t="str">
        <f t="shared" si="65"/>
        <v>NAD27 / Illinois West</v>
      </c>
    </row>
    <row r="4179" spans="1:3" x14ac:dyDescent="0.3">
      <c r="A4179" t="s">
        <v>4236</v>
      </c>
      <c r="B4179">
        <f>IF(ISNUMBER(SEARCH(Form!$C$11,Tabel2[[#This Row],[Coordinate Projection System]])),MAX($B$1:B4178)+1,0)</f>
        <v>4178</v>
      </c>
      <c r="C4179" t="str">
        <f t="shared" si="65"/>
        <v>NAD27 / Indiana East</v>
      </c>
    </row>
    <row r="4180" spans="1:3" x14ac:dyDescent="0.3">
      <c r="A4180" t="s">
        <v>4237</v>
      </c>
      <c r="B4180">
        <f>IF(ISNUMBER(SEARCH(Form!$C$11,Tabel2[[#This Row],[Coordinate Projection System]])),MAX($B$1:B4179)+1,0)</f>
        <v>4179</v>
      </c>
      <c r="C4180" t="str">
        <f t="shared" si="65"/>
        <v>NAD27 / Indiana West</v>
      </c>
    </row>
    <row r="4181" spans="1:3" x14ac:dyDescent="0.3">
      <c r="A4181" t="s">
        <v>4238</v>
      </c>
      <c r="B4181">
        <f>IF(ISNUMBER(SEARCH(Form!$C$11,Tabel2[[#This Row],[Coordinate Projection System]])),MAX($B$1:B4180)+1,0)</f>
        <v>4180</v>
      </c>
      <c r="C4181" t="str">
        <f t="shared" si="65"/>
        <v>NAD27 / Iowa North</v>
      </c>
    </row>
    <row r="4182" spans="1:3" x14ac:dyDescent="0.3">
      <c r="A4182" t="s">
        <v>4239</v>
      </c>
      <c r="B4182">
        <f>IF(ISNUMBER(SEARCH(Form!$C$11,Tabel2[[#This Row],[Coordinate Projection System]])),MAX($B$1:B4181)+1,0)</f>
        <v>4181</v>
      </c>
      <c r="C4182" t="str">
        <f t="shared" si="65"/>
        <v>NAD27 / Iowa South</v>
      </c>
    </row>
    <row r="4183" spans="1:3" x14ac:dyDescent="0.3">
      <c r="A4183" t="s">
        <v>4240</v>
      </c>
      <c r="B4183">
        <f>IF(ISNUMBER(SEARCH(Form!$C$11,Tabel2[[#This Row],[Coordinate Projection System]])),MAX($B$1:B4182)+1,0)</f>
        <v>4182</v>
      </c>
      <c r="C4183" t="str">
        <f t="shared" si="65"/>
        <v>NAD27 / Kansas North</v>
      </c>
    </row>
    <row r="4184" spans="1:3" x14ac:dyDescent="0.3">
      <c r="A4184" t="s">
        <v>4241</v>
      </c>
      <c r="B4184">
        <f>IF(ISNUMBER(SEARCH(Form!$C$11,Tabel2[[#This Row],[Coordinate Projection System]])),MAX($B$1:B4183)+1,0)</f>
        <v>4183</v>
      </c>
      <c r="C4184" t="str">
        <f t="shared" si="65"/>
        <v>NAD27 / Kansas South</v>
      </c>
    </row>
    <row r="4185" spans="1:3" x14ac:dyDescent="0.3">
      <c r="A4185" t="s">
        <v>4242</v>
      </c>
      <c r="B4185">
        <f>IF(ISNUMBER(SEARCH(Form!$C$11,Tabel2[[#This Row],[Coordinate Projection System]])),MAX($B$1:B4184)+1,0)</f>
        <v>4184</v>
      </c>
      <c r="C4185" t="str">
        <f t="shared" si="65"/>
        <v>NAD27 / Kentucky North</v>
      </c>
    </row>
    <row r="4186" spans="1:3" x14ac:dyDescent="0.3">
      <c r="A4186" t="s">
        <v>4243</v>
      </c>
      <c r="B4186">
        <f>IF(ISNUMBER(SEARCH(Form!$C$11,Tabel2[[#This Row],[Coordinate Projection System]])),MAX($B$1:B4185)+1,0)</f>
        <v>4185</v>
      </c>
      <c r="C4186" t="str">
        <f t="shared" si="65"/>
        <v>NAD27 / Kentucky South</v>
      </c>
    </row>
    <row r="4187" spans="1:3" x14ac:dyDescent="0.3">
      <c r="A4187" t="s">
        <v>4244</v>
      </c>
      <c r="B4187">
        <f>IF(ISNUMBER(SEARCH(Form!$C$11,Tabel2[[#This Row],[Coordinate Projection System]])),MAX($B$1:B4186)+1,0)</f>
        <v>4186</v>
      </c>
      <c r="C4187" t="str">
        <f t="shared" si="65"/>
        <v>NAD27 / Louisiana North</v>
      </c>
    </row>
    <row r="4188" spans="1:3" x14ac:dyDescent="0.3">
      <c r="A4188" t="s">
        <v>4245</v>
      </c>
      <c r="B4188">
        <f>IF(ISNUMBER(SEARCH(Form!$C$11,Tabel2[[#This Row],[Coordinate Projection System]])),MAX($B$1:B4187)+1,0)</f>
        <v>4187</v>
      </c>
      <c r="C4188" t="str">
        <f t="shared" si="65"/>
        <v>NAD27 / Louisiana South</v>
      </c>
    </row>
    <row r="4189" spans="1:3" x14ac:dyDescent="0.3">
      <c r="A4189" t="s">
        <v>4246</v>
      </c>
      <c r="B4189">
        <f>IF(ISNUMBER(SEARCH(Form!$C$11,Tabel2[[#This Row],[Coordinate Projection System]])),MAX($B$1:B4188)+1,0)</f>
        <v>4188</v>
      </c>
      <c r="C4189" t="str">
        <f t="shared" si="65"/>
        <v>NAD27 / Maine East</v>
      </c>
    </row>
    <row r="4190" spans="1:3" x14ac:dyDescent="0.3">
      <c r="A4190" t="s">
        <v>4247</v>
      </c>
      <c r="B4190">
        <f>IF(ISNUMBER(SEARCH(Form!$C$11,Tabel2[[#This Row],[Coordinate Projection System]])),MAX($B$1:B4189)+1,0)</f>
        <v>4189</v>
      </c>
      <c r="C4190" t="str">
        <f t="shared" si="65"/>
        <v>NAD27 / Maine West</v>
      </c>
    </row>
    <row r="4191" spans="1:3" x14ac:dyDescent="0.3">
      <c r="A4191" t="s">
        <v>4248</v>
      </c>
      <c r="B4191">
        <f>IF(ISNUMBER(SEARCH(Form!$C$11,Tabel2[[#This Row],[Coordinate Projection System]])),MAX($B$1:B4190)+1,0)</f>
        <v>4190</v>
      </c>
      <c r="C4191" t="str">
        <f t="shared" si="65"/>
        <v>NAD27 / Maryland</v>
      </c>
    </row>
    <row r="4192" spans="1:3" x14ac:dyDescent="0.3">
      <c r="A4192" t="s">
        <v>4249</v>
      </c>
      <c r="B4192">
        <f>IF(ISNUMBER(SEARCH(Form!$C$11,Tabel2[[#This Row],[Coordinate Projection System]])),MAX($B$1:B4191)+1,0)</f>
        <v>4191</v>
      </c>
      <c r="C4192" t="str">
        <f t="shared" si="65"/>
        <v>NAD27 / Massachusetts Mainland</v>
      </c>
    </row>
    <row r="4193" spans="1:3" x14ac:dyDescent="0.3">
      <c r="A4193" t="s">
        <v>4250</v>
      </c>
      <c r="B4193">
        <f>IF(ISNUMBER(SEARCH(Form!$C$11,Tabel2[[#This Row],[Coordinate Projection System]])),MAX($B$1:B4192)+1,0)</f>
        <v>4192</v>
      </c>
      <c r="C4193" t="str">
        <f t="shared" si="65"/>
        <v>NAD27 / Massachusetts Island</v>
      </c>
    </row>
    <row r="4194" spans="1:3" x14ac:dyDescent="0.3">
      <c r="A4194" t="s">
        <v>4251</v>
      </c>
      <c r="B4194">
        <f>IF(ISNUMBER(SEARCH(Form!$C$11,Tabel2[[#This Row],[Coordinate Projection System]])),MAX($B$1:B4193)+1,0)</f>
        <v>4193</v>
      </c>
      <c r="C4194" t="str">
        <f t="shared" si="65"/>
        <v>NAD27 / Minnesota North</v>
      </c>
    </row>
    <row r="4195" spans="1:3" x14ac:dyDescent="0.3">
      <c r="A4195" t="s">
        <v>4252</v>
      </c>
      <c r="B4195">
        <f>IF(ISNUMBER(SEARCH(Form!$C$11,Tabel2[[#This Row],[Coordinate Projection System]])),MAX($B$1:B4194)+1,0)</f>
        <v>4194</v>
      </c>
      <c r="C4195" t="str">
        <f t="shared" si="65"/>
        <v>NAD27 / Minnesota Central</v>
      </c>
    </row>
    <row r="4196" spans="1:3" x14ac:dyDescent="0.3">
      <c r="A4196" t="s">
        <v>4253</v>
      </c>
      <c r="B4196">
        <f>IF(ISNUMBER(SEARCH(Form!$C$11,Tabel2[[#This Row],[Coordinate Projection System]])),MAX($B$1:B4195)+1,0)</f>
        <v>4195</v>
      </c>
      <c r="C4196" t="str">
        <f t="shared" si="65"/>
        <v>NAD27 / Minnesota South</v>
      </c>
    </row>
    <row r="4197" spans="1:3" x14ac:dyDescent="0.3">
      <c r="A4197" t="s">
        <v>4254</v>
      </c>
      <c r="B4197">
        <f>IF(ISNUMBER(SEARCH(Form!$C$11,Tabel2[[#This Row],[Coordinate Projection System]])),MAX($B$1:B4196)+1,0)</f>
        <v>4196</v>
      </c>
      <c r="C4197" t="str">
        <f t="shared" si="65"/>
        <v>NAD27 / Mississippi East</v>
      </c>
    </row>
    <row r="4198" spans="1:3" x14ac:dyDescent="0.3">
      <c r="A4198" t="s">
        <v>4255</v>
      </c>
      <c r="B4198">
        <f>IF(ISNUMBER(SEARCH(Form!$C$11,Tabel2[[#This Row],[Coordinate Projection System]])),MAX($B$1:B4197)+1,0)</f>
        <v>4197</v>
      </c>
      <c r="C4198" t="str">
        <f t="shared" si="65"/>
        <v>NAD27 / Mississippi West</v>
      </c>
    </row>
    <row r="4199" spans="1:3" x14ac:dyDescent="0.3">
      <c r="A4199" t="s">
        <v>4256</v>
      </c>
      <c r="B4199">
        <f>IF(ISNUMBER(SEARCH(Form!$C$11,Tabel2[[#This Row],[Coordinate Projection System]])),MAX($B$1:B4198)+1,0)</f>
        <v>4198</v>
      </c>
      <c r="C4199" t="str">
        <f t="shared" si="65"/>
        <v>NAD27 / Missouri East</v>
      </c>
    </row>
    <row r="4200" spans="1:3" x14ac:dyDescent="0.3">
      <c r="A4200" t="s">
        <v>4257</v>
      </c>
      <c r="B4200">
        <f>IF(ISNUMBER(SEARCH(Form!$C$11,Tabel2[[#This Row],[Coordinate Projection System]])),MAX($B$1:B4199)+1,0)</f>
        <v>4199</v>
      </c>
      <c r="C4200" t="str">
        <f t="shared" si="65"/>
        <v>NAD27 / Missouri Central</v>
      </c>
    </row>
    <row r="4201" spans="1:3" x14ac:dyDescent="0.3">
      <c r="A4201" t="s">
        <v>4258</v>
      </c>
      <c r="B4201">
        <f>IF(ISNUMBER(SEARCH(Form!$C$11,Tabel2[[#This Row],[Coordinate Projection System]])),MAX($B$1:B4200)+1,0)</f>
        <v>4200</v>
      </c>
      <c r="C4201" t="str">
        <f t="shared" si="65"/>
        <v>NAD27 / Missouri West</v>
      </c>
    </row>
    <row r="4202" spans="1:3" x14ac:dyDescent="0.3">
      <c r="A4202" t="s">
        <v>4259</v>
      </c>
      <c r="B4202">
        <f>IF(ISNUMBER(SEARCH(Form!$C$11,Tabel2[[#This Row],[Coordinate Projection System]])),MAX($B$1:B4201)+1,0)</f>
        <v>4201</v>
      </c>
      <c r="C4202" t="str">
        <f t="shared" si="65"/>
        <v>NAD27 / California zone VII</v>
      </c>
    </row>
    <row r="4203" spans="1:3" x14ac:dyDescent="0.3">
      <c r="A4203" t="s">
        <v>4260</v>
      </c>
      <c r="B4203">
        <f>IF(ISNUMBER(SEARCH(Form!$C$11,Tabel2[[#This Row],[Coordinate Projection System]])),MAX($B$1:B4202)+1,0)</f>
        <v>4202</v>
      </c>
      <c r="C4203" t="str">
        <f t="shared" si="65"/>
        <v>NAD Michigan / Michigan East (deprecated)</v>
      </c>
    </row>
    <row r="4204" spans="1:3" x14ac:dyDescent="0.3">
      <c r="A4204" t="s">
        <v>4261</v>
      </c>
      <c r="B4204">
        <f>IF(ISNUMBER(SEARCH(Form!$C$11,Tabel2[[#This Row],[Coordinate Projection System]])),MAX($B$1:B4203)+1,0)</f>
        <v>4203</v>
      </c>
      <c r="C4204" t="str">
        <f t="shared" si="65"/>
        <v>NAD Michigan / Michigan Old Central (deprecated)</v>
      </c>
    </row>
    <row r="4205" spans="1:3" x14ac:dyDescent="0.3">
      <c r="A4205" t="s">
        <v>4262</v>
      </c>
      <c r="B4205">
        <f>IF(ISNUMBER(SEARCH(Form!$C$11,Tabel2[[#This Row],[Coordinate Projection System]])),MAX($B$1:B4204)+1,0)</f>
        <v>4204</v>
      </c>
      <c r="C4205" t="str">
        <f t="shared" si="65"/>
        <v>NAD Michigan / Michigan West (deprecated)</v>
      </c>
    </row>
    <row r="4206" spans="1:3" x14ac:dyDescent="0.3">
      <c r="A4206" t="s">
        <v>4263</v>
      </c>
      <c r="B4206">
        <f>IF(ISNUMBER(SEARCH(Form!$C$11,Tabel2[[#This Row],[Coordinate Projection System]])),MAX($B$1:B4205)+1,0)</f>
        <v>4205</v>
      </c>
      <c r="C4206" t="str">
        <f t="shared" si="65"/>
        <v>NAD Michigan / Michigan North (deprecated)</v>
      </c>
    </row>
    <row r="4207" spans="1:3" x14ac:dyDescent="0.3">
      <c r="A4207" t="s">
        <v>4264</v>
      </c>
      <c r="B4207">
        <f>IF(ISNUMBER(SEARCH(Form!$C$11,Tabel2[[#This Row],[Coordinate Projection System]])),MAX($B$1:B4206)+1,0)</f>
        <v>4206</v>
      </c>
      <c r="C4207" t="str">
        <f t="shared" si="65"/>
        <v>NAD Michigan / Michigan Central (deprecated)</v>
      </c>
    </row>
    <row r="4208" spans="1:3" x14ac:dyDescent="0.3">
      <c r="A4208" t="s">
        <v>4265</v>
      </c>
      <c r="B4208">
        <f>IF(ISNUMBER(SEARCH(Form!$C$11,Tabel2[[#This Row],[Coordinate Projection System]])),MAX($B$1:B4207)+1,0)</f>
        <v>4207</v>
      </c>
      <c r="C4208" t="str">
        <f t="shared" si="65"/>
        <v>NAD Michigan / Michigan South (deprecated)</v>
      </c>
    </row>
    <row r="4209" spans="1:3" x14ac:dyDescent="0.3">
      <c r="A4209" t="s">
        <v>4266</v>
      </c>
      <c r="B4209">
        <f>IF(ISNUMBER(SEARCH(Form!$C$11,Tabel2[[#This Row],[Coordinate Projection System]])),MAX($B$1:B4208)+1,0)</f>
        <v>4208</v>
      </c>
      <c r="C4209" t="str">
        <f t="shared" si="65"/>
        <v>NAD83 / Maine East (ftUS) (deprecated)</v>
      </c>
    </row>
    <row r="4210" spans="1:3" x14ac:dyDescent="0.3">
      <c r="A4210" t="s">
        <v>4267</v>
      </c>
      <c r="B4210">
        <f>IF(ISNUMBER(SEARCH(Form!$C$11,Tabel2[[#This Row],[Coordinate Projection System]])),MAX($B$1:B4209)+1,0)</f>
        <v>4209</v>
      </c>
      <c r="C4210" t="str">
        <f t="shared" si="65"/>
        <v>NAD83 / Maine West (ftUS) (deprecated)</v>
      </c>
    </row>
    <row r="4211" spans="1:3" x14ac:dyDescent="0.3">
      <c r="A4211" t="s">
        <v>4268</v>
      </c>
      <c r="B4211">
        <f>IF(ISNUMBER(SEARCH(Form!$C$11,Tabel2[[#This Row],[Coordinate Projection System]])),MAX($B$1:B4210)+1,0)</f>
        <v>4210</v>
      </c>
      <c r="C4211" t="str">
        <f t="shared" si="65"/>
        <v>NAD83 / Minnesota North (ftUS) (deprecated)</v>
      </c>
    </row>
    <row r="4212" spans="1:3" x14ac:dyDescent="0.3">
      <c r="A4212" t="s">
        <v>4269</v>
      </c>
      <c r="B4212">
        <f>IF(ISNUMBER(SEARCH(Form!$C$11,Tabel2[[#This Row],[Coordinate Projection System]])),MAX($B$1:B4211)+1,0)</f>
        <v>4211</v>
      </c>
      <c r="C4212" t="str">
        <f t="shared" si="65"/>
        <v>NAD83 / Minnesota Central (ftUS) (deprecated)</v>
      </c>
    </row>
    <row r="4213" spans="1:3" x14ac:dyDescent="0.3">
      <c r="A4213" t="s">
        <v>4270</v>
      </c>
      <c r="B4213">
        <f>IF(ISNUMBER(SEARCH(Form!$C$11,Tabel2[[#This Row],[Coordinate Projection System]])),MAX($B$1:B4212)+1,0)</f>
        <v>4212</v>
      </c>
      <c r="C4213" t="str">
        <f t="shared" si="65"/>
        <v>NAD83 / Minnesota South (ftUS) (deprecated)</v>
      </c>
    </row>
    <row r="4214" spans="1:3" x14ac:dyDescent="0.3">
      <c r="A4214" t="s">
        <v>4271</v>
      </c>
      <c r="B4214">
        <f>IF(ISNUMBER(SEARCH(Form!$C$11,Tabel2[[#This Row],[Coordinate Projection System]])),MAX($B$1:B4213)+1,0)</f>
        <v>4213</v>
      </c>
      <c r="C4214" t="str">
        <f t="shared" si="65"/>
        <v>NAD83 / Nebraska (ftUS) (deprecated)</v>
      </c>
    </row>
    <row r="4215" spans="1:3" x14ac:dyDescent="0.3">
      <c r="A4215" t="s">
        <v>4272</v>
      </c>
      <c r="B4215">
        <f>IF(ISNUMBER(SEARCH(Form!$C$11,Tabel2[[#This Row],[Coordinate Projection System]])),MAX($B$1:B4214)+1,0)</f>
        <v>4214</v>
      </c>
      <c r="C4215" t="str">
        <f t="shared" si="65"/>
        <v>NAD83 / West Virginia North (ftUS) (deprecated)</v>
      </c>
    </row>
    <row r="4216" spans="1:3" x14ac:dyDescent="0.3">
      <c r="A4216" t="s">
        <v>4273</v>
      </c>
      <c r="B4216">
        <f>IF(ISNUMBER(SEARCH(Form!$C$11,Tabel2[[#This Row],[Coordinate Projection System]])),MAX($B$1:B4215)+1,0)</f>
        <v>4215</v>
      </c>
      <c r="C4216" t="str">
        <f t="shared" si="65"/>
        <v>NAD83 / West Virginia South (ftUS) (deprecated)</v>
      </c>
    </row>
    <row r="4217" spans="1:3" x14ac:dyDescent="0.3">
      <c r="A4217" t="s">
        <v>4274</v>
      </c>
      <c r="B4217">
        <f>IF(ISNUMBER(SEARCH(Form!$C$11,Tabel2[[#This Row],[Coordinate Projection System]])),MAX($B$1:B4216)+1,0)</f>
        <v>4216</v>
      </c>
      <c r="C4217" t="str">
        <f t="shared" si="65"/>
        <v>NAD83(HARN) / Maine East (ftUS) (deprecated)</v>
      </c>
    </row>
    <row r="4218" spans="1:3" x14ac:dyDescent="0.3">
      <c r="A4218" t="s">
        <v>4275</v>
      </c>
      <c r="B4218">
        <f>IF(ISNUMBER(SEARCH(Form!$C$11,Tabel2[[#This Row],[Coordinate Projection System]])),MAX($B$1:B4217)+1,0)</f>
        <v>4217</v>
      </c>
      <c r="C4218" t="str">
        <f t="shared" si="65"/>
        <v>NAD83(HARN) / Maine West (ftUS) (deprecated)</v>
      </c>
    </row>
    <row r="4219" spans="1:3" x14ac:dyDescent="0.3">
      <c r="A4219" t="s">
        <v>4276</v>
      </c>
      <c r="B4219">
        <f>IF(ISNUMBER(SEARCH(Form!$C$11,Tabel2[[#This Row],[Coordinate Projection System]])),MAX($B$1:B4218)+1,0)</f>
        <v>4218</v>
      </c>
      <c r="C4219" t="str">
        <f t="shared" si="65"/>
        <v>NAD83(HARN) / Minnesota North (ftUS) (deprecated)</v>
      </c>
    </row>
    <row r="4220" spans="1:3" x14ac:dyDescent="0.3">
      <c r="A4220" t="s">
        <v>4277</v>
      </c>
      <c r="B4220">
        <f>IF(ISNUMBER(SEARCH(Form!$C$11,Tabel2[[#This Row],[Coordinate Projection System]])),MAX($B$1:B4219)+1,0)</f>
        <v>4219</v>
      </c>
      <c r="C4220" t="str">
        <f t="shared" si="65"/>
        <v>NAD83(HARN) / Minnesota Central (ftUS) (deprecated)</v>
      </c>
    </row>
    <row r="4221" spans="1:3" x14ac:dyDescent="0.3">
      <c r="A4221" t="s">
        <v>4278</v>
      </c>
      <c r="B4221">
        <f>IF(ISNUMBER(SEARCH(Form!$C$11,Tabel2[[#This Row],[Coordinate Projection System]])),MAX($B$1:B4220)+1,0)</f>
        <v>4220</v>
      </c>
      <c r="C4221" t="str">
        <f t="shared" si="65"/>
        <v>NAD83(HARN) / Minnesota South (ftUS) (deprecated)</v>
      </c>
    </row>
    <row r="4222" spans="1:3" x14ac:dyDescent="0.3">
      <c r="A4222" t="s">
        <v>4279</v>
      </c>
      <c r="B4222">
        <f>IF(ISNUMBER(SEARCH(Form!$C$11,Tabel2[[#This Row],[Coordinate Projection System]])),MAX($B$1:B4221)+1,0)</f>
        <v>4221</v>
      </c>
      <c r="C4222" t="str">
        <f t="shared" si="65"/>
        <v>NAD83(HARN) / Nebraska (ftUS) (deprecated)</v>
      </c>
    </row>
    <row r="4223" spans="1:3" x14ac:dyDescent="0.3">
      <c r="A4223" t="s">
        <v>4280</v>
      </c>
      <c r="B4223">
        <f>IF(ISNUMBER(SEARCH(Form!$C$11,Tabel2[[#This Row],[Coordinate Projection System]])),MAX($B$1:B4222)+1,0)</f>
        <v>4222</v>
      </c>
      <c r="C4223" t="str">
        <f t="shared" si="65"/>
        <v>NAD83(HARN) / West Virginia North (ftUS) (deprecated)</v>
      </c>
    </row>
    <row r="4224" spans="1:3" x14ac:dyDescent="0.3">
      <c r="A4224" t="s">
        <v>4281</v>
      </c>
      <c r="B4224">
        <f>IF(ISNUMBER(SEARCH(Form!$C$11,Tabel2[[#This Row],[Coordinate Projection System]])),MAX($B$1:B4223)+1,0)</f>
        <v>4223</v>
      </c>
      <c r="C4224" t="str">
        <f t="shared" si="65"/>
        <v>NAD83(HARN) / West Virginia South (ftUS) (deprecated)</v>
      </c>
    </row>
    <row r="4225" spans="1:3" x14ac:dyDescent="0.3">
      <c r="A4225" t="s">
        <v>4282</v>
      </c>
      <c r="B4225">
        <f>IF(ISNUMBER(SEARCH(Form!$C$11,Tabel2[[#This Row],[Coordinate Projection System]])),MAX($B$1:B4224)+1,0)</f>
        <v>4224</v>
      </c>
      <c r="C4225" t="str">
        <f t="shared" si="65"/>
        <v>NAD83(NSRS2007) / Maine East (ftUS) (deprecated)</v>
      </c>
    </row>
    <row r="4226" spans="1:3" x14ac:dyDescent="0.3">
      <c r="A4226" t="s">
        <v>4283</v>
      </c>
      <c r="B4226">
        <f>IF(ISNUMBER(SEARCH(Form!$C$11,Tabel2[[#This Row],[Coordinate Projection System]])),MAX($B$1:B4225)+1,0)</f>
        <v>4225</v>
      </c>
      <c r="C4226" t="str">
        <f t="shared" si="65"/>
        <v>NAD83(NSRS2007) / Maine West (ftUS) (deprecated)</v>
      </c>
    </row>
    <row r="4227" spans="1:3" x14ac:dyDescent="0.3">
      <c r="A4227" t="s">
        <v>4284</v>
      </c>
      <c r="B4227">
        <f>IF(ISNUMBER(SEARCH(Form!$C$11,Tabel2[[#This Row],[Coordinate Projection System]])),MAX($B$1:B4226)+1,0)</f>
        <v>4226</v>
      </c>
      <c r="C4227" t="str">
        <f t="shared" ref="C4227:C4290" si="66">_xlfn.IFNA(INDEX(A4227:A9738,MATCH(ROW(C4226),B4227:B9738,0)),"")</f>
        <v>NAD83(NSRS2007) / Minnesota North (ftUS) (deprecated)</v>
      </c>
    </row>
    <row r="4228" spans="1:3" x14ac:dyDescent="0.3">
      <c r="A4228" t="s">
        <v>4285</v>
      </c>
      <c r="B4228">
        <f>IF(ISNUMBER(SEARCH(Form!$C$11,Tabel2[[#This Row],[Coordinate Projection System]])),MAX($B$1:B4227)+1,0)</f>
        <v>4227</v>
      </c>
      <c r="C4228" t="str">
        <f t="shared" si="66"/>
        <v>NAD83(NSRS2007) / Minnesota Central (ftUS) (deprecated)</v>
      </c>
    </row>
    <row r="4229" spans="1:3" x14ac:dyDescent="0.3">
      <c r="A4229" t="s">
        <v>4286</v>
      </c>
      <c r="B4229">
        <f>IF(ISNUMBER(SEARCH(Form!$C$11,Tabel2[[#This Row],[Coordinate Projection System]])),MAX($B$1:B4228)+1,0)</f>
        <v>4228</v>
      </c>
      <c r="C4229" t="str">
        <f t="shared" si="66"/>
        <v>NAD83(NSRS2007) / Minnesota South (ftUS) (deprecated)</v>
      </c>
    </row>
    <row r="4230" spans="1:3" x14ac:dyDescent="0.3">
      <c r="A4230" t="s">
        <v>4287</v>
      </c>
      <c r="B4230">
        <f>IF(ISNUMBER(SEARCH(Form!$C$11,Tabel2[[#This Row],[Coordinate Projection System]])),MAX($B$1:B4229)+1,0)</f>
        <v>4229</v>
      </c>
      <c r="C4230" t="str">
        <f t="shared" si="66"/>
        <v>NAD83(NSRS2007) / Nebraska (ftUS) (deprecated)</v>
      </c>
    </row>
    <row r="4231" spans="1:3" x14ac:dyDescent="0.3">
      <c r="A4231" t="s">
        <v>4288</v>
      </c>
      <c r="B4231">
        <f>IF(ISNUMBER(SEARCH(Form!$C$11,Tabel2[[#This Row],[Coordinate Projection System]])),MAX($B$1:B4230)+1,0)</f>
        <v>4230</v>
      </c>
      <c r="C4231" t="str">
        <f t="shared" si="66"/>
        <v>NAD83(NSRS2007) / West Virginia North (ftUS) (deprecated)</v>
      </c>
    </row>
    <row r="4232" spans="1:3" x14ac:dyDescent="0.3">
      <c r="A4232" t="s">
        <v>4289</v>
      </c>
      <c r="B4232">
        <f>IF(ISNUMBER(SEARCH(Form!$C$11,Tabel2[[#This Row],[Coordinate Projection System]])),MAX($B$1:B4231)+1,0)</f>
        <v>4231</v>
      </c>
      <c r="C4232" t="str">
        <f t="shared" si="66"/>
        <v>NAD83(NSRS2007) / West Virginia South (ftUS) (deprecated)</v>
      </c>
    </row>
    <row r="4233" spans="1:3" x14ac:dyDescent="0.3">
      <c r="A4233" t="s">
        <v>4290</v>
      </c>
      <c r="B4233">
        <f>IF(ISNUMBER(SEARCH(Form!$C$11,Tabel2[[#This Row],[Coordinate Projection System]])),MAX($B$1:B4232)+1,0)</f>
        <v>4232</v>
      </c>
      <c r="C4233" t="str">
        <f t="shared" si="66"/>
        <v>NAD83 / Maine East (ftUS)</v>
      </c>
    </row>
    <row r="4234" spans="1:3" x14ac:dyDescent="0.3">
      <c r="A4234" t="s">
        <v>4291</v>
      </c>
      <c r="B4234">
        <f>IF(ISNUMBER(SEARCH(Form!$C$11,Tabel2[[#This Row],[Coordinate Projection System]])),MAX($B$1:B4233)+1,0)</f>
        <v>4233</v>
      </c>
      <c r="C4234" t="str">
        <f t="shared" si="66"/>
        <v>NAD83 / Maine West (ftUS)</v>
      </c>
    </row>
    <row r="4235" spans="1:3" x14ac:dyDescent="0.3">
      <c r="A4235" t="s">
        <v>4292</v>
      </c>
      <c r="B4235">
        <f>IF(ISNUMBER(SEARCH(Form!$C$11,Tabel2[[#This Row],[Coordinate Projection System]])),MAX($B$1:B4234)+1,0)</f>
        <v>4234</v>
      </c>
      <c r="C4235" t="str">
        <f t="shared" si="66"/>
        <v>NAD83 / Minnesota North (ftUS)</v>
      </c>
    </row>
    <row r="4236" spans="1:3" x14ac:dyDescent="0.3">
      <c r="A4236" t="s">
        <v>4293</v>
      </c>
      <c r="B4236">
        <f>IF(ISNUMBER(SEARCH(Form!$C$11,Tabel2[[#This Row],[Coordinate Projection System]])),MAX($B$1:B4235)+1,0)</f>
        <v>4235</v>
      </c>
      <c r="C4236" t="str">
        <f t="shared" si="66"/>
        <v>NAD83 / Minnesota Central (ftUS)</v>
      </c>
    </row>
    <row r="4237" spans="1:3" x14ac:dyDescent="0.3">
      <c r="A4237" t="s">
        <v>4294</v>
      </c>
      <c r="B4237">
        <f>IF(ISNUMBER(SEARCH(Form!$C$11,Tabel2[[#This Row],[Coordinate Projection System]])),MAX($B$1:B4236)+1,0)</f>
        <v>4236</v>
      </c>
      <c r="C4237" t="str">
        <f t="shared" si="66"/>
        <v>NAD83 / Minnesota South (ftUS)</v>
      </c>
    </row>
    <row r="4238" spans="1:3" x14ac:dyDescent="0.3">
      <c r="A4238" t="s">
        <v>4295</v>
      </c>
      <c r="B4238">
        <f>IF(ISNUMBER(SEARCH(Form!$C$11,Tabel2[[#This Row],[Coordinate Projection System]])),MAX($B$1:B4237)+1,0)</f>
        <v>4237</v>
      </c>
      <c r="C4238" t="str">
        <f t="shared" si="66"/>
        <v>NAD83 / Nebraska (ftUS)</v>
      </c>
    </row>
    <row r="4239" spans="1:3" x14ac:dyDescent="0.3">
      <c r="A4239" t="s">
        <v>4296</v>
      </c>
      <c r="B4239">
        <f>IF(ISNUMBER(SEARCH(Form!$C$11,Tabel2[[#This Row],[Coordinate Projection System]])),MAX($B$1:B4238)+1,0)</f>
        <v>4238</v>
      </c>
      <c r="C4239" t="str">
        <f t="shared" si="66"/>
        <v>NAD83 / West Virginia North (ftUS)</v>
      </c>
    </row>
    <row r="4240" spans="1:3" x14ac:dyDescent="0.3">
      <c r="A4240" t="s">
        <v>4297</v>
      </c>
      <c r="B4240">
        <f>IF(ISNUMBER(SEARCH(Form!$C$11,Tabel2[[#This Row],[Coordinate Projection System]])),MAX($B$1:B4239)+1,0)</f>
        <v>4239</v>
      </c>
      <c r="C4240" t="str">
        <f t="shared" si="66"/>
        <v>NAD83 / West Virginia South (ftUS)</v>
      </c>
    </row>
    <row r="4241" spans="1:3" x14ac:dyDescent="0.3">
      <c r="A4241" t="s">
        <v>4298</v>
      </c>
      <c r="B4241">
        <f>IF(ISNUMBER(SEARCH(Form!$C$11,Tabel2[[#This Row],[Coordinate Projection System]])),MAX($B$1:B4240)+1,0)</f>
        <v>4240</v>
      </c>
      <c r="C4241" t="str">
        <f t="shared" si="66"/>
        <v>NAD83(HARN) / Maine East (ftUS)</v>
      </c>
    </row>
    <row r="4242" spans="1:3" x14ac:dyDescent="0.3">
      <c r="A4242" t="s">
        <v>4299</v>
      </c>
      <c r="B4242">
        <f>IF(ISNUMBER(SEARCH(Form!$C$11,Tabel2[[#This Row],[Coordinate Projection System]])),MAX($B$1:B4241)+1,0)</f>
        <v>4241</v>
      </c>
      <c r="C4242" t="str">
        <f t="shared" si="66"/>
        <v>NAD83(HARN) / Maine West (ftUS)</v>
      </c>
    </row>
    <row r="4243" spans="1:3" x14ac:dyDescent="0.3">
      <c r="A4243" t="s">
        <v>4300</v>
      </c>
      <c r="B4243">
        <f>IF(ISNUMBER(SEARCH(Form!$C$11,Tabel2[[#This Row],[Coordinate Projection System]])),MAX($B$1:B4242)+1,0)</f>
        <v>4242</v>
      </c>
      <c r="C4243" t="str">
        <f t="shared" si="66"/>
        <v>NAD83(HARN) / Minnesota North (ftUS)</v>
      </c>
    </row>
    <row r="4244" spans="1:3" x14ac:dyDescent="0.3">
      <c r="A4244" t="s">
        <v>4301</v>
      </c>
      <c r="B4244">
        <f>IF(ISNUMBER(SEARCH(Form!$C$11,Tabel2[[#This Row],[Coordinate Projection System]])),MAX($B$1:B4243)+1,0)</f>
        <v>4243</v>
      </c>
      <c r="C4244" t="str">
        <f t="shared" si="66"/>
        <v>NAD83(HARN) / Minnesota Central (ftUS)</v>
      </c>
    </row>
    <row r="4245" spans="1:3" x14ac:dyDescent="0.3">
      <c r="A4245" t="s">
        <v>4302</v>
      </c>
      <c r="B4245">
        <f>IF(ISNUMBER(SEARCH(Form!$C$11,Tabel2[[#This Row],[Coordinate Projection System]])),MAX($B$1:B4244)+1,0)</f>
        <v>4244</v>
      </c>
      <c r="C4245" t="str">
        <f t="shared" si="66"/>
        <v>NAD83(HARN) / Minnesota South (ftUS)</v>
      </c>
    </row>
    <row r="4246" spans="1:3" x14ac:dyDescent="0.3">
      <c r="A4246" t="s">
        <v>4303</v>
      </c>
      <c r="B4246">
        <f>IF(ISNUMBER(SEARCH(Form!$C$11,Tabel2[[#This Row],[Coordinate Projection System]])),MAX($B$1:B4245)+1,0)</f>
        <v>4245</v>
      </c>
      <c r="C4246" t="str">
        <f t="shared" si="66"/>
        <v>NAD83(HARN) / Nebraska (ftUS)</v>
      </c>
    </row>
    <row r="4247" spans="1:3" x14ac:dyDescent="0.3">
      <c r="A4247" t="s">
        <v>4304</v>
      </c>
      <c r="B4247">
        <f>IF(ISNUMBER(SEARCH(Form!$C$11,Tabel2[[#This Row],[Coordinate Projection System]])),MAX($B$1:B4246)+1,0)</f>
        <v>4246</v>
      </c>
      <c r="C4247" t="str">
        <f t="shared" si="66"/>
        <v>NAD83(HARN) / West Virginia North (ftUS)</v>
      </c>
    </row>
    <row r="4248" spans="1:3" x14ac:dyDescent="0.3">
      <c r="A4248" t="s">
        <v>4305</v>
      </c>
      <c r="B4248">
        <f>IF(ISNUMBER(SEARCH(Form!$C$11,Tabel2[[#This Row],[Coordinate Projection System]])),MAX($B$1:B4247)+1,0)</f>
        <v>4247</v>
      </c>
      <c r="C4248" t="str">
        <f t="shared" si="66"/>
        <v>NAD83(HARN) / West Virginia South (ftUS)</v>
      </c>
    </row>
    <row r="4249" spans="1:3" x14ac:dyDescent="0.3">
      <c r="A4249" t="s">
        <v>4306</v>
      </c>
      <c r="B4249">
        <f>IF(ISNUMBER(SEARCH(Form!$C$11,Tabel2[[#This Row],[Coordinate Projection System]])),MAX($B$1:B4248)+1,0)</f>
        <v>4248</v>
      </c>
      <c r="C4249" t="str">
        <f t="shared" si="66"/>
        <v>NAD83(NSRS2007) / Maine East (ftUS)</v>
      </c>
    </row>
    <row r="4250" spans="1:3" x14ac:dyDescent="0.3">
      <c r="A4250" t="s">
        <v>4307</v>
      </c>
      <c r="B4250">
        <f>IF(ISNUMBER(SEARCH(Form!$C$11,Tabel2[[#This Row],[Coordinate Projection System]])),MAX($B$1:B4249)+1,0)</f>
        <v>4249</v>
      </c>
      <c r="C4250" t="str">
        <f t="shared" si="66"/>
        <v>NAD83(NSRS2007) / Maine West (ftUS)</v>
      </c>
    </row>
    <row r="4251" spans="1:3" x14ac:dyDescent="0.3">
      <c r="A4251" t="s">
        <v>4308</v>
      </c>
      <c r="B4251">
        <f>IF(ISNUMBER(SEARCH(Form!$C$11,Tabel2[[#This Row],[Coordinate Projection System]])),MAX($B$1:B4250)+1,0)</f>
        <v>4250</v>
      </c>
      <c r="C4251" t="str">
        <f t="shared" si="66"/>
        <v>NAD83(NSRS2007) / Minnesota North (ftUS)</v>
      </c>
    </row>
    <row r="4252" spans="1:3" x14ac:dyDescent="0.3">
      <c r="A4252" t="s">
        <v>4309</v>
      </c>
      <c r="B4252">
        <f>IF(ISNUMBER(SEARCH(Form!$C$11,Tabel2[[#This Row],[Coordinate Projection System]])),MAX($B$1:B4251)+1,0)</f>
        <v>4251</v>
      </c>
      <c r="C4252" t="str">
        <f t="shared" si="66"/>
        <v>NAD83(NSRS2007) / Minnesota Central (ftUS)</v>
      </c>
    </row>
    <row r="4253" spans="1:3" x14ac:dyDescent="0.3">
      <c r="A4253" t="s">
        <v>4310</v>
      </c>
      <c r="B4253">
        <f>IF(ISNUMBER(SEARCH(Form!$C$11,Tabel2[[#This Row],[Coordinate Projection System]])),MAX($B$1:B4252)+1,0)</f>
        <v>4252</v>
      </c>
      <c r="C4253" t="str">
        <f t="shared" si="66"/>
        <v>NAD83(NSRS2007) / Minnesota South (ftUS)</v>
      </c>
    </row>
    <row r="4254" spans="1:3" x14ac:dyDescent="0.3">
      <c r="A4254" t="s">
        <v>4311</v>
      </c>
      <c r="B4254">
        <f>IF(ISNUMBER(SEARCH(Form!$C$11,Tabel2[[#This Row],[Coordinate Projection System]])),MAX($B$1:B4253)+1,0)</f>
        <v>4253</v>
      </c>
      <c r="C4254" t="str">
        <f t="shared" si="66"/>
        <v>NAD83(NSRS2007) / Nebraska (ftUS)</v>
      </c>
    </row>
    <row r="4255" spans="1:3" x14ac:dyDescent="0.3">
      <c r="A4255" t="s">
        <v>4312</v>
      </c>
      <c r="B4255">
        <f>IF(ISNUMBER(SEARCH(Form!$C$11,Tabel2[[#This Row],[Coordinate Projection System]])),MAX($B$1:B4254)+1,0)</f>
        <v>4254</v>
      </c>
      <c r="C4255" t="str">
        <f t="shared" si="66"/>
        <v>NAD83(NSRS2007) / West Virginia North (ftUS)</v>
      </c>
    </row>
    <row r="4256" spans="1:3" x14ac:dyDescent="0.3">
      <c r="A4256" t="s">
        <v>4313</v>
      </c>
      <c r="B4256">
        <f>IF(ISNUMBER(SEARCH(Form!$C$11,Tabel2[[#This Row],[Coordinate Projection System]])),MAX($B$1:B4255)+1,0)</f>
        <v>4255</v>
      </c>
      <c r="C4256" t="str">
        <f t="shared" si="66"/>
        <v>NAD83(NSRS2007) / West Virginia South (ftUS)</v>
      </c>
    </row>
    <row r="4257" spans="1:3" x14ac:dyDescent="0.3">
      <c r="A4257" t="s">
        <v>4314</v>
      </c>
      <c r="B4257">
        <f>IF(ISNUMBER(SEARCH(Form!$C$11,Tabel2[[#This Row],[Coordinate Projection System]])),MAX($B$1:B4256)+1,0)</f>
        <v>4256</v>
      </c>
      <c r="C4257" t="str">
        <f t="shared" si="66"/>
        <v>NAD83(CSRS) / MTM zone 11</v>
      </c>
    </row>
    <row r="4258" spans="1:3" x14ac:dyDescent="0.3">
      <c r="A4258" t="s">
        <v>4315</v>
      </c>
      <c r="B4258">
        <f>IF(ISNUMBER(SEARCH(Form!$C$11,Tabel2[[#This Row],[Coordinate Projection System]])),MAX($B$1:B4257)+1,0)</f>
        <v>4257</v>
      </c>
      <c r="C4258" t="str">
        <f t="shared" si="66"/>
        <v>NAD83(CSRS) / MTM zone 12</v>
      </c>
    </row>
    <row r="4259" spans="1:3" x14ac:dyDescent="0.3">
      <c r="A4259" t="s">
        <v>4316</v>
      </c>
      <c r="B4259">
        <f>IF(ISNUMBER(SEARCH(Form!$C$11,Tabel2[[#This Row],[Coordinate Projection System]])),MAX($B$1:B4258)+1,0)</f>
        <v>4258</v>
      </c>
      <c r="C4259" t="str">
        <f t="shared" si="66"/>
        <v>NAD83(CSRS) / MTM zone 13</v>
      </c>
    </row>
    <row r="4260" spans="1:3" x14ac:dyDescent="0.3">
      <c r="A4260" t="s">
        <v>4317</v>
      </c>
      <c r="B4260">
        <f>IF(ISNUMBER(SEARCH(Form!$C$11,Tabel2[[#This Row],[Coordinate Projection System]])),MAX($B$1:B4259)+1,0)</f>
        <v>4259</v>
      </c>
      <c r="C4260" t="str">
        <f t="shared" si="66"/>
        <v>NAD83(CSRS) / MTM zone 14</v>
      </c>
    </row>
    <row r="4261" spans="1:3" x14ac:dyDescent="0.3">
      <c r="A4261" t="s">
        <v>4318</v>
      </c>
      <c r="B4261">
        <f>IF(ISNUMBER(SEARCH(Form!$C$11,Tabel2[[#This Row],[Coordinate Projection System]])),MAX($B$1:B4260)+1,0)</f>
        <v>4260</v>
      </c>
      <c r="C4261" t="str">
        <f t="shared" si="66"/>
        <v>NAD83(CSRS) / MTM zone 15</v>
      </c>
    </row>
    <row r="4262" spans="1:3" x14ac:dyDescent="0.3">
      <c r="A4262" t="s">
        <v>4319</v>
      </c>
      <c r="B4262">
        <f>IF(ISNUMBER(SEARCH(Form!$C$11,Tabel2[[#This Row],[Coordinate Projection System]])),MAX($B$1:B4261)+1,0)</f>
        <v>4261</v>
      </c>
      <c r="C4262" t="str">
        <f t="shared" si="66"/>
        <v>NAD83(CSRS) / MTM zone 16</v>
      </c>
    </row>
    <row r="4263" spans="1:3" x14ac:dyDescent="0.3">
      <c r="A4263" t="s">
        <v>4320</v>
      </c>
      <c r="B4263">
        <f>IF(ISNUMBER(SEARCH(Form!$C$11,Tabel2[[#This Row],[Coordinate Projection System]])),MAX($B$1:B4262)+1,0)</f>
        <v>4262</v>
      </c>
      <c r="C4263" t="str">
        <f t="shared" si="66"/>
        <v>NAD83(CSRS) / MTM zone 17</v>
      </c>
    </row>
    <row r="4264" spans="1:3" x14ac:dyDescent="0.3">
      <c r="A4264" t="s">
        <v>4321</v>
      </c>
      <c r="B4264">
        <f>IF(ISNUMBER(SEARCH(Form!$C$11,Tabel2[[#This Row],[Coordinate Projection System]])),MAX($B$1:B4263)+1,0)</f>
        <v>4263</v>
      </c>
      <c r="C4264" t="str">
        <f t="shared" si="66"/>
        <v>NAD83(CSRS) / MTM zone 1</v>
      </c>
    </row>
    <row r="4265" spans="1:3" x14ac:dyDescent="0.3">
      <c r="A4265" t="s">
        <v>4322</v>
      </c>
      <c r="B4265">
        <f>IF(ISNUMBER(SEARCH(Form!$C$11,Tabel2[[#This Row],[Coordinate Projection System]])),MAX($B$1:B4264)+1,0)</f>
        <v>4264</v>
      </c>
      <c r="C4265" t="str">
        <f t="shared" si="66"/>
        <v>NAD83(CSRS) / MTM zone 2</v>
      </c>
    </row>
    <row r="4266" spans="1:3" x14ac:dyDescent="0.3">
      <c r="A4266" t="s">
        <v>4323</v>
      </c>
      <c r="B4266">
        <f>IF(ISNUMBER(SEARCH(Form!$C$11,Tabel2[[#This Row],[Coordinate Projection System]])),MAX($B$1:B4265)+1,0)</f>
        <v>4265</v>
      </c>
      <c r="C4266" t="str">
        <f t="shared" si="66"/>
        <v>NAD83 / UTM zone 1N</v>
      </c>
    </row>
    <row r="4267" spans="1:3" x14ac:dyDescent="0.3">
      <c r="A4267" t="s">
        <v>4324</v>
      </c>
      <c r="B4267">
        <f>IF(ISNUMBER(SEARCH(Form!$C$11,Tabel2[[#This Row],[Coordinate Projection System]])),MAX($B$1:B4266)+1,0)</f>
        <v>4266</v>
      </c>
      <c r="C4267" t="str">
        <f t="shared" si="66"/>
        <v>NAD83 / UTM zone 2N</v>
      </c>
    </row>
    <row r="4268" spans="1:3" x14ac:dyDescent="0.3">
      <c r="A4268" t="s">
        <v>4325</v>
      </c>
      <c r="B4268">
        <f>IF(ISNUMBER(SEARCH(Form!$C$11,Tabel2[[#This Row],[Coordinate Projection System]])),MAX($B$1:B4267)+1,0)</f>
        <v>4267</v>
      </c>
      <c r="C4268" t="str">
        <f t="shared" si="66"/>
        <v>NAD83 / UTM zone 3N</v>
      </c>
    </row>
    <row r="4269" spans="1:3" x14ac:dyDescent="0.3">
      <c r="A4269" t="s">
        <v>4326</v>
      </c>
      <c r="B4269">
        <f>IF(ISNUMBER(SEARCH(Form!$C$11,Tabel2[[#This Row],[Coordinate Projection System]])),MAX($B$1:B4268)+1,0)</f>
        <v>4268</v>
      </c>
      <c r="C4269" t="str">
        <f t="shared" si="66"/>
        <v>NAD83 / UTM zone 4N</v>
      </c>
    </row>
    <row r="4270" spans="1:3" x14ac:dyDescent="0.3">
      <c r="A4270" t="s">
        <v>4327</v>
      </c>
      <c r="B4270">
        <f>IF(ISNUMBER(SEARCH(Form!$C$11,Tabel2[[#This Row],[Coordinate Projection System]])),MAX($B$1:B4269)+1,0)</f>
        <v>4269</v>
      </c>
      <c r="C4270" t="str">
        <f t="shared" si="66"/>
        <v>NAD83 / UTM zone 5N</v>
      </c>
    </row>
    <row r="4271" spans="1:3" x14ac:dyDescent="0.3">
      <c r="A4271" t="s">
        <v>4328</v>
      </c>
      <c r="B4271">
        <f>IF(ISNUMBER(SEARCH(Form!$C$11,Tabel2[[#This Row],[Coordinate Projection System]])),MAX($B$1:B4270)+1,0)</f>
        <v>4270</v>
      </c>
      <c r="C4271" t="str">
        <f t="shared" si="66"/>
        <v>NAD83 / UTM zone 6N</v>
      </c>
    </row>
    <row r="4272" spans="1:3" x14ac:dyDescent="0.3">
      <c r="A4272" t="s">
        <v>4329</v>
      </c>
      <c r="B4272">
        <f>IF(ISNUMBER(SEARCH(Form!$C$11,Tabel2[[#This Row],[Coordinate Projection System]])),MAX($B$1:B4271)+1,0)</f>
        <v>4271</v>
      </c>
      <c r="C4272" t="str">
        <f t="shared" si="66"/>
        <v>NAD83 / UTM zone 7N</v>
      </c>
    </row>
    <row r="4273" spans="1:3" x14ac:dyDescent="0.3">
      <c r="A4273" t="s">
        <v>4330</v>
      </c>
      <c r="B4273">
        <f>IF(ISNUMBER(SEARCH(Form!$C$11,Tabel2[[#This Row],[Coordinate Projection System]])),MAX($B$1:B4272)+1,0)</f>
        <v>4272</v>
      </c>
      <c r="C4273" t="str">
        <f t="shared" si="66"/>
        <v>NAD83 / UTM zone 8N</v>
      </c>
    </row>
    <row r="4274" spans="1:3" x14ac:dyDescent="0.3">
      <c r="A4274" t="s">
        <v>4331</v>
      </c>
      <c r="B4274">
        <f>IF(ISNUMBER(SEARCH(Form!$C$11,Tabel2[[#This Row],[Coordinate Projection System]])),MAX($B$1:B4273)+1,0)</f>
        <v>4273</v>
      </c>
      <c r="C4274" t="str">
        <f t="shared" si="66"/>
        <v>NAD83 / UTM zone 9N</v>
      </c>
    </row>
    <row r="4275" spans="1:3" x14ac:dyDescent="0.3">
      <c r="A4275" t="s">
        <v>4332</v>
      </c>
      <c r="B4275">
        <f>IF(ISNUMBER(SEARCH(Form!$C$11,Tabel2[[#This Row],[Coordinate Projection System]])),MAX($B$1:B4274)+1,0)</f>
        <v>4274</v>
      </c>
      <c r="C4275" t="str">
        <f t="shared" si="66"/>
        <v>NAD83 / UTM zone 10N</v>
      </c>
    </row>
    <row r="4276" spans="1:3" x14ac:dyDescent="0.3">
      <c r="A4276" t="s">
        <v>4333</v>
      </c>
      <c r="B4276">
        <f>IF(ISNUMBER(SEARCH(Form!$C$11,Tabel2[[#This Row],[Coordinate Projection System]])),MAX($B$1:B4275)+1,0)</f>
        <v>4275</v>
      </c>
      <c r="C4276" t="str">
        <f t="shared" si="66"/>
        <v>NAD83 / UTM zone 11N</v>
      </c>
    </row>
    <row r="4277" spans="1:3" x14ac:dyDescent="0.3">
      <c r="A4277" t="s">
        <v>4334</v>
      </c>
      <c r="B4277">
        <f>IF(ISNUMBER(SEARCH(Form!$C$11,Tabel2[[#This Row],[Coordinate Projection System]])),MAX($B$1:B4276)+1,0)</f>
        <v>4276</v>
      </c>
      <c r="C4277" t="str">
        <f t="shared" si="66"/>
        <v>NAD83 / UTM zone 12N</v>
      </c>
    </row>
    <row r="4278" spans="1:3" x14ac:dyDescent="0.3">
      <c r="A4278" t="s">
        <v>4335</v>
      </c>
      <c r="B4278">
        <f>IF(ISNUMBER(SEARCH(Form!$C$11,Tabel2[[#This Row],[Coordinate Projection System]])),MAX($B$1:B4277)+1,0)</f>
        <v>4277</v>
      </c>
      <c r="C4278" t="str">
        <f t="shared" si="66"/>
        <v>NAD83 / UTM zone 13N</v>
      </c>
    </row>
    <row r="4279" spans="1:3" x14ac:dyDescent="0.3">
      <c r="A4279" t="s">
        <v>4336</v>
      </c>
      <c r="B4279">
        <f>IF(ISNUMBER(SEARCH(Form!$C$11,Tabel2[[#This Row],[Coordinate Projection System]])),MAX($B$1:B4278)+1,0)</f>
        <v>4278</v>
      </c>
      <c r="C4279" t="str">
        <f t="shared" si="66"/>
        <v>NAD83 / UTM zone 14N</v>
      </c>
    </row>
    <row r="4280" spans="1:3" x14ac:dyDescent="0.3">
      <c r="A4280" t="s">
        <v>4337</v>
      </c>
      <c r="B4280">
        <f>IF(ISNUMBER(SEARCH(Form!$C$11,Tabel2[[#This Row],[Coordinate Projection System]])),MAX($B$1:B4279)+1,0)</f>
        <v>4279</v>
      </c>
      <c r="C4280" t="str">
        <f t="shared" si="66"/>
        <v>NAD83 / UTM zone 15N</v>
      </c>
    </row>
    <row r="4281" spans="1:3" x14ac:dyDescent="0.3">
      <c r="A4281" t="s">
        <v>4338</v>
      </c>
      <c r="B4281">
        <f>IF(ISNUMBER(SEARCH(Form!$C$11,Tabel2[[#This Row],[Coordinate Projection System]])),MAX($B$1:B4280)+1,0)</f>
        <v>4280</v>
      </c>
      <c r="C4281" t="str">
        <f t="shared" si="66"/>
        <v>NAD83 / UTM zone 16N</v>
      </c>
    </row>
    <row r="4282" spans="1:3" x14ac:dyDescent="0.3">
      <c r="A4282" t="s">
        <v>4339</v>
      </c>
      <c r="B4282">
        <f>IF(ISNUMBER(SEARCH(Form!$C$11,Tabel2[[#This Row],[Coordinate Projection System]])),MAX($B$1:B4281)+1,0)</f>
        <v>4281</v>
      </c>
      <c r="C4282" t="str">
        <f t="shared" si="66"/>
        <v>NAD83 / UTM zone 17N</v>
      </c>
    </row>
    <row r="4283" spans="1:3" x14ac:dyDescent="0.3">
      <c r="A4283" t="s">
        <v>4340</v>
      </c>
      <c r="B4283">
        <f>IF(ISNUMBER(SEARCH(Form!$C$11,Tabel2[[#This Row],[Coordinate Projection System]])),MAX($B$1:B4282)+1,0)</f>
        <v>4282</v>
      </c>
      <c r="C4283" t="str">
        <f t="shared" si="66"/>
        <v>NAD83 / UTM zone 18N</v>
      </c>
    </row>
    <row r="4284" spans="1:3" x14ac:dyDescent="0.3">
      <c r="A4284" t="s">
        <v>4341</v>
      </c>
      <c r="B4284">
        <f>IF(ISNUMBER(SEARCH(Form!$C$11,Tabel2[[#This Row],[Coordinate Projection System]])),MAX($B$1:B4283)+1,0)</f>
        <v>4283</v>
      </c>
      <c r="C4284" t="str">
        <f t="shared" si="66"/>
        <v>NAD83 / UTM zone 19N</v>
      </c>
    </row>
    <row r="4285" spans="1:3" x14ac:dyDescent="0.3">
      <c r="A4285" t="s">
        <v>4342</v>
      </c>
      <c r="B4285">
        <f>IF(ISNUMBER(SEARCH(Form!$C$11,Tabel2[[#This Row],[Coordinate Projection System]])),MAX($B$1:B4284)+1,0)</f>
        <v>4284</v>
      </c>
      <c r="C4285" t="str">
        <f t="shared" si="66"/>
        <v>NAD83 / UTM zone 20N</v>
      </c>
    </row>
    <row r="4286" spans="1:3" x14ac:dyDescent="0.3">
      <c r="A4286" t="s">
        <v>4343</v>
      </c>
      <c r="B4286">
        <f>IF(ISNUMBER(SEARCH(Form!$C$11,Tabel2[[#This Row],[Coordinate Projection System]])),MAX($B$1:B4285)+1,0)</f>
        <v>4285</v>
      </c>
      <c r="C4286" t="str">
        <f t="shared" si="66"/>
        <v>NAD83 / UTM zone 21N</v>
      </c>
    </row>
    <row r="4287" spans="1:3" x14ac:dyDescent="0.3">
      <c r="A4287" t="s">
        <v>4344</v>
      </c>
      <c r="B4287">
        <f>IF(ISNUMBER(SEARCH(Form!$C$11,Tabel2[[#This Row],[Coordinate Projection System]])),MAX($B$1:B4286)+1,0)</f>
        <v>4286</v>
      </c>
      <c r="C4287" t="str">
        <f t="shared" si="66"/>
        <v>NAD83 / UTM zone 22N</v>
      </c>
    </row>
    <row r="4288" spans="1:3" x14ac:dyDescent="0.3">
      <c r="A4288" t="s">
        <v>4345</v>
      </c>
      <c r="B4288">
        <f>IF(ISNUMBER(SEARCH(Form!$C$11,Tabel2[[#This Row],[Coordinate Projection System]])),MAX($B$1:B4287)+1,0)</f>
        <v>4287</v>
      </c>
      <c r="C4288" t="str">
        <f t="shared" si="66"/>
        <v>NAD83 / UTM zone 23N</v>
      </c>
    </row>
    <row r="4289" spans="1:3" x14ac:dyDescent="0.3">
      <c r="A4289" t="s">
        <v>4346</v>
      </c>
      <c r="B4289">
        <f>IF(ISNUMBER(SEARCH(Form!$C$11,Tabel2[[#This Row],[Coordinate Projection System]])),MAX($B$1:B4288)+1,0)</f>
        <v>4288</v>
      </c>
      <c r="C4289" t="str">
        <f t="shared" si="66"/>
        <v>NAD83 / Alabama East</v>
      </c>
    </row>
    <row r="4290" spans="1:3" x14ac:dyDescent="0.3">
      <c r="A4290" t="s">
        <v>4347</v>
      </c>
      <c r="B4290">
        <f>IF(ISNUMBER(SEARCH(Form!$C$11,Tabel2[[#This Row],[Coordinate Projection System]])),MAX($B$1:B4289)+1,0)</f>
        <v>4289</v>
      </c>
      <c r="C4290" t="str">
        <f t="shared" si="66"/>
        <v>NAD83 / Alabama West</v>
      </c>
    </row>
    <row r="4291" spans="1:3" x14ac:dyDescent="0.3">
      <c r="A4291" t="s">
        <v>4348</v>
      </c>
      <c r="B4291">
        <f>IF(ISNUMBER(SEARCH(Form!$C$11,Tabel2[[#This Row],[Coordinate Projection System]])),MAX($B$1:B4290)+1,0)</f>
        <v>4290</v>
      </c>
      <c r="C4291" t="str">
        <f t="shared" ref="C4291:C4354" si="67">_xlfn.IFNA(INDEX(A4291:A9802,MATCH(ROW(C4290),B4291:B9802,0)),"")</f>
        <v>NAD83 / Alaska zone 1</v>
      </c>
    </row>
    <row r="4292" spans="1:3" x14ac:dyDescent="0.3">
      <c r="A4292" t="s">
        <v>4349</v>
      </c>
      <c r="B4292">
        <f>IF(ISNUMBER(SEARCH(Form!$C$11,Tabel2[[#This Row],[Coordinate Projection System]])),MAX($B$1:B4291)+1,0)</f>
        <v>4291</v>
      </c>
      <c r="C4292" t="str">
        <f t="shared" si="67"/>
        <v>NAD83 / Alaska zone 2</v>
      </c>
    </row>
    <row r="4293" spans="1:3" x14ac:dyDescent="0.3">
      <c r="A4293" t="s">
        <v>4350</v>
      </c>
      <c r="B4293">
        <f>IF(ISNUMBER(SEARCH(Form!$C$11,Tabel2[[#This Row],[Coordinate Projection System]])),MAX($B$1:B4292)+1,0)</f>
        <v>4292</v>
      </c>
      <c r="C4293" t="str">
        <f t="shared" si="67"/>
        <v>NAD83 / Alaska zone 3</v>
      </c>
    </row>
    <row r="4294" spans="1:3" x14ac:dyDescent="0.3">
      <c r="A4294" t="s">
        <v>4351</v>
      </c>
      <c r="B4294">
        <f>IF(ISNUMBER(SEARCH(Form!$C$11,Tabel2[[#This Row],[Coordinate Projection System]])),MAX($B$1:B4293)+1,0)</f>
        <v>4293</v>
      </c>
      <c r="C4294" t="str">
        <f t="shared" si="67"/>
        <v>NAD83 / Alaska zone 4</v>
      </c>
    </row>
    <row r="4295" spans="1:3" x14ac:dyDescent="0.3">
      <c r="A4295" t="s">
        <v>4352</v>
      </c>
      <c r="B4295">
        <f>IF(ISNUMBER(SEARCH(Form!$C$11,Tabel2[[#This Row],[Coordinate Projection System]])),MAX($B$1:B4294)+1,0)</f>
        <v>4294</v>
      </c>
      <c r="C4295" t="str">
        <f t="shared" si="67"/>
        <v>NAD83 / Alaska zone 5</v>
      </c>
    </row>
    <row r="4296" spans="1:3" x14ac:dyDescent="0.3">
      <c r="A4296" t="s">
        <v>4353</v>
      </c>
      <c r="B4296">
        <f>IF(ISNUMBER(SEARCH(Form!$C$11,Tabel2[[#This Row],[Coordinate Projection System]])),MAX($B$1:B4295)+1,0)</f>
        <v>4295</v>
      </c>
      <c r="C4296" t="str">
        <f t="shared" si="67"/>
        <v>NAD83 / Alaska zone 6</v>
      </c>
    </row>
    <row r="4297" spans="1:3" x14ac:dyDescent="0.3">
      <c r="A4297" t="s">
        <v>4354</v>
      </c>
      <c r="B4297">
        <f>IF(ISNUMBER(SEARCH(Form!$C$11,Tabel2[[#This Row],[Coordinate Projection System]])),MAX($B$1:B4296)+1,0)</f>
        <v>4296</v>
      </c>
      <c r="C4297" t="str">
        <f t="shared" si="67"/>
        <v>NAD83 / Alaska zone 7</v>
      </c>
    </row>
    <row r="4298" spans="1:3" x14ac:dyDescent="0.3">
      <c r="A4298" t="s">
        <v>4355</v>
      </c>
      <c r="B4298">
        <f>IF(ISNUMBER(SEARCH(Form!$C$11,Tabel2[[#This Row],[Coordinate Projection System]])),MAX($B$1:B4297)+1,0)</f>
        <v>4297</v>
      </c>
      <c r="C4298" t="str">
        <f t="shared" si="67"/>
        <v>NAD83 / Alaska zone 8</v>
      </c>
    </row>
    <row r="4299" spans="1:3" x14ac:dyDescent="0.3">
      <c r="A4299" t="s">
        <v>4356</v>
      </c>
      <c r="B4299">
        <f>IF(ISNUMBER(SEARCH(Form!$C$11,Tabel2[[#This Row],[Coordinate Projection System]])),MAX($B$1:B4298)+1,0)</f>
        <v>4298</v>
      </c>
      <c r="C4299" t="str">
        <f t="shared" si="67"/>
        <v>NAD83 / Alaska zone 9</v>
      </c>
    </row>
    <row r="4300" spans="1:3" x14ac:dyDescent="0.3">
      <c r="A4300" t="s">
        <v>4357</v>
      </c>
      <c r="B4300">
        <f>IF(ISNUMBER(SEARCH(Form!$C$11,Tabel2[[#This Row],[Coordinate Projection System]])),MAX($B$1:B4299)+1,0)</f>
        <v>4299</v>
      </c>
      <c r="C4300" t="str">
        <f t="shared" si="67"/>
        <v>NAD83 / Alaska zone 10</v>
      </c>
    </row>
    <row r="4301" spans="1:3" x14ac:dyDescent="0.3">
      <c r="A4301" t="s">
        <v>4358</v>
      </c>
      <c r="B4301">
        <f>IF(ISNUMBER(SEARCH(Form!$C$11,Tabel2[[#This Row],[Coordinate Projection System]])),MAX($B$1:B4300)+1,0)</f>
        <v>4300</v>
      </c>
      <c r="C4301" t="str">
        <f t="shared" si="67"/>
        <v>NAD83 / California zone 1</v>
      </c>
    </row>
    <row r="4302" spans="1:3" x14ac:dyDescent="0.3">
      <c r="A4302" t="s">
        <v>4359</v>
      </c>
      <c r="B4302">
        <f>IF(ISNUMBER(SEARCH(Form!$C$11,Tabel2[[#This Row],[Coordinate Projection System]])),MAX($B$1:B4301)+1,0)</f>
        <v>4301</v>
      </c>
      <c r="C4302" t="str">
        <f t="shared" si="67"/>
        <v>NAD83 / California zone 2</v>
      </c>
    </row>
    <row r="4303" spans="1:3" x14ac:dyDescent="0.3">
      <c r="A4303" t="s">
        <v>4360</v>
      </c>
      <c r="B4303">
        <f>IF(ISNUMBER(SEARCH(Form!$C$11,Tabel2[[#This Row],[Coordinate Projection System]])),MAX($B$1:B4302)+1,0)</f>
        <v>4302</v>
      </c>
      <c r="C4303" t="str">
        <f t="shared" si="67"/>
        <v>NAD83 / California zone 3</v>
      </c>
    </row>
    <row r="4304" spans="1:3" x14ac:dyDescent="0.3">
      <c r="A4304" t="s">
        <v>4361</v>
      </c>
      <c r="B4304">
        <f>IF(ISNUMBER(SEARCH(Form!$C$11,Tabel2[[#This Row],[Coordinate Projection System]])),MAX($B$1:B4303)+1,0)</f>
        <v>4303</v>
      </c>
      <c r="C4304" t="str">
        <f t="shared" si="67"/>
        <v>NAD83 / California zone 4</v>
      </c>
    </row>
    <row r="4305" spans="1:3" x14ac:dyDescent="0.3">
      <c r="A4305" t="s">
        <v>4362</v>
      </c>
      <c r="B4305">
        <f>IF(ISNUMBER(SEARCH(Form!$C$11,Tabel2[[#This Row],[Coordinate Projection System]])),MAX($B$1:B4304)+1,0)</f>
        <v>4304</v>
      </c>
      <c r="C4305" t="str">
        <f t="shared" si="67"/>
        <v>NAD83 / California zone 5</v>
      </c>
    </row>
    <row r="4306" spans="1:3" x14ac:dyDescent="0.3">
      <c r="A4306" t="s">
        <v>4363</v>
      </c>
      <c r="B4306">
        <f>IF(ISNUMBER(SEARCH(Form!$C$11,Tabel2[[#This Row],[Coordinate Projection System]])),MAX($B$1:B4305)+1,0)</f>
        <v>4305</v>
      </c>
      <c r="C4306" t="str">
        <f t="shared" si="67"/>
        <v>NAD83 / California zone 6</v>
      </c>
    </row>
    <row r="4307" spans="1:3" x14ac:dyDescent="0.3">
      <c r="A4307" t="s">
        <v>4364</v>
      </c>
      <c r="B4307">
        <f>IF(ISNUMBER(SEARCH(Form!$C$11,Tabel2[[#This Row],[Coordinate Projection System]])),MAX($B$1:B4306)+1,0)</f>
        <v>4306</v>
      </c>
      <c r="C4307" t="str">
        <f t="shared" si="67"/>
        <v>NAD83 / Arizona East</v>
      </c>
    </row>
    <row r="4308" spans="1:3" x14ac:dyDescent="0.3">
      <c r="A4308" t="s">
        <v>4365</v>
      </c>
      <c r="B4308">
        <f>IF(ISNUMBER(SEARCH(Form!$C$11,Tabel2[[#This Row],[Coordinate Projection System]])),MAX($B$1:B4307)+1,0)</f>
        <v>4307</v>
      </c>
      <c r="C4308" t="str">
        <f t="shared" si="67"/>
        <v>NAD83 / Arizona Central</v>
      </c>
    </row>
    <row r="4309" spans="1:3" x14ac:dyDescent="0.3">
      <c r="A4309" t="s">
        <v>4366</v>
      </c>
      <c r="B4309">
        <f>IF(ISNUMBER(SEARCH(Form!$C$11,Tabel2[[#This Row],[Coordinate Projection System]])),MAX($B$1:B4308)+1,0)</f>
        <v>4308</v>
      </c>
      <c r="C4309" t="str">
        <f t="shared" si="67"/>
        <v>NAD83 / Arizona West</v>
      </c>
    </row>
    <row r="4310" spans="1:3" x14ac:dyDescent="0.3">
      <c r="A4310" t="s">
        <v>4367</v>
      </c>
      <c r="B4310">
        <f>IF(ISNUMBER(SEARCH(Form!$C$11,Tabel2[[#This Row],[Coordinate Projection System]])),MAX($B$1:B4309)+1,0)</f>
        <v>4309</v>
      </c>
      <c r="C4310" t="str">
        <f t="shared" si="67"/>
        <v>NAD83 / Arkansas North</v>
      </c>
    </row>
    <row r="4311" spans="1:3" x14ac:dyDescent="0.3">
      <c r="A4311" t="s">
        <v>4368</v>
      </c>
      <c r="B4311">
        <f>IF(ISNUMBER(SEARCH(Form!$C$11,Tabel2[[#This Row],[Coordinate Projection System]])),MAX($B$1:B4310)+1,0)</f>
        <v>4310</v>
      </c>
      <c r="C4311" t="str">
        <f t="shared" si="67"/>
        <v>NAD83 / Arkansas South</v>
      </c>
    </row>
    <row r="4312" spans="1:3" x14ac:dyDescent="0.3">
      <c r="A4312" t="s">
        <v>4369</v>
      </c>
      <c r="B4312">
        <f>IF(ISNUMBER(SEARCH(Form!$C$11,Tabel2[[#This Row],[Coordinate Projection System]])),MAX($B$1:B4311)+1,0)</f>
        <v>4311</v>
      </c>
      <c r="C4312" t="str">
        <f t="shared" si="67"/>
        <v>NAD83 / Colorado North</v>
      </c>
    </row>
    <row r="4313" spans="1:3" x14ac:dyDescent="0.3">
      <c r="A4313" t="s">
        <v>4370</v>
      </c>
      <c r="B4313">
        <f>IF(ISNUMBER(SEARCH(Form!$C$11,Tabel2[[#This Row],[Coordinate Projection System]])),MAX($B$1:B4312)+1,0)</f>
        <v>4312</v>
      </c>
      <c r="C4313" t="str">
        <f t="shared" si="67"/>
        <v>NAD83 / Colorado Central</v>
      </c>
    </row>
    <row r="4314" spans="1:3" x14ac:dyDescent="0.3">
      <c r="A4314" t="s">
        <v>4371</v>
      </c>
      <c r="B4314">
        <f>IF(ISNUMBER(SEARCH(Form!$C$11,Tabel2[[#This Row],[Coordinate Projection System]])),MAX($B$1:B4313)+1,0)</f>
        <v>4313</v>
      </c>
      <c r="C4314" t="str">
        <f t="shared" si="67"/>
        <v>NAD83 / Colorado South</v>
      </c>
    </row>
    <row r="4315" spans="1:3" x14ac:dyDescent="0.3">
      <c r="A4315" t="s">
        <v>4372</v>
      </c>
      <c r="B4315">
        <f>IF(ISNUMBER(SEARCH(Form!$C$11,Tabel2[[#This Row],[Coordinate Projection System]])),MAX($B$1:B4314)+1,0)</f>
        <v>4314</v>
      </c>
      <c r="C4315" t="str">
        <f t="shared" si="67"/>
        <v>NAD83 / Connecticut</v>
      </c>
    </row>
    <row r="4316" spans="1:3" x14ac:dyDescent="0.3">
      <c r="A4316" t="s">
        <v>4373</v>
      </c>
      <c r="B4316">
        <f>IF(ISNUMBER(SEARCH(Form!$C$11,Tabel2[[#This Row],[Coordinate Projection System]])),MAX($B$1:B4315)+1,0)</f>
        <v>4315</v>
      </c>
      <c r="C4316" t="str">
        <f t="shared" si="67"/>
        <v>NAD83 / Delaware</v>
      </c>
    </row>
    <row r="4317" spans="1:3" x14ac:dyDescent="0.3">
      <c r="A4317" t="s">
        <v>4374</v>
      </c>
      <c r="B4317">
        <f>IF(ISNUMBER(SEARCH(Form!$C$11,Tabel2[[#This Row],[Coordinate Projection System]])),MAX($B$1:B4316)+1,0)</f>
        <v>4316</v>
      </c>
      <c r="C4317" t="str">
        <f t="shared" si="67"/>
        <v>NAD83 / Florida East</v>
      </c>
    </row>
    <row r="4318" spans="1:3" x14ac:dyDescent="0.3">
      <c r="A4318" t="s">
        <v>4375</v>
      </c>
      <c r="B4318">
        <f>IF(ISNUMBER(SEARCH(Form!$C$11,Tabel2[[#This Row],[Coordinate Projection System]])),MAX($B$1:B4317)+1,0)</f>
        <v>4317</v>
      </c>
      <c r="C4318" t="str">
        <f t="shared" si="67"/>
        <v>NAD83 / Florida West</v>
      </c>
    </row>
    <row r="4319" spans="1:3" x14ac:dyDescent="0.3">
      <c r="A4319" t="s">
        <v>4376</v>
      </c>
      <c r="B4319">
        <f>IF(ISNUMBER(SEARCH(Form!$C$11,Tabel2[[#This Row],[Coordinate Projection System]])),MAX($B$1:B4318)+1,0)</f>
        <v>4318</v>
      </c>
      <c r="C4319" t="str">
        <f t="shared" si="67"/>
        <v>NAD83 / Florida North</v>
      </c>
    </row>
    <row r="4320" spans="1:3" x14ac:dyDescent="0.3">
      <c r="A4320" t="s">
        <v>4377</v>
      </c>
      <c r="B4320">
        <f>IF(ISNUMBER(SEARCH(Form!$C$11,Tabel2[[#This Row],[Coordinate Projection System]])),MAX($B$1:B4319)+1,0)</f>
        <v>4319</v>
      </c>
      <c r="C4320" t="str">
        <f t="shared" si="67"/>
        <v>NAD83 / Hawaii zone 1</v>
      </c>
    </row>
    <row r="4321" spans="1:3" x14ac:dyDescent="0.3">
      <c r="A4321" t="s">
        <v>4378</v>
      </c>
      <c r="B4321">
        <f>IF(ISNUMBER(SEARCH(Form!$C$11,Tabel2[[#This Row],[Coordinate Projection System]])),MAX($B$1:B4320)+1,0)</f>
        <v>4320</v>
      </c>
      <c r="C4321" t="str">
        <f t="shared" si="67"/>
        <v>NAD83 / Hawaii zone 2</v>
      </c>
    </row>
    <row r="4322" spans="1:3" x14ac:dyDescent="0.3">
      <c r="A4322" t="s">
        <v>4379</v>
      </c>
      <c r="B4322">
        <f>IF(ISNUMBER(SEARCH(Form!$C$11,Tabel2[[#This Row],[Coordinate Projection System]])),MAX($B$1:B4321)+1,0)</f>
        <v>4321</v>
      </c>
      <c r="C4322" t="str">
        <f t="shared" si="67"/>
        <v>NAD83 / Hawaii zone 3</v>
      </c>
    </row>
    <row r="4323" spans="1:3" x14ac:dyDescent="0.3">
      <c r="A4323" t="s">
        <v>4380</v>
      </c>
      <c r="B4323">
        <f>IF(ISNUMBER(SEARCH(Form!$C$11,Tabel2[[#This Row],[Coordinate Projection System]])),MAX($B$1:B4322)+1,0)</f>
        <v>4322</v>
      </c>
      <c r="C4323" t="str">
        <f t="shared" si="67"/>
        <v>NAD83 / Hawaii zone 4</v>
      </c>
    </row>
    <row r="4324" spans="1:3" x14ac:dyDescent="0.3">
      <c r="A4324" t="s">
        <v>4381</v>
      </c>
      <c r="B4324">
        <f>IF(ISNUMBER(SEARCH(Form!$C$11,Tabel2[[#This Row],[Coordinate Projection System]])),MAX($B$1:B4323)+1,0)</f>
        <v>4323</v>
      </c>
      <c r="C4324" t="str">
        <f t="shared" si="67"/>
        <v>NAD83 / Hawaii zone 5</v>
      </c>
    </row>
    <row r="4325" spans="1:3" x14ac:dyDescent="0.3">
      <c r="A4325" t="s">
        <v>4382</v>
      </c>
      <c r="B4325">
        <f>IF(ISNUMBER(SEARCH(Form!$C$11,Tabel2[[#This Row],[Coordinate Projection System]])),MAX($B$1:B4324)+1,0)</f>
        <v>4324</v>
      </c>
      <c r="C4325" t="str">
        <f t="shared" si="67"/>
        <v>NAD83 / Georgia East</v>
      </c>
    </row>
    <row r="4326" spans="1:3" x14ac:dyDescent="0.3">
      <c r="A4326" t="s">
        <v>4383</v>
      </c>
      <c r="B4326">
        <f>IF(ISNUMBER(SEARCH(Form!$C$11,Tabel2[[#This Row],[Coordinate Projection System]])),MAX($B$1:B4325)+1,0)</f>
        <v>4325</v>
      </c>
      <c r="C4326" t="str">
        <f t="shared" si="67"/>
        <v>NAD83 / Georgia West</v>
      </c>
    </row>
    <row r="4327" spans="1:3" x14ac:dyDescent="0.3">
      <c r="A4327" t="s">
        <v>4384</v>
      </c>
      <c r="B4327">
        <f>IF(ISNUMBER(SEARCH(Form!$C$11,Tabel2[[#This Row],[Coordinate Projection System]])),MAX($B$1:B4326)+1,0)</f>
        <v>4326</v>
      </c>
      <c r="C4327" t="str">
        <f t="shared" si="67"/>
        <v>NAD83 / Idaho East</v>
      </c>
    </row>
    <row r="4328" spans="1:3" x14ac:dyDescent="0.3">
      <c r="A4328" t="s">
        <v>4385</v>
      </c>
      <c r="B4328">
        <f>IF(ISNUMBER(SEARCH(Form!$C$11,Tabel2[[#This Row],[Coordinate Projection System]])),MAX($B$1:B4327)+1,0)</f>
        <v>4327</v>
      </c>
      <c r="C4328" t="str">
        <f t="shared" si="67"/>
        <v>NAD83 / Idaho Central</v>
      </c>
    </row>
    <row r="4329" spans="1:3" x14ac:dyDescent="0.3">
      <c r="A4329" t="s">
        <v>4386</v>
      </c>
      <c r="B4329">
        <f>IF(ISNUMBER(SEARCH(Form!$C$11,Tabel2[[#This Row],[Coordinate Projection System]])),MAX($B$1:B4328)+1,0)</f>
        <v>4328</v>
      </c>
      <c r="C4329" t="str">
        <f t="shared" si="67"/>
        <v>NAD83 / Idaho West</v>
      </c>
    </row>
    <row r="4330" spans="1:3" x14ac:dyDescent="0.3">
      <c r="A4330" t="s">
        <v>4387</v>
      </c>
      <c r="B4330">
        <f>IF(ISNUMBER(SEARCH(Form!$C$11,Tabel2[[#This Row],[Coordinate Projection System]])),MAX($B$1:B4329)+1,0)</f>
        <v>4329</v>
      </c>
      <c r="C4330" t="str">
        <f t="shared" si="67"/>
        <v>NAD83 / Illinois East</v>
      </c>
    </row>
    <row r="4331" spans="1:3" x14ac:dyDescent="0.3">
      <c r="A4331" t="s">
        <v>4388</v>
      </c>
      <c r="B4331">
        <f>IF(ISNUMBER(SEARCH(Form!$C$11,Tabel2[[#This Row],[Coordinate Projection System]])),MAX($B$1:B4330)+1,0)</f>
        <v>4330</v>
      </c>
      <c r="C4331" t="str">
        <f t="shared" si="67"/>
        <v>NAD83 / Illinois West</v>
      </c>
    </row>
    <row r="4332" spans="1:3" x14ac:dyDescent="0.3">
      <c r="A4332" t="s">
        <v>4389</v>
      </c>
      <c r="B4332">
        <f>IF(ISNUMBER(SEARCH(Form!$C$11,Tabel2[[#This Row],[Coordinate Projection System]])),MAX($B$1:B4331)+1,0)</f>
        <v>4331</v>
      </c>
      <c r="C4332" t="str">
        <f t="shared" si="67"/>
        <v>NAD83 / Indiana East</v>
      </c>
    </row>
    <row r="4333" spans="1:3" x14ac:dyDescent="0.3">
      <c r="A4333" t="s">
        <v>4390</v>
      </c>
      <c r="B4333">
        <f>IF(ISNUMBER(SEARCH(Form!$C$11,Tabel2[[#This Row],[Coordinate Projection System]])),MAX($B$1:B4332)+1,0)</f>
        <v>4332</v>
      </c>
      <c r="C4333" t="str">
        <f t="shared" si="67"/>
        <v>NAD83 / Indiana West</v>
      </c>
    </row>
    <row r="4334" spans="1:3" x14ac:dyDescent="0.3">
      <c r="A4334" t="s">
        <v>4391</v>
      </c>
      <c r="B4334">
        <f>IF(ISNUMBER(SEARCH(Form!$C$11,Tabel2[[#This Row],[Coordinate Projection System]])),MAX($B$1:B4333)+1,0)</f>
        <v>4333</v>
      </c>
      <c r="C4334" t="str">
        <f t="shared" si="67"/>
        <v>NAD83 / Iowa North</v>
      </c>
    </row>
    <row r="4335" spans="1:3" x14ac:dyDescent="0.3">
      <c r="A4335" t="s">
        <v>4392</v>
      </c>
      <c r="B4335">
        <f>IF(ISNUMBER(SEARCH(Form!$C$11,Tabel2[[#This Row],[Coordinate Projection System]])),MAX($B$1:B4334)+1,0)</f>
        <v>4334</v>
      </c>
      <c r="C4335" t="str">
        <f t="shared" si="67"/>
        <v>NAD83 / Iowa South</v>
      </c>
    </row>
    <row r="4336" spans="1:3" x14ac:dyDescent="0.3">
      <c r="A4336" t="s">
        <v>4393</v>
      </c>
      <c r="B4336">
        <f>IF(ISNUMBER(SEARCH(Form!$C$11,Tabel2[[#This Row],[Coordinate Projection System]])),MAX($B$1:B4335)+1,0)</f>
        <v>4335</v>
      </c>
      <c r="C4336" t="str">
        <f t="shared" si="67"/>
        <v>NAD83 / Kansas North</v>
      </c>
    </row>
    <row r="4337" spans="1:3" x14ac:dyDescent="0.3">
      <c r="A4337" t="s">
        <v>4394</v>
      </c>
      <c r="B4337">
        <f>IF(ISNUMBER(SEARCH(Form!$C$11,Tabel2[[#This Row],[Coordinate Projection System]])),MAX($B$1:B4336)+1,0)</f>
        <v>4336</v>
      </c>
      <c r="C4337" t="str">
        <f t="shared" si="67"/>
        <v>NAD83 / Kansas South</v>
      </c>
    </row>
    <row r="4338" spans="1:3" x14ac:dyDescent="0.3">
      <c r="A4338" t="s">
        <v>4395</v>
      </c>
      <c r="B4338">
        <f>IF(ISNUMBER(SEARCH(Form!$C$11,Tabel2[[#This Row],[Coordinate Projection System]])),MAX($B$1:B4337)+1,0)</f>
        <v>4337</v>
      </c>
      <c r="C4338" t="str">
        <f t="shared" si="67"/>
        <v>NAD83 / Kentucky North (deprecated)</v>
      </c>
    </row>
    <row r="4339" spans="1:3" x14ac:dyDescent="0.3">
      <c r="A4339" t="s">
        <v>4396</v>
      </c>
      <c r="B4339">
        <f>IF(ISNUMBER(SEARCH(Form!$C$11,Tabel2[[#This Row],[Coordinate Projection System]])),MAX($B$1:B4338)+1,0)</f>
        <v>4338</v>
      </c>
      <c r="C4339" t="str">
        <f t="shared" si="67"/>
        <v>NAD83 / Kentucky South</v>
      </c>
    </row>
    <row r="4340" spans="1:3" x14ac:dyDescent="0.3">
      <c r="A4340" t="s">
        <v>4397</v>
      </c>
      <c r="B4340">
        <f>IF(ISNUMBER(SEARCH(Form!$C$11,Tabel2[[#This Row],[Coordinate Projection System]])),MAX($B$1:B4339)+1,0)</f>
        <v>4339</v>
      </c>
      <c r="C4340" t="str">
        <f t="shared" si="67"/>
        <v>NAD83 / Louisiana North</v>
      </c>
    </row>
    <row r="4341" spans="1:3" x14ac:dyDescent="0.3">
      <c r="A4341" t="s">
        <v>4398</v>
      </c>
      <c r="B4341">
        <f>IF(ISNUMBER(SEARCH(Form!$C$11,Tabel2[[#This Row],[Coordinate Projection System]])),MAX($B$1:B4340)+1,0)</f>
        <v>4340</v>
      </c>
      <c r="C4341" t="str">
        <f t="shared" si="67"/>
        <v>NAD83 / Louisiana South</v>
      </c>
    </row>
    <row r="4342" spans="1:3" x14ac:dyDescent="0.3">
      <c r="A4342" t="s">
        <v>4399</v>
      </c>
      <c r="B4342">
        <f>IF(ISNUMBER(SEARCH(Form!$C$11,Tabel2[[#This Row],[Coordinate Projection System]])),MAX($B$1:B4341)+1,0)</f>
        <v>4341</v>
      </c>
      <c r="C4342" t="str">
        <f t="shared" si="67"/>
        <v>NAD83 / Maine East</v>
      </c>
    </row>
    <row r="4343" spans="1:3" x14ac:dyDescent="0.3">
      <c r="A4343" t="s">
        <v>4400</v>
      </c>
      <c r="B4343">
        <f>IF(ISNUMBER(SEARCH(Form!$C$11,Tabel2[[#This Row],[Coordinate Projection System]])),MAX($B$1:B4342)+1,0)</f>
        <v>4342</v>
      </c>
      <c r="C4343" t="str">
        <f t="shared" si="67"/>
        <v>NAD83 / Maine West</v>
      </c>
    </row>
    <row r="4344" spans="1:3" x14ac:dyDescent="0.3">
      <c r="A4344" t="s">
        <v>4401</v>
      </c>
      <c r="B4344">
        <f>IF(ISNUMBER(SEARCH(Form!$C$11,Tabel2[[#This Row],[Coordinate Projection System]])),MAX($B$1:B4343)+1,0)</f>
        <v>4343</v>
      </c>
      <c r="C4344" t="str">
        <f t="shared" si="67"/>
        <v>NAD83 / Maryland</v>
      </c>
    </row>
    <row r="4345" spans="1:3" x14ac:dyDescent="0.3">
      <c r="A4345" t="s">
        <v>4402</v>
      </c>
      <c r="B4345">
        <f>IF(ISNUMBER(SEARCH(Form!$C$11,Tabel2[[#This Row],[Coordinate Projection System]])),MAX($B$1:B4344)+1,0)</f>
        <v>4344</v>
      </c>
      <c r="C4345" t="str">
        <f t="shared" si="67"/>
        <v>NAD83 / Massachusetts Mainland</v>
      </c>
    </row>
    <row r="4346" spans="1:3" x14ac:dyDescent="0.3">
      <c r="A4346" t="s">
        <v>4403</v>
      </c>
      <c r="B4346">
        <f>IF(ISNUMBER(SEARCH(Form!$C$11,Tabel2[[#This Row],[Coordinate Projection System]])),MAX($B$1:B4345)+1,0)</f>
        <v>4345</v>
      </c>
      <c r="C4346" t="str">
        <f t="shared" si="67"/>
        <v>NAD83 / Massachusetts Island</v>
      </c>
    </row>
    <row r="4347" spans="1:3" x14ac:dyDescent="0.3">
      <c r="A4347" t="s">
        <v>4404</v>
      </c>
      <c r="B4347">
        <f>IF(ISNUMBER(SEARCH(Form!$C$11,Tabel2[[#This Row],[Coordinate Projection System]])),MAX($B$1:B4346)+1,0)</f>
        <v>4346</v>
      </c>
      <c r="C4347" t="str">
        <f t="shared" si="67"/>
        <v>NAD83 / Michigan North</v>
      </c>
    </row>
    <row r="4348" spans="1:3" x14ac:dyDescent="0.3">
      <c r="A4348" t="s">
        <v>4405</v>
      </c>
      <c r="B4348">
        <f>IF(ISNUMBER(SEARCH(Form!$C$11,Tabel2[[#This Row],[Coordinate Projection System]])),MAX($B$1:B4347)+1,0)</f>
        <v>4347</v>
      </c>
      <c r="C4348" t="str">
        <f t="shared" si="67"/>
        <v>NAD83 / Michigan Central</v>
      </c>
    </row>
    <row r="4349" spans="1:3" x14ac:dyDescent="0.3">
      <c r="A4349" t="s">
        <v>4406</v>
      </c>
      <c r="B4349">
        <f>IF(ISNUMBER(SEARCH(Form!$C$11,Tabel2[[#This Row],[Coordinate Projection System]])),MAX($B$1:B4348)+1,0)</f>
        <v>4348</v>
      </c>
      <c r="C4349" t="str">
        <f t="shared" si="67"/>
        <v>NAD83 / Michigan South</v>
      </c>
    </row>
    <row r="4350" spans="1:3" x14ac:dyDescent="0.3">
      <c r="A4350" t="s">
        <v>4407</v>
      </c>
      <c r="B4350">
        <f>IF(ISNUMBER(SEARCH(Form!$C$11,Tabel2[[#This Row],[Coordinate Projection System]])),MAX($B$1:B4349)+1,0)</f>
        <v>4349</v>
      </c>
      <c r="C4350" t="str">
        <f t="shared" si="67"/>
        <v>NAD83 / Minnesota North</v>
      </c>
    </row>
    <row r="4351" spans="1:3" x14ac:dyDescent="0.3">
      <c r="A4351" t="s">
        <v>4408</v>
      </c>
      <c r="B4351">
        <f>IF(ISNUMBER(SEARCH(Form!$C$11,Tabel2[[#This Row],[Coordinate Projection System]])),MAX($B$1:B4350)+1,0)</f>
        <v>4350</v>
      </c>
      <c r="C4351" t="str">
        <f t="shared" si="67"/>
        <v>NAD83 / Minnesota Central</v>
      </c>
    </row>
    <row r="4352" spans="1:3" x14ac:dyDescent="0.3">
      <c r="A4352" t="s">
        <v>4409</v>
      </c>
      <c r="B4352">
        <f>IF(ISNUMBER(SEARCH(Form!$C$11,Tabel2[[#This Row],[Coordinate Projection System]])),MAX($B$1:B4351)+1,0)</f>
        <v>4351</v>
      </c>
      <c r="C4352" t="str">
        <f t="shared" si="67"/>
        <v>NAD83 / Minnesota South</v>
      </c>
    </row>
    <row r="4353" spans="1:3" x14ac:dyDescent="0.3">
      <c r="A4353" t="s">
        <v>4410</v>
      </c>
      <c r="B4353">
        <f>IF(ISNUMBER(SEARCH(Form!$C$11,Tabel2[[#This Row],[Coordinate Projection System]])),MAX($B$1:B4352)+1,0)</f>
        <v>4352</v>
      </c>
      <c r="C4353" t="str">
        <f t="shared" si="67"/>
        <v>NAD83 / Mississippi East</v>
      </c>
    </row>
    <row r="4354" spans="1:3" x14ac:dyDescent="0.3">
      <c r="A4354" t="s">
        <v>4411</v>
      </c>
      <c r="B4354">
        <f>IF(ISNUMBER(SEARCH(Form!$C$11,Tabel2[[#This Row],[Coordinate Projection System]])),MAX($B$1:B4353)+1,0)</f>
        <v>4353</v>
      </c>
      <c r="C4354" t="str">
        <f t="shared" si="67"/>
        <v>NAD83 / Mississippi West</v>
      </c>
    </row>
    <row r="4355" spans="1:3" x14ac:dyDescent="0.3">
      <c r="A4355" t="s">
        <v>4412</v>
      </c>
      <c r="B4355">
        <f>IF(ISNUMBER(SEARCH(Form!$C$11,Tabel2[[#This Row],[Coordinate Projection System]])),MAX($B$1:B4354)+1,0)</f>
        <v>4354</v>
      </c>
      <c r="C4355" t="str">
        <f t="shared" ref="C4355:C4418" si="68">_xlfn.IFNA(INDEX(A4355:A9866,MATCH(ROW(C4354),B4355:B9866,0)),"")</f>
        <v>NAD83 / Missouri East</v>
      </c>
    </row>
    <row r="4356" spans="1:3" x14ac:dyDescent="0.3">
      <c r="A4356" t="s">
        <v>4413</v>
      </c>
      <c r="B4356">
        <f>IF(ISNUMBER(SEARCH(Form!$C$11,Tabel2[[#This Row],[Coordinate Projection System]])),MAX($B$1:B4355)+1,0)</f>
        <v>4355</v>
      </c>
      <c r="C4356" t="str">
        <f t="shared" si="68"/>
        <v>NAD83 / Missouri Central</v>
      </c>
    </row>
    <row r="4357" spans="1:3" x14ac:dyDescent="0.3">
      <c r="A4357" t="s">
        <v>4414</v>
      </c>
      <c r="B4357">
        <f>IF(ISNUMBER(SEARCH(Form!$C$11,Tabel2[[#This Row],[Coordinate Projection System]])),MAX($B$1:B4356)+1,0)</f>
        <v>4356</v>
      </c>
      <c r="C4357" t="str">
        <f t="shared" si="68"/>
        <v>NAD83 / Missouri West</v>
      </c>
    </row>
    <row r="4358" spans="1:3" x14ac:dyDescent="0.3">
      <c r="A4358" t="s">
        <v>4415</v>
      </c>
      <c r="B4358">
        <f>IF(ISNUMBER(SEARCH(Form!$C$11,Tabel2[[#This Row],[Coordinate Projection System]])),MAX($B$1:B4357)+1,0)</f>
        <v>4357</v>
      </c>
      <c r="C4358" t="str">
        <f t="shared" si="68"/>
        <v>Nahrwan 1967 / UTM zone 37N (deprecated)</v>
      </c>
    </row>
    <row r="4359" spans="1:3" x14ac:dyDescent="0.3">
      <c r="A4359" t="s">
        <v>4416</v>
      </c>
      <c r="B4359">
        <f>IF(ISNUMBER(SEARCH(Form!$C$11,Tabel2[[#This Row],[Coordinate Projection System]])),MAX($B$1:B4358)+1,0)</f>
        <v>4358</v>
      </c>
      <c r="C4359" t="str">
        <f t="shared" si="68"/>
        <v>Nahrwan 1967 / UTM zone 38N (deprecated)</v>
      </c>
    </row>
    <row r="4360" spans="1:3" x14ac:dyDescent="0.3">
      <c r="A4360" t="s">
        <v>4417</v>
      </c>
      <c r="B4360">
        <f>IF(ISNUMBER(SEARCH(Form!$C$11,Tabel2[[#This Row],[Coordinate Projection System]])),MAX($B$1:B4359)+1,0)</f>
        <v>4359</v>
      </c>
      <c r="C4360" t="str">
        <f t="shared" si="68"/>
        <v>Nahrwan 1967 / UTM zone 39N</v>
      </c>
    </row>
    <row r="4361" spans="1:3" x14ac:dyDescent="0.3">
      <c r="A4361" t="s">
        <v>4418</v>
      </c>
      <c r="B4361">
        <f>IF(ISNUMBER(SEARCH(Form!$C$11,Tabel2[[#This Row],[Coordinate Projection System]])),MAX($B$1:B4360)+1,0)</f>
        <v>4360</v>
      </c>
      <c r="C4361" t="str">
        <f t="shared" si="68"/>
        <v>Nahrwan 1967 / UTM zone 40N</v>
      </c>
    </row>
    <row r="4362" spans="1:3" x14ac:dyDescent="0.3">
      <c r="A4362" t="s">
        <v>4419</v>
      </c>
      <c r="B4362">
        <f>IF(ISNUMBER(SEARCH(Form!$C$11,Tabel2[[#This Row],[Coordinate Projection System]])),MAX($B$1:B4361)+1,0)</f>
        <v>4361</v>
      </c>
      <c r="C4362" t="str">
        <f t="shared" si="68"/>
        <v>Naparima 1972 / UTM zone 20N</v>
      </c>
    </row>
    <row r="4363" spans="1:3" x14ac:dyDescent="0.3">
      <c r="A4363" t="s">
        <v>4420</v>
      </c>
      <c r="B4363">
        <f>IF(ISNUMBER(SEARCH(Form!$C$11,Tabel2[[#This Row],[Coordinate Projection System]])),MAX($B$1:B4362)+1,0)</f>
        <v>4362</v>
      </c>
      <c r="C4363" t="str">
        <f t="shared" si="68"/>
        <v>NZGD49 / New Zealand Map Grid</v>
      </c>
    </row>
    <row r="4364" spans="1:3" x14ac:dyDescent="0.3">
      <c r="A4364" t="s">
        <v>4421</v>
      </c>
      <c r="B4364">
        <f>IF(ISNUMBER(SEARCH(Form!$C$11,Tabel2[[#This Row],[Coordinate Projection System]])),MAX($B$1:B4363)+1,0)</f>
        <v>4363</v>
      </c>
      <c r="C4364" t="str">
        <f t="shared" si="68"/>
        <v>NZGD49 / Mount Eden Circuit</v>
      </c>
    </row>
    <row r="4365" spans="1:3" x14ac:dyDescent="0.3">
      <c r="A4365" t="s">
        <v>4422</v>
      </c>
      <c r="B4365">
        <f>IF(ISNUMBER(SEARCH(Form!$C$11,Tabel2[[#This Row],[Coordinate Projection System]])),MAX($B$1:B4364)+1,0)</f>
        <v>4364</v>
      </c>
      <c r="C4365" t="str">
        <f t="shared" si="68"/>
        <v>NZGD49 / Bay of Plenty Circuit</v>
      </c>
    </row>
    <row r="4366" spans="1:3" x14ac:dyDescent="0.3">
      <c r="A4366" t="s">
        <v>4423</v>
      </c>
      <c r="B4366">
        <f>IF(ISNUMBER(SEARCH(Form!$C$11,Tabel2[[#This Row],[Coordinate Projection System]])),MAX($B$1:B4365)+1,0)</f>
        <v>4365</v>
      </c>
      <c r="C4366" t="str">
        <f t="shared" si="68"/>
        <v>NZGD49 / Poverty Bay Circuit</v>
      </c>
    </row>
    <row r="4367" spans="1:3" x14ac:dyDescent="0.3">
      <c r="A4367" t="s">
        <v>4424</v>
      </c>
      <c r="B4367">
        <f>IF(ISNUMBER(SEARCH(Form!$C$11,Tabel2[[#This Row],[Coordinate Projection System]])),MAX($B$1:B4366)+1,0)</f>
        <v>4366</v>
      </c>
      <c r="C4367" t="str">
        <f t="shared" si="68"/>
        <v>NZGD49 / Hawkes Bay Circuit</v>
      </c>
    </row>
    <row r="4368" spans="1:3" x14ac:dyDescent="0.3">
      <c r="A4368" t="s">
        <v>4425</v>
      </c>
      <c r="B4368">
        <f>IF(ISNUMBER(SEARCH(Form!$C$11,Tabel2[[#This Row],[Coordinate Projection System]])),MAX($B$1:B4367)+1,0)</f>
        <v>4367</v>
      </c>
      <c r="C4368" t="str">
        <f t="shared" si="68"/>
        <v>NZGD49 / Taranaki Circuit</v>
      </c>
    </row>
    <row r="4369" spans="1:3" x14ac:dyDescent="0.3">
      <c r="A4369" t="s">
        <v>4426</v>
      </c>
      <c r="B4369">
        <f>IF(ISNUMBER(SEARCH(Form!$C$11,Tabel2[[#This Row],[Coordinate Projection System]])),MAX($B$1:B4368)+1,0)</f>
        <v>4368</v>
      </c>
      <c r="C4369" t="str">
        <f t="shared" si="68"/>
        <v>NZGD49 / Tuhirangi Circuit</v>
      </c>
    </row>
    <row r="4370" spans="1:3" x14ac:dyDescent="0.3">
      <c r="A4370" t="s">
        <v>4427</v>
      </c>
      <c r="B4370">
        <f>IF(ISNUMBER(SEARCH(Form!$C$11,Tabel2[[#This Row],[Coordinate Projection System]])),MAX($B$1:B4369)+1,0)</f>
        <v>4369</v>
      </c>
      <c r="C4370" t="str">
        <f t="shared" si="68"/>
        <v>NZGD49 / Wanganui Circuit</v>
      </c>
    </row>
    <row r="4371" spans="1:3" x14ac:dyDescent="0.3">
      <c r="A4371" t="s">
        <v>4428</v>
      </c>
      <c r="B4371">
        <f>IF(ISNUMBER(SEARCH(Form!$C$11,Tabel2[[#This Row],[Coordinate Projection System]])),MAX($B$1:B4370)+1,0)</f>
        <v>4370</v>
      </c>
      <c r="C4371" t="str">
        <f t="shared" si="68"/>
        <v>NZGD49 / Wairarapa Circuit</v>
      </c>
    </row>
    <row r="4372" spans="1:3" x14ac:dyDescent="0.3">
      <c r="A4372" t="s">
        <v>4429</v>
      </c>
      <c r="B4372">
        <f>IF(ISNUMBER(SEARCH(Form!$C$11,Tabel2[[#This Row],[Coordinate Projection System]])),MAX($B$1:B4371)+1,0)</f>
        <v>4371</v>
      </c>
      <c r="C4372" t="str">
        <f t="shared" si="68"/>
        <v>NZGD49 / Wellington Circuit</v>
      </c>
    </row>
    <row r="4373" spans="1:3" x14ac:dyDescent="0.3">
      <c r="A4373" t="s">
        <v>4430</v>
      </c>
      <c r="B4373">
        <f>IF(ISNUMBER(SEARCH(Form!$C$11,Tabel2[[#This Row],[Coordinate Projection System]])),MAX($B$1:B4372)+1,0)</f>
        <v>4372</v>
      </c>
      <c r="C4373" t="str">
        <f t="shared" si="68"/>
        <v>NZGD49 / Collingwood Circuit</v>
      </c>
    </row>
    <row r="4374" spans="1:3" x14ac:dyDescent="0.3">
      <c r="A4374" t="s">
        <v>4431</v>
      </c>
      <c r="B4374">
        <f>IF(ISNUMBER(SEARCH(Form!$C$11,Tabel2[[#This Row],[Coordinate Projection System]])),MAX($B$1:B4373)+1,0)</f>
        <v>4373</v>
      </c>
      <c r="C4374" t="str">
        <f t="shared" si="68"/>
        <v>NZGD49 / Nelson Circuit</v>
      </c>
    </row>
    <row r="4375" spans="1:3" x14ac:dyDescent="0.3">
      <c r="A4375" t="s">
        <v>4432</v>
      </c>
      <c r="B4375">
        <f>IF(ISNUMBER(SEARCH(Form!$C$11,Tabel2[[#This Row],[Coordinate Projection System]])),MAX($B$1:B4374)+1,0)</f>
        <v>4374</v>
      </c>
      <c r="C4375" t="str">
        <f t="shared" si="68"/>
        <v>NZGD49 / Karamea Circuit</v>
      </c>
    </row>
    <row r="4376" spans="1:3" x14ac:dyDescent="0.3">
      <c r="A4376" t="s">
        <v>4433</v>
      </c>
      <c r="B4376">
        <f>IF(ISNUMBER(SEARCH(Form!$C$11,Tabel2[[#This Row],[Coordinate Projection System]])),MAX($B$1:B4375)+1,0)</f>
        <v>4375</v>
      </c>
      <c r="C4376" t="str">
        <f t="shared" si="68"/>
        <v>NZGD49 / Buller Circuit</v>
      </c>
    </row>
    <row r="4377" spans="1:3" x14ac:dyDescent="0.3">
      <c r="A4377" t="s">
        <v>4434</v>
      </c>
      <c r="B4377">
        <f>IF(ISNUMBER(SEARCH(Form!$C$11,Tabel2[[#This Row],[Coordinate Projection System]])),MAX($B$1:B4376)+1,0)</f>
        <v>4376</v>
      </c>
      <c r="C4377" t="str">
        <f t="shared" si="68"/>
        <v>NZGD49 / Grey Circuit</v>
      </c>
    </row>
    <row r="4378" spans="1:3" x14ac:dyDescent="0.3">
      <c r="A4378" t="s">
        <v>4435</v>
      </c>
      <c r="B4378">
        <f>IF(ISNUMBER(SEARCH(Form!$C$11,Tabel2[[#This Row],[Coordinate Projection System]])),MAX($B$1:B4377)+1,0)</f>
        <v>4377</v>
      </c>
      <c r="C4378" t="str">
        <f t="shared" si="68"/>
        <v>NZGD49 / Amuri Circuit</v>
      </c>
    </row>
    <row r="4379" spans="1:3" x14ac:dyDescent="0.3">
      <c r="A4379" t="s">
        <v>4436</v>
      </c>
      <c r="B4379">
        <f>IF(ISNUMBER(SEARCH(Form!$C$11,Tabel2[[#This Row],[Coordinate Projection System]])),MAX($B$1:B4378)+1,0)</f>
        <v>4378</v>
      </c>
      <c r="C4379" t="str">
        <f t="shared" si="68"/>
        <v>NZGD49 / Marlborough Circuit</v>
      </c>
    </row>
    <row r="4380" spans="1:3" x14ac:dyDescent="0.3">
      <c r="A4380" t="s">
        <v>4437</v>
      </c>
      <c r="B4380">
        <f>IF(ISNUMBER(SEARCH(Form!$C$11,Tabel2[[#This Row],[Coordinate Projection System]])),MAX($B$1:B4379)+1,0)</f>
        <v>4379</v>
      </c>
      <c r="C4380" t="str">
        <f t="shared" si="68"/>
        <v>NZGD49 / Hokitika Circuit</v>
      </c>
    </row>
    <row r="4381" spans="1:3" x14ac:dyDescent="0.3">
      <c r="A4381" t="s">
        <v>4438</v>
      </c>
      <c r="B4381">
        <f>IF(ISNUMBER(SEARCH(Form!$C$11,Tabel2[[#This Row],[Coordinate Projection System]])),MAX($B$1:B4380)+1,0)</f>
        <v>4380</v>
      </c>
      <c r="C4381" t="str">
        <f t="shared" si="68"/>
        <v>NZGD49 / Okarito Circuit</v>
      </c>
    </row>
    <row r="4382" spans="1:3" x14ac:dyDescent="0.3">
      <c r="A4382" t="s">
        <v>4439</v>
      </c>
      <c r="B4382">
        <f>IF(ISNUMBER(SEARCH(Form!$C$11,Tabel2[[#This Row],[Coordinate Projection System]])),MAX($B$1:B4381)+1,0)</f>
        <v>4381</v>
      </c>
      <c r="C4382" t="str">
        <f t="shared" si="68"/>
        <v>NZGD49 / Jacksons Bay Circuit</v>
      </c>
    </row>
    <row r="4383" spans="1:3" x14ac:dyDescent="0.3">
      <c r="A4383" t="s">
        <v>4440</v>
      </c>
      <c r="B4383">
        <f>IF(ISNUMBER(SEARCH(Form!$C$11,Tabel2[[#This Row],[Coordinate Projection System]])),MAX($B$1:B4382)+1,0)</f>
        <v>4382</v>
      </c>
      <c r="C4383" t="str">
        <f t="shared" si="68"/>
        <v>NZGD49 / Mount Pleasant Circuit</v>
      </c>
    </row>
    <row r="4384" spans="1:3" x14ac:dyDescent="0.3">
      <c r="A4384" t="s">
        <v>4441</v>
      </c>
      <c r="B4384">
        <f>IF(ISNUMBER(SEARCH(Form!$C$11,Tabel2[[#This Row],[Coordinate Projection System]])),MAX($B$1:B4383)+1,0)</f>
        <v>4383</v>
      </c>
      <c r="C4384" t="str">
        <f t="shared" si="68"/>
        <v>NZGD49 / Gawler Circuit</v>
      </c>
    </row>
    <row r="4385" spans="1:3" x14ac:dyDescent="0.3">
      <c r="A4385" t="s">
        <v>4442</v>
      </c>
      <c r="B4385">
        <f>IF(ISNUMBER(SEARCH(Form!$C$11,Tabel2[[#This Row],[Coordinate Projection System]])),MAX($B$1:B4384)+1,0)</f>
        <v>4384</v>
      </c>
      <c r="C4385" t="str">
        <f t="shared" si="68"/>
        <v>NZGD49 / Timaru Circuit</v>
      </c>
    </row>
    <row r="4386" spans="1:3" x14ac:dyDescent="0.3">
      <c r="A4386" t="s">
        <v>4443</v>
      </c>
      <c r="B4386">
        <f>IF(ISNUMBER(SEARCH(Form!$C$11,Tabel2[[#This Row],[Coordinate Projection System]])),MAX($B$1:B4385)+1,0)</f>
        <v>4385</v>
      </c>
      <c r="C4386" t="str">
        <f t="shared" si="68"/>
        <v>NZGD49 / Lindis Peak Circuit</v>
      </c>
    </row>
    <row r="4387" spans="1:3" x14ac:dyDescent="0.3">
      <c r="A4387" t="s">
        <v>4444</v>
      </c>
      <c r="B4387">
        <f>IF(ISNUMBER(SEARCH(Form!$C$11,Tabel2[[#This Row],[Coordinate Projection System]])),MAX($B$1:B4386)+1,0)</f>
        <v>4386</v>
      </c>
      <c r="C4387" t="str">
        <f t="shared" si="68"/>
        <v>NZGD49 / Mount Nicholas Circuit</v>
      </c>
    </row>
    <row r="4388" spans="1:3" x14ac:dyDescent="0.3">
      <c r="A4388" t="s">
        <v>4445</v>
      </c>
      <c r="B4388">
        <f>IF(ISNUMBER(SEARCH(Form!$C$11,Tabel2[[#This Row],[Coordinate Projection System]])),MAX($B$1:B4387)+1,0)</f>
        <v>4387</v>
      </c>
      <c r="C4388" t="str">
        <f t="shared" si="68"/>
        <v>NZGD49 / Mount York Circuit</v>
      </c>
    </row>
    <row r="4389" spans="1:3" x14ac:dyDescent="0.3">
      <c r="A4389" t="s">
        <v>4446</v>
      </c>
      <c r="B4389">
        <f>IF(ISNUMBER(SEARCH(Form!$C$11,Tabel2[[#This Row],[Coordinate Projection System]])),MAX($B$1:B4388)+1,0)</f>
        <v>4388</v>
      </c>
      <c r="C4389" t="str">
        <f t="shared" si="68"/>
        <v>NZGD49 / Observation Point Circuit</v>
      </c>
    </row>
    <row r="4390" spans="1:3" x14ac:dyDescent="0.3">
      <c r="A4390" t="s">
        <v>4447</v>
      </c>
      <c r="B4390">
        <f>IF(ISNUMBER(SEARCH(Form!$C$11,Tabel2[[#This Row],[Coordinate Projection System]])),MAX($B$1:B4389)+1,0)</f>
        <v>4389</v>
      </c>
      <c r="C4390" t="str">
        <f t="shared" si="68"/>
        <v>NZGD49 / North Taieri Circuit</v>
      </c>
    </row>
    <row r="4391" spans="1:3" x14ac:dyDescent="0.3">
      <c r="A4391" t="s">
        <v>4448</v>
      </c>
      <c r="B4391">
        <f>IF(ISNUMBER(SEARCH(Form!$C$11,Tabel2[[#This Row],[Coordinate Projection System]])),MAX($B$1:B4390)+1,0)</f>
        <v>4390</v>
      </c>
      <c r="C4391" t="str">
        <f t="shared" si="68"/>
        <v>NZGD49 / Bluff Circuit</v>
      </c>
    </row>
    <row r="4392" spans="1:3" x14ac:dyDescent="0.3">
      <c r="A4392" t="s">
        <v>4449</v>
      </c>
      <c r="B4392">
        <f>IF(ISNUMBER(SEARCH(Form!$C$11,Tabel2[[#This Row],[Coordinate Projection System]])),MAX($B$1:B4391)+1,0)</f>
        <v>4391</v>
      </c>
      <c r="C4392" t="str">
        <f t="shared" si="68"/>
        <v>NZGD49 / UTM zone 58S</v>
      </c>
    </row>
    <row r="4393" spans="1:3" x14ac:dyDescent="0.3">
      <c r="A4393" t="s">
        <v>4450</v>
      </c>
      <c r="B4393">
        <f>IF(ISNUMBER(SEARCH(Form!$C$11,Tabel2[[#This Row],[Coordinate Projection System]])),MAX($B$1:B4392)+1,0)</f>
        <v>4392</v>
      </c>
      <c r="C4393" t="str">
        <f t="shared" si="68"/>
        <v>NZGD49 / UTM zone 59S</v>
      </c>
    </row>
    <row r="4394" spans="1:3" x14ac:dyDescent="0.3">
      <c r="A4394" t="s">
        <v>4451</v>
      </c>
      <c r="B4394">
        <f>IF(ISNUMBER(SEARCH(Form!$C$11,Tabel2[[#This Row],[Coordinate Projection System]])),MAX($B$1:B4393)+1,0)</f>
        <v>4393</v>
      </c>
      <c r="C4394" t="str">
        <f t="shared" si="68"/>
        <v>NZGD49 / UTM zone 60S</v>
      </c>
    </row>
    <row r="4395" spans="1:3" x14ac:dyDescent="0.3">
      <c r="A4395" t="s">
        <v>4452</v>
      </c>
      <c r="B4395">
        <f>IF(ISNUMBER(SEARCH(Form!$C$11,Tabel2[[#This Row],[Coordinate Projection System]])),MAX($B$1:B4394)+1,0)</f>
        <v>4394</v>
      </c>
      <c r="C4395" t="str">
        <f t="shared" si="68"/>
        <v>NZGD49 / North Island Grid</v>
      </c>
    </row>
    <row r="4396" spans="1:3" x14ac:dyDescent="0.3">
      <c r="A4396" t="s">
        <v>4453</v>
      </c>
      <c r="B4396">
        <f>IF(ISNUMBER(SEARCH(Form!$C$11,Tabel2[[#This Row],[Coordinate Projection System]])),MAX($B$1:B4395)+1,0)</f>
        <v>4395</v>
      </c>
      <c r="C4396" t="str">
        <f t="shared" si="68"/>
        <v>NZGD49 / South Island Grid</v>
      </c>
    </row>
    <row r="4397" spans="1:3" x14ac:dyDescent="0.3">
      <c r="A4397" t="s">
        <v>4454</v>
      </c>
      <c r="B4397">
        <f>IF(ISNUMBER(SEARCH(Form!$C$11,Tabel2[[#This Row],[Coordinate Projection System]])),MAX($B$1:B4396)+1,0)</f>
        <v>4396</v>
      </c>
      <c r="C4397" t="str">
        <f t="shared" si="68"/>
        <v>NGO 1948 (Oslo) / NGO zone I</v>
      </c>
    </row>
    <row r="4398" spans="1:3" x14ac:dyDescent="0.3">
      <c r="A4398" t="s">
        <v>4455</v>
      </c>
      <c r="B4398">
        <f>IF(ISNUMBER(SEARCH(Form!$C$11,Tabel2[[#This Row],[Coordinate Projection System]])),MAX($B$1:B4397)+1,0)</f>
        <v>4397</v>
      </c>
      <c r="C4398" t="str">
        <f t="shared" si="68"/>
        <v>NGO 1948 (Oslo) / NGO zone II</v>
      </c>
    </row>
    <row r="4399" spans="1:3" x14ac:dyDescent="0.3">
      <c r="A4399" t="s">
        <v>4456</v>
      </c>
      <c r="B4399">
        <f>IF(ISNUMBER(SEARCH(Form!$C$11,Tabel2[[#This Row],[Coordinate Projection System]])),MAX($B$1:B4398)+1,0)</f>
        <v>4398</v>
      </c>
      <c r="C4399" t="str">
        <f t="shared" si="68"/>
        <v>NGO 1948 (Oslo) / NGO zone III</v>
      </c>
    </row>
    <row r="4400" spans="1:3" x14ac:dyDescent="0.3">
      <c r="A4400" t="s">
        <v>4457</v>
      </c>
      <c r="B4400">
        <f>IF(ISNUMBER(SEARCH(Form!$C$11,Tabel2[[#This Row],[Coordinate Projection System]])),MAX($B$1:B4399)+1,0)</f>
        <v>4399</v>
      </c>
      <c r="C4400" t="str">
        <f t="shared" si="68"/>
        <v>NGO 1948 (Oslo) / NGO zone IV</v>
      </c>
    </row>
    <row r="4401" spans="1:3" x14ac:dyDescent="0.3">
      <c r="A4401" t="s">
        <v>4458</v>
      </c>
      <c r="B4401">
        <f>IF(ISNUMBER(SEARCH(Form!$C$11,Tabel2[[#This Row],[Coordinate Projection System]])),MAX($B$1:B4400)+1,0)</f>
        <v>4400</v>
      </c>
      <c r="C4401" t="str">
        <f t="shared" si="68"/>
        <v>NGO 1948 (Oslo) / NGO zone V</v>
      </c>
    </row>
    <row r="4402" spans="1:3" x14ac:dyDescent="0.3">
      <c r="A4402" t="s">
        <v>4459</v>
      </c>
      <c r="B4402">
        <f>IF(ISNUMBER(SEARCH(Form!$C$11,Tabel2[[#This Row],[Coordinate Projection System]])),MAX($B$1:B4401)+1,0)</f>
        <v>4401</v>
      </c>
      <c r="C4402" t="str">
        <f t="shared" si="68"/>
        <v>NGO 1948 (Oslo) / NGO zone VI</v>
      </c>
    </row>
    <row r="4403" spans="1:3" x14ac:dyDescent="0.3">
      <c r="A4403" t="s">
        <v>4460</v>
      </c>
      <c r="B4403">
        <f>IF(ISNUMBER(SEARCH(Form!$C$11,Tabel2[[#This Row],[Coordinate Projection System]])),MAX($B$1:B4402)+1,0)</f>
        <v>4402</v>
      </c>
      <c r="C4403" t="str">
        <f t="shared" si="68"/>
        <v>NGO 1948 (Oslo) / NGO zone VII</v>
      </c>
    </row>
    <row r="4404" spans="1:3" x14ac:dyDescent="0.3">
      <c r="A4404" t="s">
        <v>4461</v>
      </c>
      <c r="B4404">
        <f>IF(ISNUMBER(SEARCH(Form!$C$11,Tabel2[[#This Row],[Coordinate Projection System]])),MAX($B$1:B4403)+1,0)</f>
        <v>4403</v>
      </c>
      <c r="C4404" t="str">
        <f t="shared" si="68"/>
        <v>NGO 1948 (Oslo) / NGO zone VIII</v>
      </c>
    </row>
    <row r="4405" spans="1:3" x14ac:dyDescent="0.3">
      <c r="A4405" t="s">
        <v>4462</v>
      </c>
      <c r="B4405">
        <f>IF(ISNUMBER(SEARCH(Form!$C$11,Tabel2[[#This Row],[Coordinate Projection System]])),MAX($B$1:B4404)+1,0)</f>
        <v>4404</v>
      </c>
      <c r="C4405" t="str">
        <f t="shared" si="68"/>
        <v>Datum 73 / UTM zone 29N</v>
      </c>
    </row>
    <row r="4406" spans="1:3" x14ac:dyDescent="0.3">
      <c r="A4406" t="s">
        <v>4463</v>
      </c>
      <c r="B4406">
        <f>IF(ISNUMBER(SEARCH(Form!$C$11,Tabel2[[#This Row],[Coordinate Projection System]])),MAX($B$1:B4405)+1,0)</f>
        <v>4405</v>
      </c>
      <c r="C4406" t="str">
        <f t="shared" si="68"/>
        <v>Datum 73 / Modified Portuguese Grid (deprecated)</v>
      </c>
    </row>
    <row r="4407" spans="1:3" x14ac:dyDescent="0.3">
      <c r="A4407" t="s">
        <v>4464</v>
      </c>
      <c r="B4407">
        <f>IF(ISNUMBER(SEARCH(Form!$C$11,Tabel2[[#This Row],[Coordinate Projection System]])),MAX($B$1:B4406)+1,0)</f>
        <v>4406</v>
      </c>
      <c r="C4407" t="str">
        <f t="shared" si="68"/>
        <v>Datum 73 / Modified Portuguese Grid</v>
      </c>
    </row>
    <row r="4408" spans="1:3" x14ac:dyDescent="0.3">
      <c r="A4408" t="s">
        <v>4465</v>
      </c>
      <c r="B4408">
        <f>IF(ISNUMBER(SEARCH(Form!$C$11,Tabel2[[#This Row],[Coordinate Projection System]])),MAX($B$1:B4407)+1,0)</f>
        <v>4407</v>
      </c>
      <c r="C4408" t="str">
        <f t="shared" si="68"/>
        <v>ATF (Paris) / Nord de Guerre</v>
      </c>
    </row>
    <row r="4409" spans="1:3" x14ac:dyDescent="0.3">
      <c r="A4409" t="s">
        <v>4466</v>
      </c>
      <c r="B4409">
        <f>IF(ISNUMBER(SEARCH(Form!$C$11,Tabel2[[#This Row],[Coordinate Projection System]])),MAX($B$1:B4408)+1,0)</f>
        <v>4408</v>
      </c>
      <c r="C4409" t="str">
        <f t="shared" si="68"/>
        <v>NTF (Paris) / Lambert Nord France</v>
      </c>
    </row>
    <row r="4410" spans="1:3" x14ac:dyDescent="0.3">
      <c r="A4410" t="s">
        <v>4467</v>
      </c>
      <c r="B4410">
        <f>IF(ISNUMBER(SEARCH(Form!$C$11,Tabel2[[#This Row],[Coordinate Projection System]])),MAX($B$1:B4409)+1,0)</f>
        <v>4409</v>
      </c>
      <c r="C4410" t="str">
        <f t="shared" si="68"/>
        <v>NTF (Paris) / Lambert Centre France</v>
      </c>
    </row>
    <row r="4411" spans="1:3" x14ac:dyDescent="0.3">
      <c r="A4411" t="s">
        <v>4468</v>
      </c>
      <c r="B4411">
        <f>IF(ISNUMBER(SEARCH(Form!$C$11,Tabel2[[#This Row],[Coordinate Projection System]])),MAX($B$1:B4410)+1,0)</f>
        <v>4410</v>
      </c>
      <c r="C4411" t="str">
        <f t="shared" si="68"/>
        <v>NTF (Paris) / Lambert Sud France</v>
      </c>
    </row>
    <row r="4412" spans="1:3" x14ac:dyDescent="0.3">
      <c r="A4412" t="s">
        <v>4469</v>
      </c>
      <c r="B4412">
        <f>IF(ISNUMBER(SEARCH(Form!$C$11,Tabel2[[#This Row],[Coordinate Projection System]])),MAX($B$1:B4411)+1,0)</f>
        <v>4411</v>
      </c>
      <c r="C4412" t="str">
        <f t="shared" si="68"/>
        <v>NTF (Paris) / Lambert Corse</v>
      </c>
    </row>
    <row r="4413" spans="1:3" x14ac:dyDescent="0.3">
      <c r="A4413" t="s">
        <v>4470</v>
      </c>
      <c r="B4413">
        <f>IF(ISNUMBER(SEARCH(Form!$C$11,Tabel2[[#This Row],[Coordinate Projection System]])),MAX($B$1:B4412)+1,0)</f>
        <v>4412</v>
      </c>
      <c r="C4413" t="str">
        <f t="shared" si="68"/>
        <v>NTF (Paris) / Lambert zone I</v>
      </c>
    </row>
    <row r="4414" spans="1:3" x14ac:dyDescent="0.3">
      <c r="A4414" t="s">
        <v>4471</v>
      </c>
      <c r="B4414">
        <f>IF(ISNUMBER(SEARCH(Form!$C$11,Tabel2[[#This Row],[Coordinate Projection System]])),MAX($B$1:B4413)+1,0)</f>
        <v>4413</v>
      </c>
      <c r="C4414" t="str">
        <f t="shared" si="68"/>
        <v>NTF (Paris) / Lambert zone II</v>
      </c>
    </row>
    <row r="4415" spans="1:3" x14ac:dyDescent="0.3">
      <c r="A4415" t="s">
        <v>4472</v>
      </c>
      <c r="B4415">
        <f>IF(ISNUMBER(SEARCH(Form!$C$11,Tabel2[[#This Row],[Coordinate Projection System]])),MAX($B$1:B4414)+1,0)</f>
        <v>4414</v>
      </c>
      <c r="C4415" t="str">
        <f t="shared" si="68"/>
        <v>NTF (Paris) / Lambert zone III</v>
      </c>
    </row>
    <row r="4416" spans="1:3" x14ac:dyDescent="0.3">
      <c r="A4416" t="s">
        <v>4473</v>
      </c>
      <c r="B4416">
        <f>IF(ISNUMBER(SEARCH(Form!$C$11,Tabel2[[#This Row],[Coordinate Projection System]])),MAX($B$1:B4415)+1,0)</f>
        <v>4415</v>
      </c>
      <c r="C4416" t="str">
        <f t="shared" si="68"/>
        <v>NTF (Paris) / Lambert zone IV</v>
      </c>
    </row>
    <row r="4417" spans="1:3" x14ac:dyDescent="0.3">
      <c r="A4417" t="s">
        <v>4474</v>
      </c>
      <c r="B4417">
        <f>IF(ISNUMBER(SEARCH(Form!$C$11,Tabel2[[#This Row],[Coordinate Projection System]])),MAX($B$1:B4416)+1,0)</f>
        <v>4416</v>
      </c>
      <c r="C4417" t="str">
        <f t="shared" si="68"/>
        <v>NTF (Paris) / France I (deprecated)</v>
      </c>
    </row>
    <row r="4418" spans="1:3" x14ac:dyDescent="0.3">
      <c r="A4418" t="s">
        <v>4475</v>
      </c>
      <c r="B4418">
        <f>IF(ISNUMBER(SEARCH(Form!$C$11,Tabel2[[#This Row],[Coordinate Projection System]])),MAX($B$1:B4417)+1,0)</f>
        <v>4417</v>
      </c>
      <c r="C4418" t="str">
        <f t="shared" si="68"/>
        <v>NTF (Paris) / France II (deprecated)</v>
      </c>
    </row>
    <row r="4419" spans="1:3" x14ac:dyDescent="0.3">
      <c r="A4419" t="s">
        <v>4476</v>
      </c>
      <c r="B4419">
        <f>IF(ISNUMBER(SEARCH(Form!$C$11,Tabel2[[#This Row],[Coordinate Projection System]])),MAX($B$1:B4418)+1,0)</f>
        <v>4418</v>
      </c>
      <c r="C4419" t="str">
        <f t="shared" ref="C4419:C4482" si="69">_xlfn.IFNA(INDEX(A4419:A9930,MATCH(ROW(C4418),B4419:B9930,0)),"")</f>
        <v>NTF (Paris) / France III (deprecated)</v>
      </c>
    </row>
    <row r="4420" spans="1:3" x14ac:dyDescent="0.3">
      <c r="A4420" t="s">
        <v>4477</v>
      </c>
      <c r="B4420">
        <f>IF(ISNUMBER(SEARCH(Form!$C$11,Tabel2[[#This Row],[Coordinate Projection System]])),MAX($B$1:B4419)+1,0)</f>
        <v>4419</v>
      </c>
      <c r="C4420" t="str">
        <f t="shared" si="69"/>
        <v>NTF (Paris) / France IV (deprecated)</v>
      </c>
    </row>
    <row r="4421" spans="1:3" x14ac:dyDescent="0.3">
      <c r="A4421" t="s">
        <v>4478</v>
      </c>
      <c r="B4421">
        <f>IF(ISNUMBER(SEARCH(Form!$C$11,Tabel2[[#This Row],[Coordinate Projection System]])),MAX($B$1:B4420)+1,0)</f>
        <v>4420</v>
      </c>
      <c r="C4421" t="str">
        <f t="shared" si="69"/>
        <v>NTF (Paris) / Nord France (deprecated)</v>
      </c>
    </row>
    <row r="4422" spans="1:3" x14ac:dyDescent="0.3">
      <c r="A4422" t="s">
        <v>4479</v>
      </c>
      <c r="B4422">
        <f>IF(ISNUMBER(SEARCH(Form!$C$11,Tabel2[[#This Row],[Coordinate Projection System]])),MAX($B$1:B4421)+1,0)</f>
        <v>4421</v>
      </c>
      <c r="C4422" t="str">
        <f t="shared" si="69"/>
        <v>NTF (Paris) / Centre France (deprecated)</v>
      </c>
    </row>
    <row r="4423" spans="1:3" x14ac:dyDescent="0.3">
      <c r="A4423" t="s">
        <v>4480</v>
      </c>
      <c r="B4423">
        <f>IF(ISNUMBER(SEARCH(Form!$C$11,Tabel2[[#This Row],[Coordinate Projection System]])),MAX($B$1:B4422)+1,0)</f>
        <v>4422</v>
      </c>
      <c r="C4423" t="str">
        <f t="shared" si="69"/>
        <v>NTF (Paris) / Sud France (deprecated)</v>
      </c>
    </row>
    <row r="4424" spans="1:3" x14ac:dyDescent="0.3">
      <c r="A4424" t="s">
        <v>4481</v>
      </c>
      <c r="B4424">
        <f>IF(ISNUMBER(SEARCH(Form!$C$11,Tabel2[[#This Row],[Coordinate Projection System]])),MAX($B$1:B4423)+1,0)</f>
        <v>4423</v>
      </c>
      <c r="C4424" t="str">
        <f t="shared" si="69"/>
        <v>NTF (Paris) / Corse (deprecated)</v>
      </c>
    </row>
    <row r="4425" spans="1:3" x14ac:dyDescent="0.3">
      <c r="A4425" t="s">
        <v>4482</v>
      </c>
      <c r="B4425">
        <f>IF(ISNUMBER(SEARCH(Form!$C$11,Tabel2[[#This Row],[Coordinate Projection System]])),MAX($B$1:B4424)+1,0)</f>
        <v>4424</v>
      </c>
      <c r="C4425" t="str">
        <f t="shared" si="69"/>
        <v>OSGB 1936 / British National Grid</v>
      </c>
    </row>
    <row r="4426" spans="1:3" x14ac:dyDescent="0.3">
      <c r="A4426" t="s">
        <v>4483</v>
      </c>
      <c r="B4426">
        <f>IF(ISNUMBER(SEARCH(Form!$C$11,Tabel2[[#This Row],[Coordinate Projection System]])),MAX($B$1:B4425)+1,0)</f>
        <v>4425</v>
      </c>
      <c r="C4426" t="str">
        <f t="shared" si="69"/>
        <v>Palestine 1923 / Palestine Grid</v>
      </c>
    </row>
    <row r="4427" spans="1:3" x14ac:dyDescent="0.3">
      <c r="A4427" t="s">
        <v>4484</v>
      </c>
      <c r="B4427">
        <f>IF(ISNUMBER(SEARCH(Form!$C$11,Tabel2[[#This Row],[Coordinate Projection System]])),MAX($B$1:B4426)+1,0)</f>
        <v>4426</v>
      </c>
      <c r="C4427" t="str">
        <f t="shared" si="69"/>
        <v>Palestine 1923 / Palestine Belt</v>
      </c>
    </row>
    <row r="4428" spans="1:3" x14ac:dyDescent="0.3">
      <c r="A4428" t="s">
        <v>4485</v>
      </c>
      <c r="B4428">
        <f>IF(ISNUMBER(SEARCH(Form!$C$11,Tabel2[[#This Row],[Coordinate Projection System]])),MAX($B$1:B4427)+1,0)</f>
        <v>4427</v>
      </c>
      <c r="C4428" t="str">
        <f t="shared" si="69"/>
        <v>Palestine 1923 / Israeli CS Grid</v>
      </c>
    </row>
    <row r="4429" spans="1:3" x14ac:dyDescent="0.3">
      <c r="A4429" t="s">
        <v>4486</v>
      </c>
      <c r="B4429">
        <f>IF(ISNUMBER(SEARCH(Form!$C$11,Tabel2[[#This Row],[Coordinate Projection System]])),MAX($B$1:B4428)+1,0)</f>
        <v>4428</v>
      </c>
      <c r="C4429" t="str">
        <f t="shared" si="69"/>
        <v>Pointe Noire / UTM zone 32S</v>
      </c>
    </row>
    <row r="4430" spans="1:3" x14ac:dyDescent="0.3">
      <c r="A4430" t="s">
        <v>4487</v>
      </c>
      <c r="B4430">
        <f>IF(ISNUMBER(SEARCH(Form!$C$11,Tabel2[[#This Row],[Coordinate Projection System]])),MAX($B$1:B4429)+1,0)</f>
        <v>4429</v>
      </c>
      <c r="C4430" t="str">
        <f t="shared" si="69"/>
        <v>GDA94 / MGA zone 48</v>
      </c>
    </row>
    <row r="4431" spans="1:3" x14ac:dyDescent="0.3">
      <c r="A4431" t="s">
        <v>4488</v>
      </c>
      <c r="B4431">
        <f>IF(ISNUMBER(SEARCH(Form!$C$11,Tabel2[[#This Row],[Coordinate Projection System]])),MAX($B$1:B4430)+1,0)</f>
        <v>4430</v>
      </c>
      <c r="C4431" t="str">
        <f t="shared" si="69"/>
        <v>GDA94 / MGA zone 49</v>
      </c>
    </row>
    <row r="4432" spans="1:3" x14ac:dyDescent="0.3">
      <c r="A4432" t="s">
        <v>4489</v>
      </c>
      <c r="B4432">
        <f>IF(ISNUMBER(SEARCH(Form!$C$11,Tabel2[[#This Row],[Coordinate Projection System]])),MAX($B$1:B4431)+1,0)</f>
        <v>4431</v>
      </c>
      <c r="C4432" t="str">
        <f t="shared" si="69"/>
        <v>GDA94 / MGA zone 50</v>
      </c>
    </row>
    <row r="4433" spans="1:3" x14ac:dyDescent="0.3">
      <c r="A4433" t="s">
        <v>4490</v>
      </c>
      <c r="B4433">
        <f>IF(ISNUMBER(SEARCH(Form!$C$11,Tabel2[[#This Row],[Coordinate Projection System]])),MAX($B$1:B4432)+1,0)</f>
        <v>4432</v>
      </c>
      <c r="C4433" t="str">
        <f t="shared" si="69"/>
        <v>GDA94 / MGA zone 51</v>
      </c>
    </row>
    <row r="4434" spans="1:3" x14ac:dyDescent="0.3">
      <c r="A4434" t="s">
        <v>4491</v>
      </c>
      <c r="B4434">
        <f>IF(ISNUMBER(SEARCH(Form!$C$11,Tabel2[[#This Row],[Coordinate Projection System]])),MAX($B$1:B4433)+1,0)</f>
        <v>4433</v>
      </c>
      <c r="C4434" t="str">
        <f t="shared" si="69"/>
        <v>GDA94 / MGA zone 52</v>
      </c>
    </row>
    <row r="4435" spans="1:3" x14ac:dyDescent="0.3">
      <c r="A4435" t="s">
        <v>4492</v>
      </c>
      <c r="B4435">
        <f>IF(ISNUMBER(SEARCH(Form!$C$11,Tabel2[[#This Row],[Coordinate Projection System]])),MAX($B$1:B4434)+1,0)</f>
        <v>4434</v>
      </c>
      <c r="C4435" t="str">
        <f t="shared" si="69"/>
        <v>GDA94 / MGA zone 53</v>
      </c>
    </row>
    <row r="4436" spans="1:3" x14ac:dyDescent="0.3">
      <c r="A4436" t="s">
        <v>4493</v>
      </c>
      <c r="B4436">
        <f>IF(ISNUMBER(SEARCH(Form!$C$11,Tabel2[[#This Row],[Coordinate Projection System]])),MAX($B$1:B4435)+1,0)</f>
        <v>4435</v>
      </c>
      <c r="C4436" t="str">
        <f t="shared" si="69"/>
        <v>GDA94 / MGA zone 54</v>
      </c>
    </row>
    <row r="4437" spans="1:3" x14ac:dyDescent="0.3">
      <c r="A4437" t="s">
        <v>4494</v>
      </c>
      <c r="B4437">
        <f>IF(ISNUMBER(SEARCH(Form!$C$11,Tabel2[[#This Row],[Coordinate Projection System]])),MAX($B$1:B4436)+1,0)</f>
        <v>4436</v>
      </c>
      <c r="C4437" t="str">
        <f t="shared" si="69"/>
        <v>GDA94 / MGA zone 55</v>
      </c>
    </row>
    <row r="4438" spans="1:3" x14ac:dyDescent="0.3">
      <c r="A4438" t="s">
        <v>4495</v>
      </c>
      <c r="B4438">
        <f>IF(ISNUMBER(SEARCH(Form!$C$11,Tabel2[[#This Row],[Coordinate Projection System]])),MAX($B$1:B4437)+1,0)</f>
        <v>4437</v>
      </c>
      <c r="C4438" t="str">
        <f t="shared" si="69"/>
        <v>GDA94 / MGA zone 56</v>
      </c>
    </row>
    <row r="4439" spans="1:3" x14ac:dyDescent="0.3">
      <c r="A4439" t="s">
        <v>4496</v>
      </c>
      <c r="B4439">
        <f>IF(ISNUMBER(SEARCH(Form!$C$11,Tabel2[[#This Row],[Coordinate Projection System]])),MAX($B$1:B4438)+1,0)</f>
        <v>4438</v>
      </c>
      <c r="C4439" t="str">
        <f t="shared" si="69"/>
        <v>GDA94 / MGA zone 57</v>
      </c>
    </row>
    <row r="4440" spans="1:3" x14ac:dyDescent="0.3">
      <c r="A4440" t="s">
        <v>4497</v>
      </c>
      <c r="B4440">
        <f>IF(ISNUMBER(SEARCH(Form!$C$11,Tabel2[[#This Row],[Coordinate Projection System]])),MAX($B$1:B4439)+1,0)</f>
        <v>4439</v>
      </c>
      <c r="C4440" t="str">
        <f t="shared" si="69"/>
        <v>GDA94 / MGA zone 58</v>
      </c>
    </row>
    <row r="4441" spans="1:3" x14ac:dyDescent="0.3">
      <c r="A4441" t="s">
        <v>4498</v>
      </c>
      <c r="B4441">
        <f>IF(ISNUMBER(SEARCH(Form!$C$11,Tabel2[[#This Row],[Coordinate Projection System]])),MAX($B$1:B4440)+1,0)</f>
        <v>4440</v>
      </c>
      <c r="C4441" t="str">
        <f t="shared" si="69"/>
        <v>Pulkovo 1942 / Gauss-Kruger zone 2 (deprecated)</v>
      </c>
    </row>
    <row r="4442" spans="1:3" x14ac:dyDescent="0.3">
      <c r="A4442" t="s">
        <v>4499</v>
      </c>
      <c r="B4442">
        <f>IF(ISNUMBER(SEARCH(Form!$C$11,Tabel2[[#This Row],[Coordinate Projection System]])),MAX($B$1:B4441)+1,0)</f>
        <v>4441</v>
      </c>
      <c r="C4442" t="str">
        <f t="shared" si="69"/>
        <v>Pulkovo 1942 / Gauss-Kruger zone 3 (deprecated)</v>
      </c>
    </row>
    <row r="4443" spans="1:3" x14ac:dyDescent="0.3">
      <c r="A4443" t="s">
        <v>4500</v>
      </c>
      <c r="B4443">
        <f>IF(ISNUMBER(SEARCH(Form!$C$11,Tabel2[[#This Row],[Coordinate Projection System]])),MAX($B$1:B4442)+1,0)</f>
        <v>4442</v>
      </c>
      <c r="C4443" t="str">
        <f t="shared" si="69"/>
        <v>Pulkovo 1942 / Gauss-Kruger zone 4</v>
      </c>
    </row>
    <row r="4444" spans="1:3" x14ac:dyDescent="0.3">
      <c r="A4444" t="s">
        <v>4501</v>
      </c>
      <c r="B4444">
        <f>IF(ISNUMBER(SEARCH(Form!$C$11,Tabel2[[#This Row],[Coordinate Projection System]])),MAX($B$1:B4443)+1,0)</f>
        <v>4443</v>
      </c>
      <c r="C4444" t="str">
        <f t="shared" si="69"/>
        <v>Pulkovo 1942 / Gauss-Kruger zone 5</v>
      </c>
    </row>
    <row r="4445" spans="1:3" x14ac:dyDescent="0.3">
      <c r="A4445" t="s">
        <v>4502</v>
      </c>
      <c r="B4445">
        <f>IF(ISNUMBER(SEARCH(Form!$C$11,Tabel2[[#This Row],[Coordinate Projection System]])),MAX($B$1:B4444)+1,0)</f>
        <v>4444</v>
      </c>
      <c r="C4445" t="str">
        <f t="shared" si="69"/>
        <v>Pulkovo 1942 / Gauss-Kruger zone 6</v>
      </c>
    </row>
    <row r="4446" spans="1:3" x14ac:dyDescent="0.3">
      <c r="A4446" t="s">
        <v>4503</v>
      </c>
      <c r="B4446">
        <f>IF(ISNUMBER(SEARCH(Form!$C$11,Tabel2[[#This Row],[Coordinate Projection System]])),MAX($B$1:B4445)+1,0)</f>
        <v>4445</v>
      </c>
      <c r="C4446" t="str">
        <f t="shared" si="69"/>
        <v>Pulkovo 1942 / Gauss-Kruger zone 7</v>
      </c>
    </row>
    <row r="4447" spans="1:3" x14ac:dyDescent="0.3">
      <c r="A4447" t="s">
        <v>4504</v>
      </c>
      <c r="B4447">
        <f>IF(ISNUMBER(SEARCH(Form!$C$11,Tabel2[[#This Row],[Coordinate Projection System]])),MAX($B$1:B4446)+1,0)</f>
        <v>4446</v>
      </c>
      <c r="C4447" t="str">
        <f t="shared" si="69"/>
        <v>Pulkovo 1942 / Gauss-Kruger zone 8</v>
      </c>
    </row>
    <row r="4448" spans="1:3" x14ac:dyDescent="0.3">
      <c r="A4448" t="s">
        <v>4505</v>
      </c>
      <c r="B4448">
        <f>IF(ISNUMBER(SEARCH(Form!$C$11,Tabel2[[#This Row],[Coordinate Projection System]])),MAX($B$1:B4447)+1,0)</f>
        <v>4447</v>
      </c>
      <c r="C4448" t="str">
        <f t="shared" si="69"/>
        <v>Pulkovo 1942 / Gauss-Kruger zone 9</v>
      </c>
    </row>
    <row r="4449" spans="1:3" x14ac:dyDescent="0.3">
      <c r="A4449" t="s">
        <v>4506</v>
      </c>
      <c r="B4449">
        <f>IF(ISNUMBER(SEARCH(Form!$C$11,Tabel2[[#This Row],[Coordinate Projection System]])),MAX($B$1:B4448)+1,0)</f>
        <v>4448</v>
      </c>
      <c r="C4449" t="str">
        <f t="shared" si="69"/>
        <v>Pulkovo 1942 / Gauss-Kruger zone 10</v>
      </c>
    </row>
    <row r="4450" spans="1:3" x14ac:dyDescent="0.3">
      <c r="A4450" t="s">
        <v>4507</v>
      </c>
      <c r="B4450">
        <f>IF(ISNUMBER(SEARCH(Form!$C$11,Tabel2[[#This Row],[Coordinate Projection System]])),MAX($B$1:B4449)+1,0)</f>
        <v>4449</v>
      </c>
      <c r="C4450" t="str">
        <f t="shared" si="69"/>
        <v>Pulkovo 1942 / Gauss-Kruger zone 11</v>
      </c>
    </row>
    <row r="4451" spans="1:3" x14ac:dyDescent="0.3">
      <c r="A4451" t="s">
        <v>4508</v>
      </c>
      <c r="B4451">
        <f>IF(ISNUMBER(SEARCH(Form!$C$11,Tabel2[[#This Row],[Coordinate Projection System]])),MAX($B$1:B4450)+1,0)</f>
        <v>4450</v>
      </c>
      <c r="C4451" t="str">
        <f t="shared" si="69"/>
        <v>Pulkovo 1942 / Gauss-Kruger zone 12</v>
      </c>
    </row>
    <row r="4452" spans="1:3" x14ac:dyDescent="0.3">
      <c r="A4452" t="s">
        <v>4509</v>
      </c>
      <c r="B4452">
        <f>IF(ISNUMBER(SEARCH(Form!$C$11,Tabel2[[#This Row],[Coordinate Projection System]])),MAX($B$1:B4451)+1,0)</f>
        <v>4451</v>
      </c>
      <c r="C4452" t="str">
        <f t="shared" si="69"/>
        <v>Pulkovo 1942 / Gauss-Kruger zone 13</v>
      </c>
    </row>
    <row r="4453" spans="1:3" x14ac:dyDescent="0.3">
      <c r="A4453" t="s">
        <v>4510</v>
      </c>
      <c r="B4453">
        <f>IF(ISNUMBER(SEARCH(Form!$C$11,Tabel2[[#This Row],[Coordinate Projection System]])),MAX($B$1:B4452)+1,0)</f>
        <v>4452</v>
      </c>
      <c r="C4453" t="str">
        <f t="shared" si="69"/>
        <v>Pulkovo 1942 / Gauss-Kruger zone 14</v>
      </c>
    </row>
    <row r="4454" spans="1:3" x14ac:dyDescent="0.3">
      <c r="A4454" t="s">
        <v>4511</v>
      </c>
      <c r="B4454">
        <f>IF(ISNUMBER(SEARCH(Form!$C$11,Tabel2[[#This Row],[Coordinate Projection System]])),MAX($B$1:B4453)+1,0)</f>
        <v>4453</v>
      </c>
      <c r="C4454" t="str">
        <f t="shared" si="69"/>
        <v>Pulkovo 1942 / Gauss-Kruger zone 15</v>
      </c>
    </row>
    <row r="4455" spans="1:3" x14ac:dyDescent="0.3">
      <c r="A4455" t="s">
        <v>4512</v>
      </c>
      <c r="B4455">
        <f>IF(ISNUMBER(SEARCH(Form!$C$11,Tabel2[[#This Row],[Coordinate Projection System]])),MAX($B$1:B4454)+1,0)</f>
        <v>4454</v>
      </c>
      <c r="C4455" t="str">
        <f t="shared" si="69"/>
        <v>Pulkovo 1942 / Gauss-Kruger zone 16</v>
      </c>
    </row>
    <row r="4456" spans="1:3" x14ac:dyDescent="0.3">
      <c r="A4456" t="s">
        <v>4513</v>
      </c>
      <c r="B4456">
        <f>IF(ISNUMBER(SEARCH(Form!$C$11,Tabel2[[#This Row],[Coordinate Projection System]])),MAX($B$1:B4455)+1,0)</f>
        <v>4455</v>
      </c>
      <c r="C4456" t="str">
        <f t="shared" si="69"/>
        <v>Pulkovo 1942 / Gauss-Kruger zone 17</v>
      </c>
    </row>
    <row r="4457" spans="1:3" x14ac:dyDescent="0.3">
      <c r="A4457" t="s">
        <v>4514</v>
      </c>
      <c r="B4457">
        <f>IF(ISNUMBER(SEARCH(Form!$C$11,Tabel2[[#This Row],[Coordinate Projection System]])),MAX($B$1:B4456)+1,0)</f>
        <v>4456</v>
      </c>
      <c r="C4457" t="str">
        <f t="shared" si="69"/>
        <v>Pulkovo 1942 / Gauss-Kruger zone 18</v>
      </c>
    </row>
    <row r="4458" spans="1:3" x14ac:dyDescent="0.3">
      <c r="A4458" t="s">
        <v>4515</v>
      </c>
      <c r="B4458">
        <f>IF(ISNUMBER(SEARCH(Form!$C$11,Tabel2[[#This Row],[Coordinate Projection System]])),MAX($B$1:B4457)+1,0)</f>
        <v>4457</v>
      </c>
      <c r="C4458" t="str">
        <f t="shared" si="69"/>
        <v>Pulkovo 1942 / Gauss-Kruger zone 19</v>
      </c>
    </row>
    <row r="4459" spans="1:3" x14ac:dyDescent="0.3">
      <c r="A4459" t="s">
        <v>4516</v>
      </c>
      <c r="B4459">
        <f>IF(ISNUMBER(SEARCH(Form!$C$11,Tabel2[[#This Row],[Coordinate Projection System]])),MAX($B$1:B4458)+1,0)</f>
        <v>4458</v>
      </c>
      <c r="C4459" t="str">
        <f t="shared" si="69"/>
        <v>Pulkovo 1942 / Gauss-Kruger zone 20</v>
      </c>
    </row>
    <row r="4460" spans="1:3" x14ac:dyDescent="0.3">
      <c r="A4460" t="s">
        <v>4517</v>
      </c>
      <c r="B4460">
        <f>IF(ISNUMBER(SEARCH(Form!$C$11,Tabel2[[#This Row],[Coordinate Projection System]])),MAX($B$1:B4459)+1,0)</f>
        <v>4459</v>
      </c>
      <c r="C4460" t="str">
        <f t="shared" si="69"/>
        <v>Pulkovo 1942 / Gauss-Kruger zone 21</v>
      </c>
    </row>
    <row r="4461" spans="1:3" x14ac:dyDescent="0.3">
      <c r="A4461" t="s">
        <v>4518</v>
      </c>
      <c r="B4461">
        <f>IF(ISNUMBER(SEARCH(Form!$C$11,Tabel2[[#This Row],[Coordinate Projection System]])),MAX($B$1:B4460)+1,0)</f>
        <v>4460</v>
      </c>
      <c r="C4461" t="str">
        <f t="shared" si="69"/>
        <v>Pulkovo 1942 / Gauss-Kruger zone 22</v>
      </c>
    </row>
    <row r="4462" spans="1:3" x14ac:dyDescent="0.3">
      <c r="A4462" t="s">
        <v>4519</v>
      </c>
      <c r="B4462">
        <f>IF(ISNUMBER(SEARCH(Form!$C$11,Tabel2[[#This Row],[Coordinate Projection System]])),MAX($B$1:B4461)+1,0)</f>
        <v>4461</v>
      </c>
      <c r="C4462" t="str">
        <f t="shared" si="69"/>
        <v>Pulkovo 1942 / Gauss-Kruger zone 23</v>
      </c>
    </row>
    <row r="4463" spans="1:3" x14ac:dyDescent="0.3">
      <c r="A4463" t="s">
        <v>4520</v>
      </c>
      <c r="B4463">
        <f>IF(ISNUMBER(SEARCH(Form!$C$11,Tabel2[[#This Row],[Coordinate Projection System]])),MAX($B$1:B4462)+1,0)</f>
        <v>4462</v>
      </c>
      <c r="C4463" t="str">
        <f t="shared" si="69"/>
        <v>Pulkovo 1942 / Gauss-Kruger zone 24</v>
      </c>
    </row>
    <row r="4464" spans="1:3" x14ac:dyDescent="0.3">
      <c r="A4464" t="s">
        <v>4521</v>
      </c>
      <c r="B4464">
        <f>IF(ISNUMBER(SEARCH(Form!$C$11,Tabel2[[#This Row],[Coordinate Projection System]])),MAX($B$1:B4463)+1,0)</f>
        <v>4463</v>
      </c>
      <c r="C4464" t="str">
        <f t="shared" si="69"/>
        <v>Pulkovo 1942 / Gauss-Kruger zone 25</v>
      </c>
    </row>
    <row r="4465" spans="1:3" x14ac:dyDescent="0.3">
      <c r="A4465" t="s">
        <v>4522</v>
      </c>
      <c r="B4465">
        <f>IF(ISNUMBER(SEARCH(Form!$C$11,Tabel2[[#This Row],[Coordinate Projection System]])),MAX($B$1:B4464)+1,0)</f>
        <v>4464</v>
      </c>
      <c r="C4465" t="str">
        <f t="shared" si="69"/>
        <v>Pulkovo 1942 / Gauss-Kruger zone 26</v>
      </c>
    </row>
    <row r="4466" spans="1:3" x14ac:dyDescent="0.3">
      <c r="A4466" t="s">
        <v>4523</v>
      </c>
      <c r="B4466">
        <f>IF(ISNUMBER(SEARCH(Form!$C$11,Tabel2[[#This Row],[Coordinate Projection System]])),MAX($B$1:B4465)+1,0)</f>
        <v>4465</v>
      </c>
      <c r="C4466" t="str">
        <f t="shared" si="69"/>
        <v>Pulkovo 1942 / Gauss-Kruger zone 27</v>
      </c>
    </row>
    <row r="4467" spans="1:3" x14ac:dyDescent="0.3">
      <c r="A4467" t="s">
        <v>4524</v>
      </c>
      <c r="B4467">
        <f>IF(ISNUMBER(SEARCH(Form!$C$11,Tabel2[[#This Row],[Coordinate Projection System]])),MAX($B$1:B4466)+1,0)</f>
        <v>4466</v>
      </c>
      <c r="C4467" t="str">
        <f t="shared" si="69"/>
        <v>Pulkovo 1942 / Gauss-Kruger zone 28</v>
      </c>
    </row>
    <row r="4468" spans="1:3" x14ac:dyDescent="0.3">
      <c r="A4468" t="s">
        <v>4525</v>
      </c>
      <c r="B4468">
        <f>IF(ISNUMBER(SEARCH(Form!$C$11,Tabel2[[#This Row],[Coordinate Projection System]])),MAX($B$1:B4467)+1,0)</f>
        <v>4467</v>
      </c>
      <c r="C4468" t="str">
        <f t="shared" si="69"/>
        <v>Pulkovo 1942 / Gauss-Kruger zone 29</v>
      </c>
    </row>
    <row r="4469" spans="1:3" x14ac:dyDescent="0.3">
      <c r="A4469" t="s">
        <v>4526</v>
      </c>
      <c r="B4469">
        <f>IF(ISNUMBER(SEARCH(Form!$C$11,Tabel2[[#This Row],[Coordinate Projection System]])),MAX($B$1:B4468)+1,0)</f>
        <v>4468</v>
      </c>
      <c r="C4469" t="str">
        <f t="shared" si="69"/>
        <v>Pulkovo 1942 / Gauss-Kruger zone 30</v>
      </c>
    </row>
    <row r="4470" spans="1:3" x14ac:dyDescent="0.3">
      <c r="A4470" t="s">
        <v>4527</v>
      </c>
      <c r="B4470">
        <f>IF(ISNUMBER(SEARCH(Form!$C$11,Tabel2[[#This Row],[Coordinate Projection System]])),MAX($B$1:B4469)+1,0)</f>
        <v>4469</v>
      </c>
      <c r="C4470" t="str">
        <f t="shared" si="69"/>
        <v>Pulkovo 1942 / Gauss-Kruger zone 31</v>
      </c>
    </row>
    <row r="4471" spans="1:3" x14ac:dyDescent="0.3">
      <c r="A4471" t="s">
        <v>4528</v>
      </c>
      <c r="B4471">
        <f>IF(ISNUMBER(SEARCH(Form!$C$11,Tabel2[[#This Row],[Coordinate Projection System]])),MAX($B$1:B4470)+1,0)</f>
        <v>4470</v>
      </c>
      <c r="C4471" t="str">
        <f t="shared" si="69"/>
        <v>Pulkovo 1942 / Gauss-Kruger zone 32</v>
      </c>
    </row>
    <row r="4472" spans="1:3" x14ac:dyDescent="0.3">
      <c r="A4472" t="s">
        <v>4529</v>
      </c>
      <c r="B4472">
        <f>IF(ISNUMBER(SEARCH(Form!$C$11,Tabel2[[#This Row],[Coordinate Projection System]])),MAX($B$1:B4471)+1,0)</f>
        <v>4471</v>
      </c>
      <c r="C4472" t="str">
        <f t="shared" si="69"/>
        <v>Pulkovo 1942 / Gauss-Kruger 2N (deprecated)</v>
      </c>
    </row>
    <row r="4473" spans="1:3" x14ac:dyDescent="0.3">
      <c r="A4473" t="s">
        <v>4530</v>
      </c>
      <c r="B4473">
        <f>IF(ISNUMBER(SEARCH(Form!$C$11,Tabel2[[#This Row],[Coordinate Projection System]])),MAX($B$1:B4472)+1,0)</f>
        <v>4472</v>
      </c>
      <c r="C4473" t="str">
        <f t="shared" si="69"/>
        <v>Pulkovo 1942 / Gauss-Kruger 3N (deprecated)</v>
      </c>
    </row>
    <row r="4474" spans="1:3" x14ac:dyDescent="0.3">
      <c r="A4474" t="s">
        <v>4531</v>
      </c>
      <c r="B4474">
        <f>IF(ISNUMBER(SEARCH(Form!$C$11,Tabel2[[#This Row],[Coordinate Projection System]])),MAX($B$1:B4473)+1,0)</f>
        <v>4473</v>
      </c>
      <c r="C4474" t="str">
        <f t="shared" si="69"/>
        <v>Pulkovo 1942 / Gauss-Kruger 4N (deprecated)</v>
      </c>
    </row>
    <row r="4475" spans="1:3" x14ac:dyDescent="0.3">
      <c r="A4475" t="s">
        <v>4532</v>
      </c>
      <c r="B4475">
        <f>IF(ISNUMBER(SEARCH(Form!$C$11,Tabel2[[#This Row],[Coordinate Projection System]])),MAX($B$1:B4474)+1,0)</f>
        <v>4474</v>
      </c>
      <c r="C4475" t="str">
        <f t="shared" si="69"/>
        <v>Pulkovo 1942 / Gauss-Kruger 5N (deprecated)</v>
      </c>
    </row>
    <row r="4476" spans="1:3" x14ac:dyDescent="0.3">
      <c r="A4476" t="s">
        <v>4533</v>
      </c>
      <c r="B4476">
        <f>IF(ISNUMBER(SEARCH(Form!$C$11,Tabel2[[#This Row],[Coordinate Projection System]])),MAX($B$1:B4475)+1,0)</f>
        <v>4475</v>
      </c>
      <c r="C4476" t="str">
        <f t="shared" si="69"/>
        <v>Pulkovo 1942 / Gauss-Kruger 6N (deprecated)</v>
      </c>
    </row>
    <row r="4477" spans="1:3" x14ac:dyDescent="0.3">
      <c r="A4477" t="s">
        <v>4534</v>
      </c>
      <c r="B4477">
        <f>IF(ISNUMBER(SEARCH(Form!$C$11,Tabel2[[#This Row],[Coordinate Projection System]])),MAX($B$1:B4476)+1,0)</f>
        <v>4476</v>
      </c>
      <c r="C4477" t="str">
        <f t="shared" si="69"/>
        <v>Pulkovo 1942 / Gauss-Kruger 7N (deprecated)</v>
      </c>
    </row>
    <row r="4478" spans="1:3" x14ac:dyDescent="0.3">
      <c r="A4478" t="s">
        <v>4535</v>
      </c>
      <c r="B4478">
        <f>IF(ISNUMBER(SEARCH(Form!$C$11,Tabel2[[#This Row],[Coordinate Projection System]])),MAX($B$1:B4477)+1,0)</f>
        <v>4477</v>
      </c>
      <c r="C4478" t="str">
        <f t="shared" si="69"/>
        <v>Pulkovo 1942 / Gauss-Kruger 8N (deprecated)</v>
      </c>
    </row>
    <row r="4479" spans="1:3" x14ac:dyDescent="0.3">
      <c r="A4479" t="s">
        <v>4536</v>
      </c>
      <c r="B4479">
        <f>IF(ISNUMBER(SEARCH(Form!$C$11,Tabel2[[#This Row],[Coordinate Projection System]])),MAX($B$1:B4478)+1,0)</f>
        <v>4478</v>
      </c>
      <c r="C4479" t="str">
        <f t="shared" si="69"/>
        <v>Pulkovo 1942 / Gauss-Kruger 9N (deprecated)</v>
      </c>
    </row>
    <row r="4480" spans="1:3" x14ac:dyDescent="0.3">
      <c r="A4480" t="s">
        <v>4537</v>
      </c>
      <c r="B4480">
        <f>IF(ISNUMBER(SEARCH(Form!$C$11,Tabel2[[#This Row],[Coordinate Projection System]])),MAX($B$1:B4479)+1,0)</f>
        <v>4479</v>
      </c>
      <c r="C4480" t="str">
        <f t="shared" si="69"/>
        <v>Pulkovo 1942 / Gauss-Kruger 10N (deprecated)</v>
      </c>
    </row>
    <row r="4481" spans="1:3" x14ac:dyDescent="0.3">
      <c r="A4481" t="s">
        <v>4538</v>
      </c>
      <c r="B4481">
        <f>IF(ISNUMBER(SEARCH(Form!$C$11,Tabel2[[#This Row],[Coordinate Projection System]])),MAX($B$1:B4480)+1,0)</f>
        <v>4480</v>
      </c>
      <c r="C4481" t="str">
        <f t="shared" si="69"/>
        <v>Pulkovo 1942 / Gauss-Kruger 11N (deprecated)</v>
      </c>
    </row>
    <row r="4482" spans="1:3" x14ac:dyDescent="0.3">
      <c r="A4482" t="s">
        <v>4539</v>
      </c>
      <c r="B4482">
        <f>IF(ISNUMBER(SEARCH(Form!$C$11,Tabel2[[#This Row],[Coordinate Projection System]])),MAX($B$1:B4481)+1,0)</f>
        <v>4481</v>
      </c>
      <c r="C4482" t="str">
        <f t="shared" si="69"/>
        <v>Pulkovo 1942 / Gauss-Kruger 12N (deprecated)</v>
      </c>
    </row>
    <row r="4483" spans="1:3" x14ac:dyDescent="0.3">
      <c r="A4483" t="s">
        <v>4540</v>
      </c>
      <c r="B4483">
        <f>IF(ISNUMBER(SEARCH(Form!$C$11,Tabel2[[#This Row],[Coordinate Projection System]])),MAX($B$1:B4482)+1,0)</f>
        <v>4482</v>
      </c>
      <c r="C4483" t="str">
        <f t="shared" ref="C4483:C4546" si="70">_xlfn.IFNA(INDEX(A4483:A9994,MATCH(ROW(C4482),B4483:B9994,0)),"")</f>
        <v>Pulkovo 1942 / Gauss-Kruger 13N (deprecated)</v>
      </c>
    </row>
    <row r="4484" spans="1:3" x14ac:dyDescent="0.3">
      <c r="A4484" t="s">
        <v>4541</v>
      </c>
      <c r="B4484">
        <f>IF(ISNUMBER(SEARCH(Form!$C$11,Tabel2[[#This Row],[Coordinate Projection System]])),MAX($B$1:B4483)+1,0)</f>
        <v>4483</v>
      </c>
      <c r="C4484" t="str">
        <f t="shared" si="70"/>
        <v>Pulkovo 1942 / Gauss-Kruger 14N (deprecated)</v>
      </c>
    </row>
    <row r="4485" spans="1:3" x14ac:dyDescent="0.3">
      <c r="A4485" t="s">
        <v>4542</v>
      </c>
      <c r="B4485">
        <f>IF(ISNUMBER(SEARCH(Form!$C$11,Tabel2[[#This Row],[Coordinate Projection System]])),MAX($B$1:B4484)+1,0)</f>
        <v>4484</v>
      </c>
      <c r="C4485" t="str">
        <f t="shared" si="70"/>
        <v>Pulkovo 1942 / Gauss-Kruger 15N (deprecated)</v>
      </c>
    </row>
    <row r="4486" spans="1:3" x14ac:dyDescent="0.3">
      <c r="A4486" t="s">
        <v>4543</v>
      </c>
      <c r="B4486">
        <f>IF(ISNUMBER(SEARCH(Form!$C$11,Tabel2[[#This Row],[Coordinate Projection System]])),MAX($B$1:B4485)+1,0)</f>
        <v>4485</v>
      </c>
      <c r="C4486" t="str">
        <f t="shared" si="70"/>
        <v>Pulkovo 1942 / Gauss-Kruger 16N (deprecated)</v>
      </c>
    </row>
    <row r="4487" spans="1:3" x14ac:dyDescent="0.3">
      <c r="A4487" t="s">
        <v>4544</v>
      </c>
      <c r="B4487">
        <f>IF(ISNUMBER(SEARCH(Form!$C$11,Tabel2[[#This Row],[Coordinate Projection System]])),MAX($B$1:B4486)+1,0)</f>
        <v>4486</v>
      </c>
      <c r="C4487" t="str">
        <f t="shared" si="70"/>
        <v>Pulkovo 1942 / Gauss-Kruger 17N (deprecated)</v>
      </c>
    </row>
    <row r="4488" spans="1:3" x14ac:dyDescent="0.3">
      <c r="A4488" t="s">
        <v>4545</v>
      </c>
      <c r="B4488">
        <f>IF(ISNUMBER(SEARCH(Form!$C$11,Tabel2[[#This Row],[Coordinate Projection System]])),MAX($B$1:B4487)+1,0)</f>
        <v>4487</v>
      </c>
      <c r="C4488" t="str">
        <f t="shared" si="70"/>
        <v>Pulkovo 1942 / Gauss-Kruger 18N (deprecated)</v>
      </c>
    </row>
    <row r="4489" spans="1:3" x14ac:dyDescent="0.3">
      <c r="A4489" t="s">
        <v>4546</v>
      </c>
      <c r="B4489">
        <f>IF(ISNUMBER(SEARCH(Form!$C$11,Tabel2[[#This Row],[Coordinate Projection System]])),MAX($B$1:B4488)+1,0)</f>
        <v>4488</v>
      </c>
      <c r="C4489" t="str">
        <f t="shared" si="70"/>
        <v>Pulkovo 1942 / Gauss-Kruger 19N (deprecated)</v>
      </c>
    </row>
    <row r="4490" spans="1:3" x14ac:dyDescent="0.3">
      <c r="A4490" t="s">
        <v>4547</v>
      </c>
      <c r="B4490">
        <f>IF(ISNUMBER(SEARCH(Form!$C$11,Tabel2[[#This Row],[Coordinate Projection System]])),MAX($B$1:B4489)+1,0)</f>
        <v>4489</v>
      </c>
      <c r="C4490" t="str">
        <f t="shared" si="70"/>
        <v>Pulkovo 1942 / Gauss-Kruger 20N (deprecated)</v>
      </c>
    </row>
    <row r="4491" spans="1:3" x14ac:dyDescent="0.3">
      <c r="A4491" t="s">
        <v>4548</v>
      </c>
      <c r="B4491">
        <f>IF(ISNUMBER(SEARCH(Form!$C$11,Tabel2[[#This Row],[Coordinate Projection System]])),MAX($B$1:B4490)+1,0)</f>
        <v>4490</v>
      </c>
      <c r="C4491" t="str">
        <f t="shared" si="70"/>
        <v>Pulkovo 1942 / Gauss-Kruger 21N (deprecated)</v>
      </c>
    </row>
    <row r="4492" spans="1:3" x14ac:dyDescent="0.3">
      <c r="A4492" t="s">
        <v>4549</v>
      </c>
      <c r="B4492">
        <f>IF(ISNUMBER(SEARCH(Form!$C$11,Tabel2[[#This Row],[Coordinate Projection System]])),MAX($B$1:B4491)+1,0)</f>
        <v>4491</v>
      </c>
      <c r="C4492" t="str">
        <f t="shared" si="70"/>
        <v>Pulkovo 1942 / Gauss-Kruger 22N (deprecated)</v>
      </c>
    </row>
    <row r="4493" spans="1:3" x14ac:dyDescent="0.3">
      <c r="A4493" t="s">
        <v>4550</v>
      </c>
      <c r="B4493">
        <f>IF(ISNUMBER(SEARCH(Form!$C$11,Tabel2[[#This Row],[Coordinate Projection System]])),MAX($B$1:B4492)+1,0)</f>
        <v>4492</v>
      </c>
      <c r="C4493" t="str">
        <f t="shared" si="70"/>
        <v>Pulkovo 1942 / Gauss-Kruger 23N (deprecated)</v>
      </c>
    </row>
    <row r="4494" spans="1:3" x14ac:dyDescent="0.3">
      <c r="A4494" t="s">
        <v>4551</v>
      </c>
      <c r="B4494">
        <f>IF(ISNUMBER(SEARCH(Form!$C$11,Tabel2[[#This Row],[Coordinate Projection System]])),MAX($B$1:B4493)+1,0)</f>
        <v>4493</v>
      </c>
      <c r="C4494" t="str">
        <f t="shared" si="70"/>
        <v>Pulkovo 1942 / Gauss-Kruger 24N (deprecated)</v>
      </c>
    </row>
    <row r="4495" spans="1:3" x14ac:dyDescent="0.3">
      <c r="A4495" t="s">
        <v>4552</v>
      </c>
      <c r="B4495">
        <f>IF(ISNUMBER(SEARCH(Form!$C$11,Tabel2[[#This Row],[Coordinate Projection System]])),MAX($B$1:B4494)+1,0)</f>
        <v>4494</v>
      </c>
      <c r="C4495" t="str">
        <f t="shared" si="70"/>
        <v>Pulkovo 1942 / Gauss-Kruger 25N (deprecated)</v>
      </c>
    </row>
    <row r="4496" spans="1:3" x14ac:dyDescent="0.3">
      <c r="A4496" t="s">
        <v>4553</v>
      </c>
      <c r="B4496">
        <f>IF(ISNUMBER(SEARCH(Form!$C$11,Tabel2[[#This Row],[Coordinate Projection System]])),MAX($B$1:B4495)+1,0)</f>
        <v>4495</v>
      </c>
      <c r="C4496" t="str">
        <f t="shared" si="70"/>
        <v>Pulkovo 1942 / Gauss-Kruger 26N (deprecated)</v>
      </c>
    </row>
    <row r="4497" spans="1:3" x14ac:dyDescent="0.3">
      <c r="A4497" t="s">
        <v>4554</v>
      </c>
      <c r="B4497">
        <f>IF(ISNUMBER(SEARCH(Form!$C$11,Tabel2[[#This Row],[Coordinate Projection System]])),MAX($B$1:B4496)+1,0)</f>
        <v>4496</v>
      </c>
      <c r="C4497" t="str">
        <f t="shared" si="70"/>
        <v>Pulkovo 1942 / Gauss-Kruger 27N (deprecated)</v>
      </c>
    </row>
    <row r="4498" spans="1:3" x14ac:dyDescent="0.3">
      <c r="A4498" t="s">
        <v>4555</v>
      </c>
      <c r="B4498">
        <f>IF(ISNUMBER(SEARCH(Form!$C$11,Tabel2[[#This Row],[Coordinate Projection System]])),MAX($B$1:B4497)+1,0)</f>
        <v>4497</v>
      </c>
      <c r="C4498" t="str">
        <f t="shared" si="70"/>
        <v>Pulkovo 1942 / Gauss-Kruger 28N (deprecated)</v>
      </c>
    </row>
    <row r="4499" spans="1:3" x14ac:dyDescent="0.3">
      <c r="A4499" t="s">
        <v>4556</v>
      </c>
      <c r="B4499">
        <f>IF(ISNUMBER(SEARCH(Form!$C$11,Tabel2[[#This Row],[Coordinate Projection System]])),MAX($B$1:B4498)+1,0)</f>
        <v>4498</v>
      </c>
      <c r="C4499" t="str">
        <f t="shared" si="70"/>
        <v>Pulkovo 1942 / Gauss-Kruger 29N (deprecated)</v>
      </c>
    </row>
    <row r="4500" spans="1:3" x14ac:dyDescent="0.3">
      <c r="A4500" t="s">
        <v>4557</v>
      </c>
      <c r="B4500">
        <f>IF(ISNUMBER(SEARCH(Form!$C$11,Tabel2[[#This Row],[Coordinate Projection System]])),MAX($B$1:B4499)+1,0)</f>
        <v>4499</v>
      </c>
      <c r="C4500" t="str">
        <f t="shared" si="70"/>
        <v>Pulkovo 1942 / Gauss-Kruger 30N (deprecated)</v>
      </c>
    </row>
    <row r="4501" spans="1:3" x14ac:dyDescent="0.3">
      <c r="A4501" t="s">
        <v>4558</v>
      </c>
      <c r="B4501">
        <f>IF(ISNUMBER(SEARCH(Form!$C$11,Tabel2[[#This Row],[Coordinate Projection System]])),MAX($B$1:B4500)+1,0)</f>
        <v>4500</v>
      </c>
      <c r="C4501" t="str">
        <f t="shared" si="70"/>
        <v>Pulkovo 1942 / Gauss-Kruger 31N (deprecated)</v>
      </c>
    </row>
    <row r="4502" spans="1:3" x14ac:dyDescent="0.3">
      <c r="A4502" t="s">
        <v>4559</v>
      </c>
      <c r="B4502">
        <f>IF(ISNUMBER(SEARCH(Form!$C$11,Tabel2[[#This Row],[Coordinate Projection System]])),MAX($B$1:B4501)+1,0)</f>
        <v>4501</v>
      </c>
      <c r="C4502" t="str">
        <f t="shared" si="70"/>
        <v>Pulkovo 1942 / Gauss-Kruger 32N (deprecated)</v>
      </c>
    </row>
    <row r="4503" spans="1:3" x14ac:dyDescent="0.3">
      <c r="A4503" t="s">
        <v>4560</v>
      </c>
      <c r="B4503">
        <f>IF(ISNUMBER(SEARCH(Form!$C$11,Tabel2[[#This Row],[Coordinate Projection System]])),MAX($B$1:B4502)+1,0)</f>
        <v>4502</v>
      </c>
      <c r="C4503" t="str">
        <f t="shared" si="70"/>
        <v>Qatar 1974 / Qatar National Grid</v>
      </c>
    </row>
    <row r="4504" spans="1:3" x14ac:dyDescent="0.3">
      <c r="A4504" t="s">
        <v>4561</v>
      </c>
      <c r="B4504">
        <f>IF(ISNUMBER(SEARCH(Form!$C$11,Tabel2[[#This Row],[Coordinate Projection System]])),MAX($B$1:B4503)+1,0)</f>
        <v>4503</v>
      </c>
      <c r="C4504" t="str">
        <f t="shared" si="70"/>
        <v>Amersfoort / RD Old</v>
      </c>
    </row>
    <row r="4505" spans="1:3" x14ac:dyDescent="0.3">
      <c r="A4505" t="s">
        <v>4562</v>
      </c>
      <c r="B4505">
        <f>IF(ISNUMBER(SEARCH(Form!$C$11,Tabel2[[#This Row],[Coordinate Projection System]])),MAX($B$1:B4504)+1,0)</f>
        <v>4504</v>
      </c>
      <c r="C4505" t="str">
        <f t="shared" si="70"/>
        <v>Amersfoort / RD New</v>
      </c>
    </row>
    <row r="4506" spans="1:3" x14ac:dyDescent="0.3">
      <c r="A4506" t="s">
        <v>4563</v>
      </c>
      <c r="B4506">
        <f>IF(ISNUMBER(SEARCH(Form!$C$11,Tabel2[[#This Row],[Coordinate Projection System]])),MAX($B$1:B4505)+1,0)</f>
        <v>4505</v>
      </c>
      <c r="C4506" t="str">
        <f t="shared" si="70"/>
        <v>SAD69 / Brazil Polyconic (deprecated)</v>
      </c>
    </row>
    <row r="4507" spans="1:3" x14ac:dyDescent="0.3">
      <c r="A4507" t="s">
        <v>4564</v>
      </c>
      <c r="B4507">
        <f>IF(ISNUMBER(SEARCH(Form!$C$11,Tabel2[[#This Row],[Coordinate Projection System]])),MAX($B$1:B4506)+1,0)</f>
        <v>4506</v>
      </c>
      <c r="C4507" t="str">
        <f t="shared" si="70"/>
        <v>SAD69 / Brazil Polyconic</v>
      </c>
    </row>
    <row r="4508" spans="1:3" x14ac:dyDescent="0.3">
      <c r="A4508" t="s">
        <v>4565</v>
      </c>
      <c r="B4508">
        <f>IF(ISNUMBER(SEARCH(Form!$C$11,Tabel2[[#This Row],[Coordinate Projection System]])),MAX($B$1:B4507)+1,0)</f>
        <v>4507</v>
      </c>
      <c r="C4508" t="str">
        <f t="shared" si="70"/>
        <v>SAD69 / UTM zone 18N (deprecated)</v>
      </c>
    </row>
    <row r="4509" spans="1:3" x14ac:dyDescent="0.3">
      <c r="A4509" t="s">
        <v>4566</v>
      </c>
      <c r="B4509">
        <f>IF(ISNUMBER(SEARCH(Form!$C$11,Tabel2[[#This Row],[Coordinate Projection System]])),MAX($B$1:B4508)+1,0)</f>
        <v>4508</v>
      </c>
      <c r="C4509" t="str">
        <f t="shared" si="70"/>
        <v>SAD69 / UTM zone 19N (deprecated)</v>
      </c>
    </row>
    <row r="4510" spans="1:3" x14ac:dyDescent="0.3">
      <c r="A4510" t="s">
        <v>4567</v>
      </c>
      <c r="B4510">
        <f>IF(ISNUMBER(SEARCH(Form!$C$11,Tabel2[[#This Row],[Coordinate Projection System]])),MAX($B$1:B4509)+1,0)</f>
        <v>4509</v>
      </c>
      <c r="C4510" t="str">
        <f t="shared" si="70"/>
        <v>SAD69 / UTM zone 20N (deprecated)</v>
      </c>
    </row>
    <row r="4511" spans="1:3" x14ac:dyDescent="0.3">
      <c r="A4511" t="s">
        <v>4568</v>
      </c>
      <c r="B4511">
        <f>IF(ISNUMBER(SEARCH(Form!$C$11,Tabel2[[#This Row],[Coordinate Projection System]])),MAX($B$1:B4510)+1,0)</f>
        <v>4510</v>
      </c>
      <c r="C4511" t="str">
        <f t="shared" si="70"/>
        <v>SAD69 / UTM zone 21N (deprecated)</v>
      </c>
    </row>
    <row r="4512" spans="1:3" x14ac:dyDescent="0.3">
      <c r="A4512" t="s">
        <v>4569</v>
      </c>
      <c r="B4512">
        <f>IF(ISNUMBER(SEARCH(Form!$C$11,Tabel2[[#This Row],[Coordinate Projection System]])),MAX($B$1:B4511)+1,0)</f>
        <v>4511</v>
      </c>
      <c r="C4512" t="str">
        <f t="shared" si="70"/>
        <v>SAD69 / UTM zone 22N (deprecated)</v>
      </c>
    </row>
    <row r="4513" spans="1:3" x14ac:dyDescent="0.3">
      <c r="A4513" t="s">
        <v>4570</v>
      </c>
      <c r="B4513">
        <f>IF(ISNUMBER(SEARCH(Form!$C$11,Tabel2[[#This Row],[Coordinate Projection System]])),MAX($B$1:B4512)+1,0)</f>
        <v>4512</v>
      </c>
      <c r="C4513" t="str">
        <f t="shared" si="70"/>
        <v>SAD69 / UTM zone 18N</v>
      </c>
    </row>
    <row r="4514" spans="1:3" x14ac:dyDescent="0.3">
      <c r="A4514" t="s">
        <v>4571</v>
      </c>
      <c r="B4514">
        <f>IF(ISNUMBER(SEARCH(Form!$C$11,Tabel2[[#This Row],[Coordinate Projection System]])),MAX($B$1:B4513)+1,0)</f>
        <v>4513</v>
      </c>
      <c r="C4514" t="str">
        <f t="shared" si="70"/>
        <v>SAD69 / UTM zone 19N</v>
      </c>
    </row>
    <row r="4515" spans="1:3" x14ac:dyDescent="0.3">
      <c r="A4515" t="s">
        <v>4572</v>
      </c>
      <c r="B4515">
        <f>IF(ISNUMBER(SEARCH(Form!$C$11,Tabel2[[#This Row],[Coordinate Projection System]])),MAX($B$1:B4514)+1,0)</f>
        <v>4514</v>
      </c>
      <c r="C4515" t="str">
        <f t="shared" si="70"/>
        <v>SAD69 / UTM zone 20N</v>
      </c>
    </row>
    <row r="4516" spans="1:3" x14ac:dyDescent="0.3">
      <c r="A4516" t="s">
        <v>4573</v>
      </c>
      <c r="B4516">
        <f>IF(ISNUMBER(SEARCH(Form!$C$11,Tabel2[[#This Row],[Coordinate Projection System]])),MAX($B$1:B4515)+1,0)</f>
        <v>4515</v>
      </c>
      <c r="C4516" t="str">
        <f t="shared" si="70"/>
        <v>SAD69 / UTM zone 21N</v>
      </c>
    </row>
    <row r="4517" spans="1:3" x14ac:dyDescent="0.3">
      <c r="A4517" t="s">
        <v>4574</v>
      </c>
      <c r="B4517">
        <f>IF(ISNUMBER(SEARCH(Form!$C$11,Tabel2[[#This Row],[Coordinate Projection System]])),MAX($B$1:B4516)+1,0)</f>
        <v>4516</v>
      </c>
      <c r="C4517" t="str">
        <f t="shared" si="70"/>
        <v>SAD69 / UTM zone 22N</v>
      </c>
    </row>
    <row r="4518" spans="1:3" x14ac:dyDescent="0.3">
      <c r="A4518" t="s">
        <v>4575</v>
      </c>
      <c r="B4518">
        <f>IF(ISNUMBER(SEARCH(Form!$C$11,Tabel2[[#This Row],[Coordinate Projection System]])),MAX($B$1:B4517)+1,0)</f>
        <v>4517</v>
      </c>
      <c r="C4518" t="str">
        <f t="shared" si="70"/>
        <v>SAD69 / UTM zone 17S (deprecated)</v>
      </c>
    </row>
    <row r="4519" spans="1:3" x14ac:dyDescent="0.3">
      <c r="A4519" t="s">
        <v>4576</v>
      </c>
      <c r="B4519">
        <f>IF(ISNUMBER(SEARCH(Form!$C$11,Tabel2[[#This Row],[Coordinate Projection System]])),MAX($B$1:B4518)+1,0)</f>
        <v>4518</v>
      </c>
      <c r="C4519" t="str">
        <f t="shared" si="70"/>
        <v>SAD69 / UTM zone 18S (deprecated)</v>
      </c>
    </row>
    <row r="4520" spans="1:3" x14ac:dyDescent="0.3">
      <c r="A4520" t="s">
        <v>4577</v>
      </c>
      <c r="B4520">
        <f>IF(ISNUMBER(SEARCH(Form!$C$11,Tabel2[[#This Row],[Coordinate Projection System]])),MAX($B$1:B4519)+1,0)</f>
        <v>4519</v>
      </c>
      <c r="C4520" t="str">
        <f t="shared" si="70"/>
        <v>SAD69 / UTM zone 19S (deprecated)</v>
      </c>
    </row>
    <row r="4521" spans="1:3" x14ac:dyDescent="0.3">
      <c r="A4521" t="s">
        <v>4578</v>
      </c>
      <c r="B4521">
        <f>IF(ISNUMBER(SEARCH(Form!$C$11,Tabel2[[#This Row],[Coordinate Projection System]])),MAX($B$1:B4520)+1,0)</f>
        <v>4520</v>
      </c>
      <c r="C4521" t="str">
        <f t="shared" si="70"/>
        <v>SAD69 / UTM zone 20S (deprecated)</v>
      </c>
    </row>
    <row r="4522" spans="1:3" x14ac:dyDescent="0.3">
      <c r="A4522" t="s">
        <v>4579</v>
      </c>
      <c r="B4522">
        <f>IF(ISNUMBER(SEARCH(Form!$C$11,Tabel2[[#This Row],[Coordinate Projection System]])),MAX($B$1:B4521)+1,0)</f>
        <v>4521</v>
      </c>
      <c r="C4522" t="str">
        <f t="shared" si="70"/>
        <v>SAD69 / UTM zone 21S (deprecated)</v>
      </c>
    </row>
    <row r="4523" spans="1:3" x14ac:dyDescent="0.3">
      <c r="A4523" t="s">
        <v>4580</v>
      </c>
      <c r="B4523">
        <f>IF(ISNUMBER(SEARCH(Form!$C$11,Tabel2[[#This Row],[Coordinate Projection System]])),MAX($B$1:B4522)+1,0)</f>
        <v>4522</v>
      </c>
      <c r="C4523" t="str">
        <f t="shared" si="70"/>
        <v>SAD69 / UTM zone 22S (deprecated)</v>
      </c>
    </row>
    <row r="4524" spans="1:3" x14ac:dyDescent="0.3">
      <c r="A4524" t="s">
        <v>4581</v>
      </c>
      <c r="B4524">
        <f>IF(ISNUMBER(SEARCH(Form!$C$11,Tabel2[[#This Row],[Coordinate Projection System]])),MAX($B$1:B4523)+1,0)</f>
        <v>4523</v>
      </c>
      <c r="C4524" t="str">
        <f t="shared" si="70"/>
        <v>SAD69 / UTM zone 23S (deprecated)</v>
      </c>
    </row>
    <row r="4525" spans="1:3" x14ac:dyDescent="0.3">
      <c r="A4525" t="s">
        <v>4582</v>
      </c>
      <c r="B4525">
        <f>IF(ISNUMBER(SEARCH(Form!$C$11,Tabel2[[#This Row],[Coordinate Projection System]])),MAX($B$1:B4524)+1,0)</f>
        <v>4524</v>
      </c>
      <c r="C4525" t="str">
        <f t="shared" si="70"/>
        <v>SAD69 / UTM zone 24S (deprecated)</v>
      </c>
    </row>
    <row r="4526" spans="1:3" x14ac:dyDescent="0.3">
      <c r="A4526" t="s">
        <v>4583</v>
      </c>
      <c r="B4526">
        <f>IF(ISNUMBER(SEARCH(Form!$C$11,Tabel2[[#This Row],[Coordinate Projection System]])),MAX($B$1:B4525)+1,0)</f>
        <v>4525</v>
      </c>
      <c r="C4526" t="str">
        <f t="shared" si="70"/>
        <v>SAD69 / UTM zone 25S (deprecated)</v>
      </c>
    </row>
    <row r="4527" spans="1:3" x14ac:dyDescent="0.3">
      <c r="A4527" t="s">
        <v>4584</v>
      </c>
      <c r="B4527">
        <f>IF(ISNUMBER(SEARCH(Form!$C$11,Tabel2[[#This Row],[Coordinate Projection System]])),MAX($B$1:B4526)+1,0)</f>
        <v>4526</v>
      </c>
      <c r="C4527" t="str">
        <f t="shared" si="70"/>
        <v>SAD69 / UTM zone 17S</v>
      </c>
    </row>
    <row r="4528" spans="1:3" x14ac:dyDescent="0.3">
      <c r="A4528" t="s">
        <v>4585</v>
      </c>
      <c r="B4528">
        <f>IF(ISNUMBER(SEARCH(Form!$C$11,Tabel2[[#This Row],[Coordinate Projection System]])),MAX($B$1:B4527)+1,0)</f>
        <v>4527</v>
      </c>
      <c r="C4528" t="str">
        <f t="shared" si="70"/>
        <v>SAD69 / UTM zone 18S</v>
      </c>
    </row>
    <row r="4529" spans="1:3" x14ac:dyDescent="0.3">
      <c r="A4529" t="s">
        <v>4586</v>
      </c>
      <c r="B4529">
        <f>IF(ISNUMBER(SEARCH(Form!$C$11,Tabel2[[#This Row],[Coordinate Projection System]])),MAX($B$1:B4528)+1,0)</f>
        <v>4528</v>
      </c>
      <c r="C4529" t="str">
        <f t="shared" si="70"/>
        <v>SAD69 / UTM zone 19S</v>
      </c>
    </row>
    <row r="4530" spans="1:3" x14ac:dyDescent="0.3">
      <c r="A4530" t="s">
        <v>4587</v>
      </c>
      <c r="B4530">
        <f>IF(ISNUMBER(SEARCH(Form!$C$11,Tabel2[[#This Row],[Coordinate Projection System]])),MAX($B$1:B4529)+1,0)</f>
        <v>4529</v>
      </c>
      <c r="C4530" t="str">
        <f t="shared" si="70"/>
        <v>SAD69 / UTM zone 20S</v>
      </c>
    </row>
    <row r="4531" spans="1:3" x14ac:dyDescent="0.3">
      <c r="A4531" t="s">
        <v>4588</v>
      </c>
      <c r="B4531">
        <f>IF(ISNUMBER(SEARCH(Form!$C$11,Tabel2[[#This Row],[Coordinate Projection System]])),MAX($B$1:B4530)+1,0)</f>
        <v>4530</v>
      </c>
      <c r="C4531" t="str">
        <f t="shared" si="70"/>
        <v>SAD69 / UTM zone 21S</v>
      </c>
    </row>
    <row r="4532" spans="1:3" x14ac:dyDescent="0.3">
      <c r="A4532" t="s">
        <v>4589</v>
      </c>
      <c r="B4532">
        <f>IF(ISNUMBER(SEARCH(Form!$C$11,Tabel2[[#This Row],[Coordinate Projection System]])),MAX($B$1:B4531)+1,0)</f>
        <v>4531</v>
      </c>
      <c r="C4532" t="str">
        <f t="shared" si="70"/>
        <v>SAD69 / UTM zone 22S</v>
      </c>
    </row>
    <row r="4533" spans="1:3" x14ac:dyDescent="0.3">
      <c r="A4533" t="s">
        <v>4590</v>
      </c>
      <c r="B4533">
        <f>IF(ISNUMBER(SEARCH(Form!$C$11,Tabel2[[#This Row],[Coordinate Projection System]])),MAX($B$1:B4532)+1,0)</f>
        <v>4532</v>
      </c>
      <c r="C4533" t="str">
        <f t="shared" si="70"/>
        <v>SAD69 / UTM zone 23S</v>
      </c>
    </row>
    <row r="4534" spans="1:3" x14ac:dyDescent="0.3">
      <c r="A4534" t="s">
        <v>4591</v>
      </c>
      <c r="B4534">
        <f>IF(ISNUMBER(SEARCH(Form!$C$11,Tabel2[[#This Row],[Coordinate Projection System]])),MAX($B$1:B4533)+1,0)</f>
        <v>4533</v>
      </c>
      <c r="C4534" t="str">
        <f t="shared" si="70"/>
        <v>SAD69 / UTM zone 24S</v>
      </c>
    </row>
    <row r="4535" spans="1:3" x14ac:dyDescent="0.3">
      <c r="A4535" t="s">
        <v>4592</v>
      </c>
      <c r="B4535">
        <f>IF(ISNUMBER(SEARCH(Form!$C$11,Tabel2[[#This Row],[Coordinate Projection System]])),MAX($B$1:B4534)+1,0)</f>
        <v>4534</v>
      </c>
      <c r="C4535" t="str">
        <f t="shared" si="70"/>
        <v>SAD69 / UTM zone 25S</v>
      </c>
    </row>
    <row r="4536" spans="1:3" x14ac:dyDescent="0.3">
      <c r="A4536" t="s">
        <v>4593</v>
      </c>
      <c r="B4536">
        <f>IF(ISNUMBER(SEARCH(Form!$C$11,Tabel2[[#This Row],[Coordinate Projection System]])),MAX($B$1:B4535)+1,0)</f>
        <v>4535</v>
      </c>
      <c r="C4536" t="str">
        <f t="shared" si="70"/>
        <v>Sapper Hill 1943 / UTM zone 20S</v>
      </c>
    </row>
    <row r="4537" spans="1:3" x14ac:dyDescent="0.3">
      <c r="A4537" t="s">
        <v>4594</v>
      </c>
      <c r="B4537">
        <f>IF(ISNUMBER(SEARCH(Form!$C$11,Tabel2[[#This Row],[Coordinate Projection System]])),MAX($B$1:B4536)+1,0)</f>
        <v>4536</v>
      </c>
      <c r="C4537" t="str">
        <f t="shared" si="70"/>
        <v>Sapper Hill 1943 / UTM zone 21S</v>
      </c>
    </row>
    <row r="4538" spans="1:3" x14ac:dyDescent="0.3">
      <c r="A4538" t="s">
        <v>4595</v>
      </c>
      <c r="B4538">
        <f>IF(ISNUMBER(SEARCH(Form!$C$11,Tabel2[[#This Row],[Coordinate Projection System]])),MAX($B$1:B4537)+1,0)</f>
        <v>4537</v>
      </c>
      <c r="C4538" t="str">
        <f t="shared" si="70"/>
        <v>Schwarzeck / UTM zone 33S</v>
      </c>
    </row>
    <row r="4539" spans="1:3" x14ac:dyDescent="0.3">
      <c r="A4539" t="s">
        <v>4596</v>
      </c>
      <c r="B4539">
        <f>IF(ISNUMBER(SEARCH(Form!$C$11,Tabel2[[#This Row],[Coordinate Projection System]])),MAX($B$1:B4538)+1,0)</f>
        <v>4538</v>
      </c>
      <c r="C4539" t="str">
        <f t="shared" si="70"/>
        <v>Schwarzeck / Lo22/11</v>
      </c>
    </row>
    <row r="4540" spans="1:3" x14ac:dyDescent="0.3">
      <c r="A4540" t="s">
        <v>4597</v>
      </c>
      <c r="B4540">
        <f>IF(ISNUMBER(SEARCH(Form!$C$11,Tabel2[[#This Row],[Coordinate Projection System]])),MAX($B$1:B4539)+1,0)</f>
        <v>4539</v>
      </c>
      <c r="C4540" t="str">
        <f t="shared" si="70"/>
        <v>Schwarzeck / Lo22/13</v>
      </c>
    </row>
    <row r="4541" spans="1:3" x14ac:dyDescent="0.3">
      <c r="A4541" t="s">
        <v>4598</v>
      </c>
      <c r="B4541">
        <f>IF(ISNUMBER(SEARCH(Form!$C$11,Tabel2[[#This Row],[Coordinate Projection System]])),MAX($B$1:B4540)+1,0)</f>
        <v>4540</v>
      </c>
      <c r="C4541" t="str">
        <f t="shared" si="70"/>
        <v>Schwarzeck / Lo22/15</v>
      </c>
    </row>
    <row r="4542" spans="1:3" x14ac:dyDescent="0.3">
      <c r="A4542" t="s">
        <v>4599</v>
      </c>
      <c r="B4542">
        <f>IF(ISNUMBER(SEARCH(Form!$C$11,Tabel2[[#This Row],[Coordinate Projection System]])),MAX($B$1:B4541)+1,0)</f>
        <v>4541</v>
      </c>
      <c r="C4542" t="str">
        <f t="shared" si="70"/>
        <v>Schwarzeck / Lo22/17</v>
      </c>
    </row>
    <row r="4543" spans="1:3" x14ac:dyDescent="0.3">
      <c r="A4543" t="s">
        <v>4600</v>
      </c>
      <c r="B4543">
        <f>IF(ISNUMBER(SEARCH(Form!$C$11,Tabel2[[#This Row],[Coordinate Projection System]])),MAX($B$1:B4542)+1,0)</f>
        <v>4542</v>
      </c>
      <c r="C4543" t="str">
        <f t="shared" si="70"/>
        <v>Schwarzeck / Lo22/19</v>
      </c>
    </row>
    <row r="4544" spans="1:3" x14ac:dyDescent="0.3">
      <c r="A4544" t="s">
        <v>4601</v>
      </c>
      <c r="B4544">
        <f>IF(ISNUMBER(SEARCH(Form!$C$11,Tabel2[[#This Row],[Coordinate Projection System]])),MAX($B$1:B4543)+1,0)</f>
        <v>4543</v>
      </c>
      <c r="C4544" t="str">
        <f t="shared" si="70"/>
        <v>Schwarzeck / Lo22/21</v>
      </c>
    </row>
    <row r="4545" spans="1:3" x14ac:dyDescent="0.3">
      <c r="A4545" t="s">
        <v>4602</v>
      </c>
      <c r="B4545">
        <f>IF(ISNUMBER(SEARCH(Form!$C$11,Tabel2[[#This Row],[Coordinate Projection System]])),MAX($B$1:B4544)+1,0)</f>
        <v>4544</v>
      </c>
      <c r="C4545" t="str">
        <f t="shared" si="70"/>
        <v>Schwarzeck / Lo22/23</v>
      </c>
    </row>
    <row r="4546" spans="1:3" x14ac:dyDescent="0.3">
      <c r="A4546" t="s">
        <v>4603</v>
      </c>
      <c r="B4546">
        <f>IF(ISNUMBER(SEARCH(Form!$C$11,Tabel2[[#This Row],[Coordinate Projection System]])),MAX($B$1:B4545)+1,0)</f>
        <v>4545</v>
      </c>
      <c r="C4546" t="str">
        <f t="shared" si="70"/>
        <v>Schwarzeck / Lo22/25</v>
      </c>
    </row>
    <row r="4547" spans="1:3" x14ac:dyDescent="0.3">
      <c r="A4547" t="s">
        <v>4604</v>
      </c>
      <c r="B4547">
        <f>IF(ISNUMBER(SEARCH(Form!$C$11,Tabel2[[#This Row],[Coordinate Projection System]])),MAX($B$1:B4546)+1,0)</f>
        <v>4546</v>
      </c>
      <c r="C4547" t="str">
        <f t="shared" ref="C4547:C4610" si="71">_xlfn.IFNA(INDEX(A4547:A10058,MATCH(ROW(C4546),B4547:B10058,0)),"")</f>
        <v>Sudan / UTM zone 35N (deprecated)</v>
      </c>
    </row>
    <row r="4548" spans="1:3" x14ac:dyDescent="0.3">
      <c r="A4548" t="s">
        <v>4605</v>
      </c>
      <c r="B4548">
        <f>IF(ISNUMBER(SEARCH(Form!$C$11,Tabel2[[#This Row],[Coordinate Projection System]])),MAX($B$1:B4547)+1,0)</f>
        <v>4547</v>
      </c>
      <c r="C4548" t="str">
        <f t="shared" si="71"/>
        <v>Sudan / UTM zone 36N (deprecated)</v>
      </c>
    </row>
    <row r="4549" spans="1:3" x14ac:dyDescent="0.3">
      <c r="A4549" t="s">
        <v>4606</v>
      </c>
      <c r="B4549">
        <f>IF(ISNUMBER(SEARCH(Form!$C$11,Tabel2[[#This Row],[Coordinate Projection System]])),MAX($B$1:B4548)+1,0)</f>
        <v>4548</v>
      </c>
      <c r="C4549" t="str">
        <f t="shared" si="71"/>
        <v>Tananarive (Paris) / Laborde Grid (deprecated)</v>
      </c>
    </row>
    <row r="4550" spans="1:3" x14ac:dyDescent="0.3">
      <c r="A4550" t="s">
        <v>4607</v>
      </c>
      <c r="B4550">
        <f>IF(ISNUMBER(SEARCH(Form!$C$11,Tabel2[[#This Row],[Coordinate Projection System]])),MAX($B$1:B4549)+1,0)</f>
        <v>4549</v>
      </c>
      <c r="C4550" t="str">
        <f t="shared" si="71"/>
        <v>Tananarive (Paris) / Laborde GridUnable to translate coordinate system EPSG:29701 into PROJ.4 format.</v>
      </c>
    </row>
    <row r="4551" spans="1:3" x14ac:dyDescent="0.3">
      <c r="A4551" t="s">
        <v>4608</v>
      </c>
      <c r="B4551">
        <f>IF(ISNUMBER(SEARCH(Form!$C$11,Tabel2[[#This Row],[Coordinate Projection System]])),MAX($B$1:B4550)+1,0)</f>
        <v>4550</v>
      </c>
      <c r="C4551" t="str">
        <f t="shared" si="71"/>
        <v>Tananarive (Paris) / Laborde Grid approximation</v>
      </c>
    </row>
    <row r="4552" spans="1:3" x14ac:dyDescent="0.3">
      <c r="A4552" t="s">
        <v>4609</v>
      </c>
      <c r="B4552">
        <f>IF(ISNUMBER(SEARCH(Form!$C$11,Tabel2[[#This Row],[Coordinate Projection System]])),MAX($B$1:B4551)+1,0)</f>
        <v>4551</v>
      </c>
      <c r="C4552" t="str">
        <f t="shared" si="71"/>
        <v>Tananarive / UTM zone 38S</v>
      </c>
    </row>
    <row r="4553" spans="1:3" x14ac:dyDescent="0.3">
      <c r="A4553" t="s">
        <v>4610</v>
      </c>
      <c r="B4553">
        <f>IF(ISNUMBER(SEARCH(Form!$C$11,Tabel2[[#This Row],[Coordinate Projection System]])),MAX($B$1:B4552)+1,0)</f>
        <v>4552</v>
      </c>
      <c r="C4553" t="str">
        <f t="shared" si="71"/>
        <v>Tananarive / UTM zone 39S</v>
      </c>
    </row>
    <row r="4554" spans="1:3" x14ac:dyDescent="0.3">
      <c r="A4554" t="s">
        <v>4611</v>
      </c>
      <c r="B4554">
        <f>IF(ISNUMBER(SEARCH(Form!$C$11,Tabel2[[#This Row],[Coordinate Projection System]])),MAX($B$1:B4553)+1,0)</f>
        <v>4553</v>
      </c>
      <c r="C4554" t="str">
        <f t="shared" si="71"/>
        <v>Timbalai 1948 / UTM zone 49N</v>
      </c>
    </row>
    <row r="4555" spans="1:3" x14ac:dyDescent="0.3">
      <c r="A4555" t="s">
        <v>4612</v>
      </c>
      <c r="B4555">
        <f>IF(ISNUMBER(SEARCH(Form!$C$11,Tabel2[[#This Row],[Coordinate Projection System]])),MAX($B$1:B4554)+1,0)</f>
        <v>4554</v>
      </c>
      <c r="C4555" t="str">
        <f t="shared" si="71"/>
        <v>Timbalai 1948 / UTM zone 50N</v>
      </c>
    </row>
    <row r="4556" spans="1:3" x14ac:dyDescent="0.3">
      <c r="A4556" t="s">
        <v>4613</v>
      </c>
      <c r="B4556">
        <f>IF(ISNUMBER(SEARCH(Form!$C$11,Tabel2[[#This Row],[Coordinate Projection System]])),MAX($B$1:B4555)+1,0)</f>
        <v>4555</v>
      </c>
      <c r="C4556" t="str">
        <f t="shared" si="71"/>
        <v>Timbalai 1948 / RSO Borneo (ch)</v>
      </c>
    </row>
    <row r="4557" spans="1:3" x14ac:dyDescent="0.3">
      <c r="A4557" t="s">
        <v>4614</v>
      </c>
      <c r="B4557">
        <f>IF(ISNUMBER(SEARCH(Form!$C$11,Tabel2[[#This Row],[Coordinate Projection System]])),MAX($B$1:B4556)+1,0)</f>
        <v>4556</v>
      </c>
      <c r="C4557" t="str">
        <f t="shared" si="71"/>
        <v>Timbalai 1948 / RSO Borneo (ft)</v>
      </c>
    </row>
    <row r="4558" spans="1:3" x14ac:dyDescent="0.3">
      <c r="A4558" t="s">
        <v>4615</v>
      </c>
      <c r="B4558">
        <f>IF(ISNUMBER(SEARCH(Form!$C$11,Tabel2[[#This Row],[Coordinate Projection System]])),MAX($B$1:B4557)+1,0)</f>
        <v>4557</v>
      </c>
      <c r="C4558" t="str">
        <f t="shared" si="71"/>
        <v>Timbalai 1948 / RSO Borneo (m)</v>
      </c>
    </row>
    <row r="4559" spans="1:3" x14ac:dyDescent="0.3">
      <c r="A4559" t="s">
        <v>4616</v>
      </c>
      <c r="B4559">
        <f>IF(ISNUMBER(SEARCH(Form!$C$11,Tabel2[[#This Row],[Coordinate Projection System]])),MAX($B$1:B4558)+1,0)</f>
        <v>4558</v>
      </c>
      <c r="C4559" t="str">
        <f t="shared" si="71"/>
        <v>TM65 / Irish National Grid (deprecated)</v>
      </c>
    </row>
    <row r="4560" spans="1:3" x14ac:dyDescent="0.3">
      <c r="A4560" t="s">
        <v>4617</v>
      </c>
      <c r="B4560">
        <f>IF(ISNUMBER(SEARCH(Form!$C$11,Tabel2[[#This Row],[Coordinate Projection System]])),MAX($B$1:B4559)+1,0)</f>
        <v>4559</v>
      </c>
      <c r="C4560" t="str">
        <f t="shared" si="71"/>
        <v>OSNI 1952 / Irish National Grid</v>
      </c>
    </row>
    <row r="4561" spans="1:3" x14ac:dyDescent="0.3">
      <c r="A4561" t="s">
        <v>4618</v>
      </c>
      <c r="B4561">
        <f>IF(ISNUMBER(SEARCH(Form!$C$11,Tabel2[[#This Row],[Coordinate Projection System]])),MAX($B$1:B4560)+1,0)</f>
        <v>4560</v>
      </c>
      <c r="C4561" t="str">
        <f t="shared" si="71"/>
        <v>TM65 / Irish Grid</v>
      </c>
    </row>
    <row r="4562" spans="1:3" x14ac:dyDescent="0.3">
      <c r="A4562" t="s">
        <v>4619</v>
      </c>
      <c r="B4562">
        <f>IF(ISNUMBER(SEARCH(Form!$C$11,Tabel2[[#This Row],[Coordinate Projection System]])),MAX($B$1:B4561)+1,0)</f>
        <v>4561</v>
      </c>
      <c r="C4562" t="str">
        <f t="shared" si="71"/>
        <v>TM75 / Irish Grid</v>
      </c>
    </row>
    <row r="4563" spans="1:3" x14ac:dyDescent="0.3">
      <c r="A4563" t="s">
        <v>4620</v>
      </c>
      <c r="B4563">
        <f>IF(ISNUMBER(SEARCH(Form!$C$11,Tabel2[[#This Row],[Coordinate Projection System]])),MAX($B$1:B4562)+1,0)</f>
        <v>4562</v>
      </c>
      <c r="C4563" t="str">
        <f t="shared" si="71"/>
        <v>Tokyo / Japan Plane Rectangular CS I</v>
      </c>
    </row>
    <row r="4564" spans="1:3" x14ac:dyDescent="0.3">
      <c r="A4564" t="s">
        <v>4621</v>
      </c>
      <c r="B4564">
        <f>IF(ISNUMBER(SEARCH(Form!$C$11,Tabel2[[#This Row],[Coordinate Projection System]])),MAX($B$1:B4563)+1,0)</f>
        <v>4563</v>
      </c>
      <c r="C4564" t="str">
        <f t="shared" si="71"/>
        <v>Tokyo / Japan Plane Rectangular CS II</v>
      </c>
    </row>
    <row r="4565" spans="1:3" x14ac:dyDescent="0.3">
      <c r="A4565" t="s">
        <v>4622</v>
      </c>
      <c r="B4565">
        <f>IF(ISNUMBER(SEARCH(Form!$C$11,Tabel2[[#This Row],[Coordinate Projection System]])),MAX($B$1:B4564)+1,0)</f>
        <v>4564</v>
      </c>
      <c r="C4565" t="str">
        <f t="shared" si="71"/>
        <v>Tokyo / Japan Plane Rectangular CS III</v>
      </c>
    </row>
    <row r="4566" spans="1:3" x14ac:dyDescent="0.3">
      <c r="A4566" t="s">
        <v>4623</v>
      </c>
      <c r="B4566">
        <f>IF(ISNUMBER(SEARCH(Form!$C$11,Tabel2[[#This Row],[Coordinate Projection System]])),MAX($B$1:B4565)+1,0)</f>
        <v>4565</v>
      </c>
      <c r="C4566" t="str">
        <f t="shared" si="71"/>
        <v>Tokyo / Japan Plane Rectangular CS IV</v>
      </c>
    </row>
    <row r="4567" spans="1:3" x14ac:dyDescent="0.3">
      <c r="A4567" t="s">
        <v>4624</v>
      </c>
      <c r="B4567">
        <f>IF(ISNUMBER(SEARCH(Form!$C$11,Tabel2[[#This Row],[Coordinate Projection System]])),MAX($B$1:B4566)+1,0)</f>
        <v>4566</v>
      </c>
      <c r="C4567" t="str">
        <f t="shared" si="71"/>
        <v>Tokyo / Japan Plane Rectangular CS V</v>
      </c>
    </row>
    <row r="4568" spans="1:3" x14ac:dyDescent="0.3">
      <c r="A4568" t="s">
        <v>4625</v>
      </c>
      <c r="B4568">
        <f>IF(ISNUMBER(SEARCH(Form!$C$11,Tabel2[[#This Row],[Coordinate Projection System]])),MAX($B$1:B4567)+1,0)</f>
        <v>4567</v>
      </c>
      <c r="C4568" t="str">
        <f t="shared" si="71"/>
        <v>Tokyo / Japan Plane Rectangular CS VI</v>
      </c>
    </row>
    <row r="4569" spans="1:3" x14ac:dyDescent="0.3">
      <c r="A4569" t="s">
        <v>4626</v>
      </c>
      <c r="B4569">
        <f>IF(ISNUMBER(SEARCH(Form!$C$11,Tabel2[[#This Row],[Coordinate Projection System]])),MAX($B$1:B4568)+1,0)</f>
        <v>4568</v>
      </c>
      <c r="C4569" t="str">
        <f t="shared" si="71"/>
        <v>Tokyo / Japan Plane Rectangular CS VII</v>
      </c>
    </row>
    <row r="4570" spans="1:3" x14ac:dyDescent="0.3">
      <c r="A4570" t="s">
        <v>4627</v>
      </c>
      <c r="B4570">
        <f>IF(ISNUMBER(SEARCH(Form!$C$11,Tabel2[[#This Row],[Coordinate Projection System]])),MAX($B$1:B4569)+1,0)</f>
        <v>4569</v>
      </c>
      <c r="C4570" t="str">
        <f t="shared" si="71"/>
        <v>Tokyo / Japan Plane Rectangular CS VIII</v>
      </c>
    </row>
    <row r="4571" spans="1:3" x14ac:dyDescent="0.3">
      <c r="A4571" t="s">
        <v>4628</v>
      </c>
      <c r="B4571">
        <f>IF(ISNUMBER(SEARCH(Form!$C$11,Tabel2[[#This Row],[Coordinate Projection System]])),MAX($B$1:B4570)+1,0)</f>
        <v>4570</v>
      </c>
      <c r="C4571" t="str">
        <f t="shared" si="71"/>
        <v>Tokyo / Japan Plane Rectangular CS IX</v>
      </c>
    </row>
    <row r="4572" spans="1:3" x14ac:dyDescent="0.3">
      <c r="A4572" t="s">
        <v>4629</v>
      </c>
      <c r="B4572">
        <f>IF(ISNUMBER(SEARCH(Form!$C$11,Tabel2[[#This Row],[Coordinate Projection System]])),MAX($B$1:B4571)+1,0)</f>
        <v>4571</v>
      </c>
      <c r="C4572" t="str">
        <f t="shared" si="71"/>
        <v>Tokyo / Japan Plane Rectangular CS X</v>
      </c>
    </row>
    <row r="4573" spans="1:3" x14ac:dyDescent="0.3">
      <c r="A4573" t="s">
        <v>4630</v>
      </c>
      <c r="B4573">
        <f>IF(ISNUMBER(SEARCH(Form!$C$11,Tabel2[[#This Row],[Coordinate Projection System]])),MAX($B$1:B4572)+1,0)</f>
        <v>4572</v>
      </c>
      <c r="C4573" t="str">
        <f t="shared" si="71"/>
        <v>Tokyo / Japan Plane Rectangular CS XI</v>
      </c>
    </row>
    <row r="4574" spans="1:3" x14ac:dyDescent="0.3">
      <c r="A4574" t="s">
        <v>4631</v>
      </c>
      <c r="B4574">
        <f>IF(ISNUMBER(SEARCH(Form!$C$11,Tabel2[[#This Row],[Coordinate Projection System]])),MAX($B$1:B4573)+1,0)</f>
        <v>4573</v>
      </c>
      <c r="C4574" t="str">
        <f t="shared" si="71"/>
        <v>Tokyo / Japan Plane Rectangular CS XII</v>
      </c>
    </row>
    <row r="4575" spans="1:3" x14ac:dyDescent="0.3">
      <c r="A4575" t="s">
        <v>4632</v>
      </c>
      <c r="B4575">
        <f>IF(ISNUMBER(SEARCH(Form!$C$11,Tabel2[[#This Row],[Coordinate Projection System]])),MAX($B$1:B4574)+1,0)</f>
        <v>4574</v>
      </c>
      <c r="C4575" t="str">
        <f t="shared" si="71"/>
        <v>Tokyo / Japan Plane Rectangular CS XIII</v>
      </c>
    </row>
    <row r="4576" spans="1:3" x14ac:dyDescent="0.3">
      <c r="A4576" t="s">
        <v>4633</v>
      </c>
      <c r="B4576">
        <f>IF(ISNUMBER(SEARCH(Form!$C$11,Tabel2[[#This Row],[Coordinate Projection System]])),MAX($B$1:B4575)+1,0)</f>
        <v>4575</v>
      </c>
      <c r="C4576" t="str">
        <f t="shared" si="71"/>
        <v>Tokyo / Japan Plane Rectangular CS XIV</v>
      </c>
    </row>
    <row r="4577" spans="1:3" x14ac:dyDescent="0.3">
      <c r="A4577" t="s">
        <v>4634</v>
      </c>
      <c r="B4577">
        <f>IF(ISNUMBER(SEARCH(Form!$C$11,Tabel2[[#This Row],[Coordinate Projection System]])),MAX($B$1:B4576)+1,0)</f>
        <v>4576</v>
      </c>
      <c r="C4577" t="str">
        <f t="shared" si="71"/>
        <v>Tokyo / Japan Plane Rectangular CS XV</v>
      </c>
    </row>
    <row r="4578" spans="1:3" x14ac:dyDescent="0.3">
      <c r="A4578" t="s">
        <v>4635</v>
      </c>
      <c r="B4578">
        <f>IF(ISNUMBER(SEARCH(Form!$C$11,Tabel2[[#This Row],[Coordinate Projection System]])),MAX($B$1:B4577)+1,0)</f>
        <v>4577</v>
      </c>
      <c r="C4578" t="str">
        <f t="shared" si="71"/>
        <v>Tokyo / Japan Plane Rectangular CS XVI</v>
      </c>
    </row>
    <row r="4579" spans="1:3" x14ac:dyDescent="0.3">
      <c r="A4579" t="s">
        <v>4636</v>
      </c>
      <c r="B4579">
        <f>IF(ISNUMBER(SEARCH(Form!$C$11,Tabel2[[#This Row],[Coordinate Projection System]])),MAX($B$1:B4578)+1,0)</f>
        <v>4578</v>
      </c>
      <c r="C4579" t="str">
        <f t="shared" si="71"/>
        <v>Tokyo / Japan Plane Rectangular CS XVII</v>
      </c>
    </row>
    <row r="4580" spans="1:3" x14ac:dyDescent="0.3">
      <c r="A4580" t="s">
        <v>4637</v>
      </c>
      <c r="B4580">
        <f>IF(ISNUMBER(SEARCH(Form!$C$11,Tabel2[[#This Row],[Coordinate Projection System]])),MAX($B$1:B4579)+1,0)</f>
        <v>4579</v>
      </c>
      <c r="C4580" t="str">
        <f t="shared" si="71"/>
        <v>Tokyo / Japan Plane Rectangular CS XVIII</v>
      </c>
    </row>
    <row r="4581" spans="1:3" x14ac:dyDescent="0.3">
      <c r="A4581" t="s">
        <v>4638</v>
      </c>
      <c r="B4581">
        <f>IF(ISNUMBER(SEARCH(Form!$C$11,Tabel2[[#This Row],[Coordinate Projection System]])),MAX($B$1:B4580)+1,0)</f>
        <v>4580</v>
      </c>
      <c r="C4581" t="str">
        <f t="shared" si="71"/>
        <v>Tokyo / Japan Plane Rectangular CS XIX</v>
      </c>
    </row>
    <row r="4582" spans="1:3" x14ac:dyDescent="0.3">
      <c r="A4582" t="s">
        <v>4639</v>
      </c>
      <c r="B4582">
        <f>IF(ISNUMBER(SEARCH(Form!$C$11,Tabel2[[#This Row],[Coordinate Projection System]])),MAX($B$1:B4581)+1,0)</f>
        <v>4581</v>
      </c>
      <c r="C4582" t="str">
        <f t="shared" si="71"/>
        <v>Trinidad 1903 / Trinidad Grid</v>
      </c>
    </row>
    <row r="4583" spans="1:3" x14ac:dyDescent="0.3">
      <c r="A4583" t="s">
        <v>4640</v>
      </c>
      <c r="B4583">
        <f>IF(ISNUMBER(SEARCH(Form!$C$11,Tabel2[[#This Row],[Coordinate Projection System]])),MAX($B$1:B4582)+1,0)</f>
        <v>4582</v>
      </c>
      <c r="C4583" t="str">
        <f t="shared" si="71"/>
        <v>TC(1948) / UTM zone 39N</v>
      </c>
    </row>
    <row r="4584" spans="1:3" x14ac:dyDescent="0.3">
      <c r="A4584" t="s">
        <v>4641</v>
      </c>
      <c r="B4584">
        <f>IF(ISNUMBER(SEARCH(Form!$C$11,Tabel2[[#This Row],[Coordinate Projection System]])),MAX($B$1:B4583)+1,0)</f>
        <v>4583</v>
      </c>
      <c r="C4584" t="str">
        <f t="shared" si="71"/>
        <v>TC(1948) / UTM zone 40N</v>
      </c>
    </row>
    <row r="4585" spans="1:3" x14ac:dyDescent="0.3">
      <c r="A4585" t="s">
        <v>4642</v>
      </c>
      <c r="B4585">
        <f>IF(ISNUMBER(SEARCH(Form!$C$11,Tabel2[[#This Row],[Coordinate Projection System]])),MAX($B$1:B4584)+1,0)</f>
        <v>4584</v>
      </c>
      <c r="C4585" t="str">
        <f t="shared" si="71"/>
        <v>Voirol 1875 / Nord Algerie (ancienne)</v>
      </c>
    </row>
    <row r="4586" spans="1:3" x14ac:dyDescent="0.3">
      <c r="A4586" t="s">
        <v>4643</v>
      </c>
      <c r="B4586">
        <f>IF(ISNUMBER(SEARCH(Form!$C$11,Tabel2[[#This Row],[Coordinate Projection System]])),MAX($B$1:B4585)+1,0)</f>
        <v>4585</v>
      </c>
      <c r="C4586" t="str">
        <f t="shared" si="71"/>
        <v>Voirol 1875 / Sud Algerie (ancienne)</v>
      </c>
    </row>
    <row r="4587" spans="1:3" x14ac:dyDescent="0.3">
      <c r="A4587" t="s">
        <v>4644</v>
      </c>
      <c r="B4587">
        <f>IF(ISNUMBER(SEARCH(Form!$C$11,Tabel2[[#This Row],[Coordinate Projection System]])),MAX($B$1:B4586)+1,0)</f>
        <v>4586</v>
      </c>
      <c r="C4587" t="str">
        <f t="shared" si="71"/>
        <v>Voirol 1879 / Nord Algerie (ancienne)</v>
      </c>
    </row>
    <row r="4588" spans="1:3" x14ac:dyDescent="0.3">
      <c r="A4588" t="s">
        <v>4645</v>
      </c>
      <c r="B4588">
        <f>IF(ISNUMBER(SEARCH(Form!$C$11,Tabel2[[#This Row],[Coordinate Projection System]])),MAX($B$1:B4587)+1,0)</f>
        <v>4587</v>
      </c>
      <c r="C4588" t="str">
        <f t="shared" si="71"/>
        <v>Voirol 1879 / Sud Algerie (ancienne)</v>
      </c>
    </row>
    <row r="4589" spans="1:3" x14ac:dyDescent="0.3">
      <c r="A4589" t="s">
        <v>4646</v>
      </c>
      <c r="B4589">
        <f>IF(ISNUMBER(SEARCH(Form!$C$11,Tabel2[[#This Row],[Coordinate Projection System]])),MAX($B$1:B4588)+1,0)</f>
        <v>4588</v>
      </c>
      <c r="C4589" t="str">
        <f t="shared" si="71"/>
        <v>Nord Sahara 1959 / UTM zone 29N</v>
      </c>
    </row>
    <row r="4590" spans="1:3" x14ac:dyDescent="0.3">
      <c r="A4590" t="s">
        <v>4647</v>
      </c>
      <c r="B4590">
        <f>IF(ISNUMBER(SEARCH(Form!$C$11,Tabel2[[#This Row],[Coordinate Projection System]])),MAX($B$1:B4589)+1,0)</f>
        <v>4589</v>
      </c>
      <c r="C4590" t="str">
        <f t="shared" si="71"/>
        <v>Nord Sahara 1959 / UTM zone 30N</v>
      </c>
    </row>
    <row r="4591" spans="1:3" x14ac:dyDescent="0.3">
      <c r="A4591" t="s">
        <v>4648</v>
      </c>
      <c r="B4591">
        <f>IF(ISNUMBER(SEARCH(Form!$C$11,Tabel2[[#This Row],[Coordinate Projection System]])),MAX($B$1:B4590)+1,0)</f>
        <v>4590</v>
      </c>
      <c r="C4591" t="str">
        <f t="shared" si="71"/>
        <v>Nord Sahara 1959 / UTM zone 31N</v>
      </c>
    </row>
    <row r="4592" spans="1:3" x14ac:dyDescent="0.3">
      <c r="A4592" t="s">
        <v>4649</v>
      </c>
      <c r="B4592">
        <f>IF(ISNUMBER(SEARCH(Form!$C$11,Tabel2[[#This Row],[Coordinate Projection System]])),MAX($B$1:B4591)+1,0)</f>
        <v>4591</v>
      </c>
      <c r="C4592" t="str">
        <f t="shared" si="71"/>
        <v>Nord Sahara 1959 / UTM zone 32N</v>
      </c>
    </row>
    <row r="4593" spans="1:3" x14ac:dyDescent="0.3">
      <c r="A4593" t="s">
        <v>4650</v>
      </c>
      <c r="B4593">
        <f>IF(ISNUMBER(SEARCH(Form!$C$11,Tabel2[[#This Row],[Coordinate Projection System]])),MAX($B$1:B4592)+1,0)</f>
        <v>4592</v>
      </c>
      <c r="C4593" t="str">
        <f t="shared" si="71"/>
        <v>Nord Sahara 1959 / Nord Algerie</v>
      </c>
    </row>
    <row r="4594" spans="1:3" x14ac:dyDescent="0.3">
      <c r="A4594" t="s">
        <v>4651</v>
      </c>
      <c r="B4594">
        <f>IF(ISNUMBER(SEARCH(Form!$C$11,Tabel2[[#This Row],[Coordinate Projection System]])),MAX($B$1:B4593)+1,0)</f>
        <v>4593</v>
      </c>
      <c r="C4594" t="str">
        <f t="shared" si="71"/>
        <v>Nord Sahara 1959 / Sud Algerie</v>
      </c>
    </row>
    <row r="4595" spans="1:3" x14ac:dyDescent="0.3">
      <c r="A4595" t="s">
        <v>4652</v>
      </c>
      <c r="B4595">
        <f>IF(ISNUMBER(SEARCH(Form!$C$11,Tabel2[[#This Row],[Coordinate Projection System]])),MAX($B$1:B4594)+1,0)</f>
        <v>4594</v>
      </c>
      <c r="C4595" t="str">
        <f t="shared" si="71"/>
        <v>RT38 2.5 gon W (deprecated)</v>
      </c>
    </row>
    <row r="4596" spans="1:3" x14ac:dyDescent="0.3">
      <c r="A4596" t="s">
        <v>4653</v>
      </c>
      <c r="B4596">
        <f>IF(ISNUMBER(SEARCH(Form!$C$11,Tabel2[[#This Row],[Coordinate Projection System]])),MAX($B$1:B4595)+1,0)</f>
        <v>4595</v>
      </c>
      <c r="C4596" t="str">
        <f t="shared" si="71"/>
        <v>Yoff / UTM zone 28N</v>
      </c>
    </row>
    <row r="4597" spans="1:3" x14ac:dyDescent="0.3">
      <c r="A4597" t="s">
        <v>4654</v>
      </c>
      <c r="B4597">
        <f>IF(ISNUMBER(SEARCH(Form!$C$11,Tabel2[[#This Row],[Coordinate Projection System]])),MAX($B$1:B4596)+1,0)</f>
        <v>4596</v>
      </c>
      <c r="C4597" t="str">
        <f t="shared" si="71"/>
        <v>Zanderij / UTM zone 21N</v>
      </c>
    </row>
    <row r="4598" spans="1:3" x14ac:dyDescent="0.3">
      <c r="A4598" t="s">
        <v>4655</v>
      </c>
      <c r="B4598">
        <f>IF(ISNUMBER(SEARCH(Form!$C$11,Tabel2[[#This Row],[Coordinate Projection System]])),MAX($B$1:B4597)+1,0)</f>
        <v>4597</v>
      </c>
      <c r="C4598" t="str">
        <f t="shared" si="71"/>
        <v>Zanderij / TM 54 NW</v>
      </c>
    </row>
    <row r="4599" spans="1:3" x14ac:dyDescent="0.3">
      <c r="A4599" t="s">
        <v>4656</v>
      </c>
      <c r="B4599">
        <f>IF(ISNUMBER(SEARCH(Form!$C$11,Tabel2[[#This Row],[Coordinate Projection System]])),MAX($B$1:B4598)+1,0)</f>
        <v>4598</v>
      </c>
      <c r="C4599" t="str">
        <f t="shared" si="71"/>
        <v>Zanderij / Suriname Old TM</v>
      </c>
    </row>
    <row r="4600" spans="1:3" x14ac:dyDescent="0.3">
      <c r="A4600" t="s">
        <v>4657</v>
      </c>
      <c r="B4600">
        <f>IF(ISNUMBER(SEARCH(Form!$C$11,Tabel2[[#This Row],[Coordinate Projection System]])),MAX($B$1:B4599)+1,0)</f>
        <v>4599</v>
      </c>
      <c r="C4600" t="str">
        <f t="shared" si="71"/>
        <v>Zanderij / Suriname TM</v>
      </c>
    </row>
    <row r="4601" spans="1:3" x14ac:dyDescent="0.3">
      <c r="A4601" t="s">
        <v>4658</v>
      </c>
      <c r="B4601">
        <f>IF(ISNUMBER(SEARCH(Form!$C$11,Tabel2[[#This Row],[Coordinate Projection System]])),MAX($B$1:B4600)+1,0)</f>
        <v>4600</v>
      </c>
      <c r="C4601" t="str">
        <f t="shared" si="71"/>
        <v>MGI (Ferro) / Austria GK West Zone</v>
      </c>
    </row>
    <row r="4602" spans="1:3" x14ac:dyDescent="0.3">
      <c r="A4602" t="s">
        <v>4659</v>
      </c>
      <c r="B4602">
        <f>IF(ISNUMBER(SEARCH(Form!$C$11,Tabel2[[#This Row],[Coordinate Projection System]])),MAX($B$1:B4601)+1,0)</f>
        <v>4601</v>
      </c>
      <c r="C4602" t="str">
        <f t="shared" si="71"/>
        <v>MGI (Ferro) / Austria GK Central Zone</v>
      </c>
    </row>
    <row r="4603" spans="1:3" x14ac:dyDescent="0.3">
      <c r="A4603" t="s">
        <v>4660</v>
      </c>
      <c r="B4603">
        <f>IF(ISNUMBER(SEARCH(Form!$C$11,Tabel2[[#This Row],[Coordinate Projection System]])),MAX($B$1:B4602)+1,0)</f>
        <v>4602</v>
      </c>
      <c r="C4603" t="str">
        <f t="shared" si="71"/>
        <v>MGI (Ferro) / Austria GK East Zone</v>
      </c>
    </row>
    <row r="4604" spans="1:3" x14ac:dyDescent="0.3">
      <c r="A4604" t="s">
        <v>4661</v>
      </c>
      <c r="B4604">
        <f>IF(ISNUMBER(SEARCH(Form!$C$11,Tabel2[[#This Row],[Coordinate Projection System]])),MAX($B$1:B4603)+1,0)</f>
        <v>4603</v>
      </c>
      <c r="C4604" t="str">
        <f t="shared" si="71"/>
        <v>MGI / Austria GK West</v>
      </c>
    </row>
    <row r="4605" spans="1:3" x14ac:dyDescent="0.3">
      <c r="A4605" t="s">
        <v>4662</v>
      </c>
      <c r="B4605">
        <f>IF(ISNUMBER(SEARCH(Form!$C$11,Tabel2[[#This Row],[Coordinate Projection System]])),MAX($B$1:B4604)+1,0)</f>
        <v>4604</v>
      </c>
      <c r="C4605" t="str">
        <f t="shared" si="71"/>
        <v>MGI / Austria GK Central</v>
      </c>
    </row>
    <row r="4606" spans="1:3" x14ac:dyDescent="0.3">
      <c r="A4606" t="s">
        <v>4663</v>
      </c>
      <c r="B4606">
        <f>IF(ISNUMBER(SEARCH(Form!$C$11,Tabel2[[#This Row],[Coordinate Projection System]])),MAX($B$1:B4605)+1,0)</f>
        <v>4605</v>
      </c>
      <c r="C4606" t="str">
        <f t="shared" si="71"/>
        <v>MGI / Austria GK East</v>
      </c>
    </row>
    <row r="4607" spans="1:3" x14ac:dyDescent="0.3">
      <c r="A4607" t="s">
        <v>4664</v>
      </c>
      <c r="B4607">
        <f>IF(ISNUMBER(SEARCH(Form!$C$11,Tabel2[[#This Row],[Coordinate Projection System]])),MAX($B$1:B4606)+1,0)</f>
        <v>4606</v>
      </c>
      <c r="C4607" t="str">
        <f t="shared" si="71"/>
        <v>MGI / Austria GK M28</v>
      </c>
    </row>
    <row r="4608" spans="1:3" x14ac:dyDescent="0.3">
      <c r="A4608" t="s">
        <v>4665</v>
      </c>
      <c r="B4608">
        <f>IF(ISNUMBER(SEARCH(Form!$C$11,Tabel2[[#This Row],[Coordinate Projection System]])),MAX($B$1:B4607)+1,0)</f>
        <v>4607</v>
      </c>
      <c r="C4608" t="str">
        <f t="shared" si="71"/>
        <v>MGI / Austria GK M31</v>
      </c>
    </row>
    <row r="4609" spans="1:3" x14ac:dyDescent="0.3">
      <c r="A4609" t="s">
        <v>4666</v>
      </c>
      <c r="B4609">
        <f>IF(ISNUMBER(SEARCH(Form!$C$11,Tabel2[[#This Row],[Coordinate Projection System]])),MAX($B$1:B4608)+1,0)</f>
        <v>4608</v>
      </c>
      <c r="C4609" t="str">
        <f t="shared" si="71"/>
        <v>MGI / Austria GK M34</v>
      </c>
    </row>
    <row r="4610" spans="1:3" x14ac:dyDescent="0.3">
      <c r="A4610" t="s">
        <v>4667</v>
      </c>
      <c r="B4610">
        <f>IF(ISNUMBER(SEARCH(Form!$C$11,Tabel2[[#This Row],[Coordinate Projection System]])),MAX($B$1:B4609)+1,0)</f>
        <v>4609</v>
      </c>
      <c r="C4610" t="str">
        <f t="shared" si="71"/>
        <v>MGI / 3-degree Gauss zone 5 (deprecated)</v>
      </c>
    </row>
    <row r="4611" spans="1:3" x14ac:dyDescent="0.3">
      <c r="A4611" t="s">
        <v>4668</v>
      </c>
      <c r="B4611">
        <f>IF(ISNUMBER(SEARCH(Form!$C$11,Tabel2[[#This Row],[Coordinate Projection System]])),MAX($B$1:B4610)+1,0)</f>
        <v>4610</v>
      </c>
      <c r="C4611" t="str">
        <f t="shared" ref="C4611:C4674" si="72">_xlfn.IFNA(INDEX(A4611:A10122,MATCH(ROW(C4610),B4611:B10122,0)),"")</f>
        <v>MGI / 3-degree Gauss zone 6 (deprecated)</v>
      </c>
    </row>
    <row r="4612" spans="1:3" x14ac:dyDescent="0.3">
      <c r="A4612" t="s">
        <v>4669</v>
      </c>
      <c r="B4612">
        <f>IF(ISNUMBER(SEARCH(Form!$C$11,Tabel2[[#This Row],[Coordinate Projection System]])),MAX($B$1:B4611)+1,0)</f>
        <v>4611</v>
      </c>
      <c r="C4612" t="str">
        <f t="shared" si="72"/>
        <v>MGI / 3-degree Gauss zone 7 (deprecated)</v>
      </c>
    </row>
    <row r="4613" spans="1:3" x14ac:dyDescent="0.3">
      <c r="A4613" t="s">
        <v>4670</v>
      </c>
      <c r="B4613">
        <f>IF(ISNUMBER(SEARCH(Form!$C$11,Tabel2[[#This Row],[Coordinate Projection System]])),MAX($B$1:B4612)+1,0)</f>
        <v>4612</v>
      </c>
      <c r="C4613" t="str">
        <f t="shared" si="72"/>
        <v>MGI / 3-degree Gauss zone 8 (deprecated)</v>
      </c>
    </row>
    <row r="4614" spans="1:3" x14ac:dyDescent="0.3">
      <c r="A4614" t="s">
        <v>4671</v>
      </c>
      <c r="B4614">
        <f>IF(ISNUMBER(SEARCH(Form!$C$11,Tabel2[[#This Row],[Coordinate Projection System]])),MAX($B$1:B4613)+1,0)</f>
        <v>4613</v>
      </c>
      <c r="C4614" t="str">
        <f t="shared" si="72"/>
        <v>MGI / Balkans zone 5 (deprecated)</v>
      </c>
    </row>
    <row r="4615" spans="1:3" x14ac:dyDescent="0.3">
      <c r="A4615" t="s">
        <v>4672</v>
      </c>
      <c r="B4615">
        <f>IF(ISNUMBER(SEARCH(Form!$C$11,Tabel2[[#This Row],[Coordinate Projection System]])),MAX($B$1:B4614)+1,0)</f>
        <v>4614</v>
      </c>
      <c r="C4615" t="str">
        <f t="shared" si="72"/>
        <v>MGI / Balkans zone 6 (deprecated)</v>
      </c>
    </row>
    <row r="4616" spans="1:3" x14ac:dyDescent="0.3">
      <c r="A4616" t="s">
        <v>4673</v>
      </c>
      <c r="B4616">
        <f>IF(ISNUMBER(SEARCH(Form!$C$11,Tabel2[[#This Row],[Coordinate Projection System]])),MAX($B$1:B4615)+1,0)</f>
        <v>4615</v>
      </c>
      <c r="C4616" t="str">
        <f t="shared" si="72"/>
        <v>MGI / Balkans zone 7 (deprecated)</v>
      </c>
    </row>
    <row r="4617" spans="1:3" x14ac:dyDescent="0.3">
      <c r="A4617" t="s">
        <v>4674</v>
      </c>
      <c r="B4617">
        <f>IF(ISNUMBER(SEARCH(Form!$C$11,Tabel2[[#This Row],[Coordinate Projection System]])),MAX($B$1:B4616)+1,0)</f>
        <v>4616</v>
      </c>
      <c r="C4617" t="str">
        <f t="shared" si="72"/>
        <v>MGI / Balkans zone 8 (deprecated)</v>
      </c>
    </row>
    <row r="4618" spans="1:3" x14ac:dyDescent="0.3">
      <c r="A4618" t="s">
        <v>4674</v>
      </c>
      <c r="B4618">
        <f>IF(ISNUMBER(SEARCH(Form!$C$11,Tabel2[[#This Row],[Coordinate Projection System]])),MAX($B$1:B4617)+1,0)</f>
        <v>4617</v>
      </c>
      <c r="C4618" t="str">
        <f t="shared" si="72"/>
        <v>MGI / Balkans zone 8 (deprecated)</v>
      </c>
    </row>
    <row r="4619" spans="1:3" x14ac:dyDescent="0.3">
      <c r="A4619" t="s">
        <v>4675</v>
      </c>
      <c r="B4619">
        <f>IF(ISNUMBER(SEARCH(Form!$C$11,Tabel2[[#This Row],[Coordinate Projection System]])),MAX($B$1:B4618)+1,0)</f>
        <v>4618</v>
      </c>
      <c r="C4619" t="str">
        <f t="shared" si="72"/>
        <v>MGI (Ferro) / Austria West Zone</v>
      </c>
    </row>
    <row r="4620" spans="1:3" x14ac:dyDescent="0.3">
      <c r="A4620" t="s">
        <v>4676</v>
      </c>
      <c r="B4620">
        <f>IF(ISNUMBER(SEARCH(Form!$C$11,Tabel2[[#This Row],[Coordinate Projection System]])),MAX($B$1:B4619)+1,0)</f>
        <v>4619</v>
      </c>
      <c r="C4620" t="str">
        <f t="shared" si="72"/>
        <v>MGI (Ferro) / Austria Central Zone</v>
      </c>
    </row>
    <row r="4621" spans="1:3" x14ac:dyDescent="0.3">
      <c r="A4621" t="s">
        <v>4677</v>
      </c>
      <c r="B4621">
        <f>IF(ISNUMBER(SEARCH(Form!$C$11,Tabel2[[#This Row],[Coordinate Projection System]])),MAX($B$1:B4620)+1,0)</f>
        <v>4620</v>
      </c>
      <c r="C4621" t="str">
        <f t="shared" si="72"/>
        <v>MGI (Ferro) / Austria East Zone</v>
      </c>
    </row>
    <row r="4622" spans="1:3" x14ac:dyDescent="0.3">
      <c r="A4622" t="s">
        <v>4678</v>
      </c>
      <c r="B4622">
        <f>IF(ISNUMBER(SEARCH(Form!$C$11,Tabel2[[#This Row],[Coordinate Projection System]])),MAX($B$1:B4621)+1,0)</f>
        <v>4621</v>
      </c>
      <c r="C4622" t="str">
        <f t="shared" si="72"/>
        <v>MGI / Austria M28</v>
      </c>
    </row>
    <row r="4623" spans="1:3" x14ac:dyDescent="0.3">
      <c r="A4623" t="s">
        <v>4679</v>
      </c>
      <c r="B4623">
        <f>IF(ISNUMBER(SEARCH(Form!$C$11,Tabel2[[#This Row],[Coordinate Projection System]])),MAX($B$1:B4622)+1,0)</f>
        <v>4622</v>
      </c>
      <c r="C4623" t="str">
        <f t="shared" si="72"/>
        <v>MGI / Austria M31</v>
      </c>
    </row>
    <row r="4624" spans="1:3" x14ac:dyDescent="0.3">
      <c r="A4624" t="s">
        <v>4680</v>
      </c>
      <c r="B4624">
        <f>IF(ISNUMBER(SEARCH(Form!$C$11,Tabel2[[#This Row],[Coordinate Projection System]])),MAX($B$1:B4623)+1,0)</f>
        <v>4623</v>
      </c>
      <c r="C4624" t="str">
        <f t="shared" si="72"/>
        <v>MGI / Austria M34</v>
      </c>
    </row>
    <row r="4625" spans="1:3" x14ac:dyDescent="0.3">
      <c r="A4625" t="s">
        <v>4681</v>
      </c>
      <c r="B4625">
        <f>IF(ISNUMBER(SEARCH(Form!$C$11,Tabel2[[#This Row],[Coordinate Projection System]])),MAX($B$1:B4624)+1,0)</f>
        <v>4624</v>
      </c>
      <c r="C4625" t="str">
        <f t="shared" si="72"/>
        <v>MGI / Austria Lambert</v>
      </c>
    </row>
    <row r="4626" spans="1:3" x14ac:dyDescent="0.3">
      <c r="A4626" t="s">
        <v>4682</v>
      </c>
      <c r="B4626">
        <f>IF(ISNUMBER(SEARCH(Form!$C$11,Tabel2[[#This Row],[Coordinate Projection System]])),MAX($B$1:B4625)+1,0)</f>
        <v>4625</v>
      </c>
      <c r="C4626" t="str">
        <f t="shared" si="72"/>
        <v>MGI (Ferro) / M28</v>
      </c>
    </row>
    <row r="4627" spans="1:3" x14ac:dyDescent="0.3">
      <c r="A4627" t="s">
        <v>4683</v>
      </c>
      <c r="B4627">
        <f>IF(ISNUMBER(SEARCH(Form!$C$11,Tabel2[[#This Row],[Coordinate Projection System]])),MAX($B$1:B4626)+1,0)</f>
        <v>4626</v>
      </c>
      <c r="C4627" t="str">
        <f t="shared" si="72"/>
        <v>MGI (Ferro) / M31</v>
      </c>
    </row>
    <row r="4628" spans="1:3" x14ac:dyDescent="0.3">
      <c r="A4628" t="s">
        <v>4684</v>
      </c>
      <c r="B4628">
        <f>IF(ISNUMBER(SEARCH(Form!$C$11,Tabel2[[#This Row],[Coordinate Projection System]])),MAX($B$1:B4627)+1,0)</f>
        <v>4627</v>
      </c>
      <c r="C4628" t="str">
        <f t="shared" si="72"/>
        <v>MGI (Ferro) / M34</v>
      </c>
    </row>
    <row r="4629" spans="1:3" x14ac:dyDescent="0.3">
      <c r="A4629" t="s">
        <v>4685</v>
      </c>
      <c r="B4629">
        <f>IF(ISNUMBER(SEARCH(Form!$C$11,Tabel2[[#This Row],[Coordinate Projection System]])),MAX($B$1:B4628)+1,0)</f>
        <v>4628</v>
      </c>
      <c r="C4629" t="str">
        <f t="shared" si="72"/>
        <v>MGI (Ferro) / Austria West Zone (deprecated)</v>
      </c>
    </row>
    <row r="4630" spans="1:3" x14ac:dyDescent="0.3">
      <c r="A4630" t="s">
        <v>4686</v>
      </c>
      <c r="B4630">
        <f>IF(ISNUMBER(SEARCH(Form!$C$11,Tabel2[[#This Row],[Coordinate Projection System]])),MAX($B$1:B4629)+1,0)</f>
        <v>4629</v>
      </c>
      <c r="C4630" t="str">
        <f t="shared" si="72"/>
        <v>MGI (Ferro) / Austria Central Zone (deprecated)</v>
      </c>
    </row>
    <row r="4631" spans="1:3" x14ac:dyDescent="0.3">
      <c r="A4631" t="s">
        <v>4687</v>
      </c>
      <c r="B4631">
        <f>IF(ISNUMBER(SEARCH(Form!$C$11,Tabel2[[#This Row],[Coordinate Projection System]])),MAX($B$1:B4630)+1,0)</f>
        <v>4630</v>
      </c>
      <c r="C4631" t="str">
        <f t="shared" si="72"/>
        <v>MGI (Ferro) / Austria East Zone (deprecated)</v>
      </c>
    </row>
    <row r="4632" spans="1:3" x14ac:dyDescent="0.3">
      <c r="A4632" t="s">
        <v>4688</v>
      </c>
      <c r="B4632">
        <f>IF(ISNUMBER(SEARCH(Form!$C$11,Tabel2[[#This Row],[Coordinate Projection System]])),MAX($B$1:B4631)+1,0)</f>
        <v>4631</v>
      </c>
      <c r="C4632" t="str">
        <f t="shared" si="72"/>
        <v>MGI / M28 (deprecated)</v>
      </c>
    </row>
    <row r="4633" spans="1:3" x14ac:dyDescent="0.3">
      <c r="A4633" t="s">
        <v>4689</v>
      </c>
      <c r="B4633">
        <f>IF(ISNUMBER(SEARCH(Form!$C$11,Tabel2[[#This Row],[Coordinate Projection System]])),MAX($B$1:B4632)+1,0)</f>
        <v>4632</v>
      </c>
      <c r="C4633" t="str">
        <f t="shared" si="72"/>
        <v>MGI / M31 (deprecated)</v>
      </c>
    </row>
    <row r="4634" spans="1:3" x14ac:dyDescent="0.3">
      <c r="A4634" t="s">
        <v>4690</v>
      </c>
      <c r="B4634">
        <f>IF(ISNUMBER(SEARCH(Form!$C$11,Tabel2[[#This Row],[Coordinate Projection System]])),MAX($B$1:B4633)+1,0)</f>
        <v>4633</v>
      </c>
      <c r="C4634" t="str">
        <f t="shared" si="72"/>
        <v>MGI / M34 (deprecated)</v>
      </c>
    </row>
    <row r="4635" spans="1:3" x14ac:dyDescent="0.3">
      <c r="A4635" t="s">
        <v>4691</v>
      </c>
      <c r="B4635">
        <f>IF(ISNUMBER(SEARCH(Form!$C$11,Tabel2[[#This Row],[Coordinate Projection System]])),MAX($B$1:B4634)+1,0)</f>
        <v>4634</v>
      </c>
      <c r="C4635" t="str">
        <f t="shared" si="72"/>
        <v>MGI / Austria Lambert (deprecated)</v>
      </c>
    </row>
    <row r="4636" spans="1:3" x14ac:dyDescent="0.3">
      <c r="A4636" t="s">
        <v>4692</v>
      </c>
      <c r="B4636">
        <f>IF(ISNUMBER(SEARCH(Form!$C$11,Tabel2[[#This Row],[Coordinate Projection System]])),MAX($B$1:B4635)+1,0)</f>
        <v>4635</v>
      </c>
      <c r="C4636" t="str">
        <f t="shared" si="72"/>
        <v>Belge 1972 / Belge Lambert 72</v>
      </c>
    </row>
    <row r="4637" spans="1:3" x14ac:dyDescent="0.3">
      <c r="A4637" t="s">
        <v>4693</v>
      </c>
      <c r="B4637">
        <f>IF(ISNUMBER(SEARCH(Form!$C$11,Tabel2[[#This Row],[Coordinate Projection System]])),MAX($B$1:B4636)+1,0)</f>
        <v>4636</v>
      </c>
      <c r="C4637" t="str">
        <f t="shared" si="72"/>
        <v>Belge 1972 / Belgian Lambert 72</v>
      </c>
    </row>
    <row r="4638" spans="1:3" x14ac:dyDescent="0.3">
      <c r="A4638" t="s">
        <v>4694</v>
      </c>
      <c r="B4638">
        <f>IF(ISNUMBER(SEARCH(Form!$C$11,Tabel2[[#This Row],[Coordinate Projection System]])),MAX($B$1:B4637)+1,0)</f>
        <v>4637</v>
      </c>
      <c r="C4638" t="str">
        <f t="shared" si="72"/>
        <v>DHDN / 3-degree Gauss zone 1 (deprecated)</v>
      </c>
    </row>
    <row r="4639" spans="1:3" x14ac:dyDescent="0.3">
      <c r="A4639" t="s">
        <v>4695</v>
      </c>
      <c r="B4639">
        <f>IF(ISNUMBER(SEARCH(Form!$C$11,Tabel2[[#This Row],[Coordinate Projection System]])),MAX($B$1:B4638)+1,0)</f>
        <v>4638</v>
      </c>
      <c r="C4639" t="str">
        <f t="shared" si="72"/>
        <v>DHDN / 3-degree Gauss zone 2 (deprecated)</v>
      </c>
    </row>
    <row r="4640" spans="1:3" x14ac:dyDescent="0.3">
      <c r="A4640" t="s">
        <v>4696</v>
      </c>
      <c r="B4640">
        <f>IF(ISNUMBER(SEARCH(Form!$C$11,Tabel2[[#This Row],[Coordinate Projection System]])),MAX($B$1:B4639)+1,0)</f>
        <v>4639</v>
      </c>
      <c r="C4640" t="str">
        <f t="shared" si="72"/>
        <v>DHDN / 3-degree Gauss zone 3 (deprecated)</v>
      </c>
    </row>
    <row r="4641" spans="1:3" x14ac:dyDescent="0.3">
      <c r="A4641" t="s">
        <v>4697</v>
      </c>
      <c r="B4641">
        <f>IF(ISNUMBER(SEARCH(Form!$C$11,Tabel2[[#This Row],[Coordinate Projection System]])),MAX($B$1:B4640)+1,0)</f>
        <v>4640</v>
      </c>
      <c r="C4641" t="str">
        <f t="shared" si="72"/>
        <v>DHDN / 3-degree Gauss zone 4 (deprecated)</v>
      </c>
    </row>
    <row r="4642" spans="1:3" x14ac:dyDescent="0.3">
      <c r="A4642" t="s">
        <v>4698</v>
      </c>
      <c r="B4642">
        <f>IF(ISNUMBER(SEARCH(Form!$C$11,Tabel2[[#This Row],[Coordinate Projection System]])),MAX($B$1:B4641)+1,0)</f>
        <v>4641</v>
      </c>
      <c r="C4642" t="str">
        <f t="shared" si="72"/>
        <v>DHDN / 3-degree Gauss zone 5 (deprecated)</v>
      </c>
    </row>
    <row r="4643" spans="1:3" x14ac:dyDescent="0.3">
      <c r="A4643" t="s">
        <v>4699</v>
      </c>
      <c r="B4643">
        <f>IF(ISNUMBER(SEARCH(Form!$C$11,Tabel2[[#This Row],[Coordinate Projection System]])),MAX($B$1:B4642)+1,0)</f>
        <v>4642</v>
      </c>
      <c r="C4643" t="str">
        <f t="shared" si="72"/>
        <v>DHDN / 3-degree Gauss-Kruger zone 2</v>
      </c>
    </row>
    <row r="4644" spans="1:3" x14ac:dyDescent="0.3">
      <c r="A4644" t="s">
        <v>4700</v>
      </c>
      <c r="B4644">
        <f>IF(ISNUMBER(SEARCH(Form!$C$11,Tabel2[[#This Row],[Coordinate Projection System]])),MAX($B$1:B4643)+1,0)</f>
        <v>4643</v>
      </c>
      <c r="C4644" t="str">
        <f t="shared" si="72"/>
        <v>DHDN / 3-degree Gauss-Kruger zone 3</v>
      </c>
    </row>
    <row r="4645" spans="1:3" x14ac:dyDescent="0.3">
      <c r="A4645" t="s">
        <v>4701</v>
      </c>
      <c r="B4645">
        <f>IF(ISNUMBER(SEARCH(Form!$C$11,Tabel2[[#This Row],[Coordinate Projection System]])),MAX($B$1:B4644)+1,0)</f>
        <v>4644</v>
      </c>
      <c r="C4645" t="str">
        <f t="shared" si="72"/>
        <v>DHDN / 3-degree Gauss-Kruger zone 4</v>
      </c>
    </row>
    <row r="4646" spans="1:3" x14ac:dyDescent="0.3">
      <c r="A4646" t="s">
        <v>4702</v>
      </c>
      <c r="B4646">
        <f>IF(ISNUMBER(SEARCH(Form!$C$11,Tabel2[[#This Row],[Coordinate Projection System]])),MAX($B$1:B4645)+1,0)</f>
        <v>4645</v>
      </c>
      <c r="C4646" t="str">
        <f t="shared" si="72"/>
        <v>DHDN / 3-degree Gauss-Kruger zone 5</v>
      </c>
    </row>
    <row r="4647" spans="1:3" x14ac:dyDescent="0.3">
      <c r="A4647" t="s">
        <v>4703</v>
      </c>
      <c r="B4647">
        <f>IF(ISNUMBER(SEARCH(Form!$C$11,Tabel2[[#This Row],[Coordinate Projection System]])),MAX($B$1:B4646)+1,0)</f>
        <v>4646</v>
      </c>
      <c r="C4647" t="str">
        <f t="shared" si="72"/>
        <v>Conakry 1905 / UTM zone 28N</v>
      </c>
    </row>
    <row r="4648" spans="1:3" x14ac:dyDescent="0.3">
      <c r="A4648" t="s">
        <v>4704</v>
      </c>
      <c r="B4648">
        <f>IF(ISNUMBER(SEARCH(Form!$C$11,Tabel2[[#This Row],[Coordinate Projection System]])),MAX($B$1:B4647)+1,0)</f>
        <v>4647</v>
      </c>
      <c r="C4648" t="str">
        <f t="shared" si="72"/>
        <v>Conakry 1905 / UTM zone 29N</v>
      </c>
    </row>
    <row r="4649" spans="1:3" x14ac:dyDescent="0.3">
      <c r="A4649" t="s">
        <v>4705</v>
      </c>
      <c r="B4649">
        <f>IF(ISNUMBER(SEARCH(Form!$C$11,Tabel2[[#This Row],[Coordinate Projection System]])),MAX($B$1:B4648)+1,0)</f>
        <v>4648</v>
      </c>
      <c r="C4649" t="str">
        <f t="shared" si="72"/>
        <v>Dealul Piscului 1930 / Stereo 33</v>
      </c>
    </row>
    <row r="4650" spans="1:3" x14ac:dyDescent="0.3">
      <c r="A4650" t="s">
        <v>4706</v>
      </c>
      <c r="B4650">
        <f>IF(ISNUMBER(SEARCH(Form!$C$11,Tabel2[[#This Row],[Coordinate Projection System]])),MAX($B$1:B4649)+1,0)</f>
        <v>4649</v>
      </c>
      <c r="C4650" t="str">
        <f t="shared" si="72"/>
        <v>Dealul Piscului 1970/ Stereo 70 (deprecated)</v>
      </c>
    </row>
    <row r="4651" spans="1:3" x14ac:dyDescent="0.3">
      <c r="A4651" t="s">
        <v>4707</v>
      </c>
      <c r="B4651">
        <f>IF(ISNUMBER(SEARCH(Form!$C$11,Tabel2[[#This Row],[Coordinate Projection System]])),MAX($B$1:B4650)+1,0)</f>
        <v>4650</v>
      </c>
      <c r="C4651" t="str">
        <f t="shared" si="72"/>
        <v>NGN / UTM zone 38N</v>
      </c>
    </row>
    <row r="4652" spans="1:3" x14ac:dyDescent="0.3">
      <c r="A4652" t="s">
        <v>4708</v>
      </c>
      <c r="B4652">
        <f>IF(ISNUMBER(SEARCH(Form!$C$11,Tabel2[[#This Row],[Coordinate Projection System]])),MAX($B$1:B4651)+1,0)</f>
        <v>4651</v>
      </c>
      <c r="C4652" t="str">
        <f t="shared" si="72"/>
        <v>NGN / UTM zone 39N</v>
      </c>
    </row>
    <row r="4653" spans="1:3" x14ac:dyDescent="0.3">
      <c r="A4653" t="s">
        <v>4709</v>
      </c>
      <c r="B4653">
        <f>IF(ISNUMBER(SEARCH(Form!$C$11,Tabel2[[#This Row],[Coordinate Projection System]])),MAX($B$1:B4652)+1,0)</f>
        <v>4652</v>
      </c>
      <c r="C4653" t="str">
        <f t="shared" si="72"/>
        <v>KUDAMS / KTM (deprecated)</v>
      </c>
    </row>
    <row r="4654" spans="1:3" x14ac:dyDescent="0.3">
      <c r="A4654" t="s">
        <v>4710</v>
      </c>
      <c r="B4654">
        <f>IF(ISNUMBER(SEARCH(Form!$C$11,Tabel2[[#This Row],[Coordinate Projection System]])),MAX($B$1:B4653)+1,0)</f>
        <v>4653</v>
      </c>
      <c r="C4654" t="str">
        <f t="shared" si="72"/>
        <v>KUDAMS / KTM</v>
      </c>
    </row>
    <row r="4655" spans="1:3" x14ac:dyDescent="0.3">
      <c r="A4655" t="s">
        <v>4711</v>
      </c>
      <c r="B4655">
        <f>IF(ISNUMBER(SEARCH(Form!$C$11,Tabel2[[#This Row],[Coordinate Projection System]])),MAX($B$1:B4654)+1,0)</f>
        <v>4654</v>
      </c>
      <c r="C4655" t="str">
        <f t="shared" si="72"/>
        <v>SIRGAS 2000 / UTM zone 11N</v>
      </c>
    </row>
    <row r="4656" spans="1:3" x14ac:dyDescent="0.3">
      <c r="A4656" t="s">
        <v>4712</v>
      </c>
      <c r="B4656">
        <f>IF(ISNUMBER(SEARCH(Form!$C$11,Tabel2[[#This Row],[Coordinate Projection System]])),MAX($B$1:B4655)+1,0)</f>
        <v>4655</v>
      </c>
      <c r="C4656" t="str">
        <f t="shared" si="72"/>
        <v>SIRGAS 2000 / UTM zone 12N</v>
      </c>
    </row>
    <row r="4657" spans="1:3" x14ac:dyDescent="0.3">
      <c r="A4657" t="s">
        <v>4713</v>
      </c>
      <c r="B4657">
        <f>IF(ISNUMBER(SEARCH(Form!$C$11,Tabel2[[#This Row],[Coordinate Projection System]])),MAX($B$1:B4656)+1,0)</f>
        <v>4656</v>
      </c>
      <c r="C4657" t="str">
        <f t="shared" si="72"/>
        <v>SIRGAS 2000 / UTM zone 13N</v>
      </c>
    </row>
    <row r="4658" spans="1:3" x14ac:dyDescent="0.3">
      <c r="A4658" t="s">
        <v>4714</v>
      </c>
      <c r="B4658">
        <f>IF(ISNUMBER(SEARCH(Form!$C$11,Tabel2[[#This Row],[Coordinate Projection System]])),MAX($B$1:B4657)+1,0)</f>
        <v>4657</v>
      </c>
      <c r="C4658" t="str">
        <f t="shared" si="72"/>
        <v>SIRGAS 2000 / UTM zone 14N</v>
      </c>
    </row>
    <row r="4659" spans="1:3" x14ac:dyDescent="0.3">
      <c r="A4659" t="s">
        <v>4715</v>
      </c>
      <c r="B4659">
        <f>IF(ISNUMBER(SEARCH(Form!$C$11,Tabel2[[#This Row],[Coordinate Projection System]])),MAX($B$1:B4658)+1,0)</f>
        <v>4658</v>
      </c>
      <c r="C4659" t="str">
        <f t="shared" si="72"/>
        <v>SIRGAS 2000 / UTM zone 15N</v>
      </c>
    </row>
    <row r="4660" spans="1:3" x14ac:dyDescent="0.3">
      <c r="A4660" t="s">
        <v>4716</v>
      </c>
      <c r="B4660">
        <f>IF(ISNUMBER(SEARCH(Form!$C$11,Tabel2[[#This Row],[Coordinate Projection System]])),MAX($B$1:B4659)+1,0)</f>
        <v>4659</v>
      </c>
      <c r="C4660" t="str">
        <f t="shared" si="72"/>
        <v>SIRGAS 2000 / UTM zone 16N</v>
      </c>
    </row>
    <row r="4661" spans="1:3" x14ac:dyDescent="0.3">
      <c r="A4661" t="s">
        <v>4717</v>
      </c>
      <c r="B4661">
        <f>IF(ISNUMBER(SEARCH(Form!$C$11,Tabel2[[#This Row],[Coordinate Projection System]])),MAX($B$1:B4660)+1,0)</f>
        <v>4660</v>
      </c>
      <c r="C4661" t="str">
        <f t="shared" si="72"/>
        <v>SIRGAS 2000 / UTM zone 17N</v>
      </c>
    </row>
    <row r="4662" spans="1:3" x14ac:dyDescent="0.3">
      <c r="A4662" t="s">
        <v>4718</v>
      </c>
      <c r="B4662">
        <f>IF(ISNUMBER(SEARCH(Form!$C$11,Tabel2[[#This Row],[Coordinate Projection System]])),MAX($B$1:B4661)+1,0)</f>
        <v>4661</v>
      </c>
      <c r="C4662" t="str">
        <f t="shared" si="72"/>
        <v>SIRGAS 2000 / UTM zone 18N</v>
      </c>
    </row>
    <row r="4663" spans="1:3" x14ac:dyDescent="0.3">
      <c r="A4663" t="s">
        <v>4719</v>
      </c>
      <c r="B4663">
        <f>IF(ISNUMBER(SEARCH(Form!$C$11,Tabel2[[#This Row],[Coordinate Projection System]])),MAX($B$1:B4662)+1,0)</f>
        <v>4662</v>
      </c>
      <c r="C4663" t="str">
        <f t="shared" si="72"/>
        <v>SIRGAS 2000 / UTM zone 19N</v>
      </c>
    </row>
    <row r="4664" spans="1:3" x14ac:dyDescent="0.3">
      <c r="A4664" t="s">
        <v>4720</v>
      </c>
      <c r="B4664">
        <f>IF(ISNUMBER(SEARCH(Form!$C$11,Tabel2[[#This Row],[Coordinate Projection System]])),MAX($B$1:B4663)+1,0)</f>
        <v>4663</v>
      </c>
      <c r="C4664" t="str">
        <f t="shared" si="72"/>
        <v>SIRGAS 2000 / UTM zone 20N</v>
      </c>
    </row>
    <row r="4665" spans="1:3" x14ac:dyDescent="0.3">
      <c r="A4665" t="s">
        <v>4721</v>
      </c>
      <c r="B4665">
        <f>IF(ISNUMBER(SEARCH(Form!$C$11,Tabel2[[#This Row],[Coordinate Projection System]])),MAX($B$1:B4664)+1,0)</f>
        <v>4664</v>
      </c>
      <c r="C4665" t="str">
        <f t="shared" si="72"/>
        <v>SIRGAS 2000 / UTM zone 21N</v>
      </c>
    </row>
    <row r="4666" spans="1:3" x14ac:dyDescent="0.3">
      <c r="A4666" t="s">
        <v>4722</v>
      </c>
      <c r="B4666">
        <f>IF(ISNUMBER(SEARCH(Form!$C$11,Tabel2[[#This Row],[Coordinate Projection System]])),MAX($B$1:B4665)+1,0)</f>
        <v>4665</v>
      </c>
      <c r="C4666" t="str">
        <f t="shared" si="72"/>
        <v>SIRGAS 2000 / UTM zone 22N</v>
      </c>
    </row>
    <row r="4667" spans="1:3" x14ac:dyDescent="0.3">
      <c r="A4667" t="s">
        <v>4723</v>
      </c>
      <c r="B4667">
        <f>IF(ISNUMBER(SEARCH(Form!$C$11,Tabel2[[#This Row],[Coordinate Projection System]])),MAX($B$1:B4666)+1,0)</f>
        <v>4666</v>
      </c>
      <c r="C4667" t="str">
        <f t="shared" si="72"/>
        <v>SIRGAS 2000 / UTM zone 17S</v>
      </c>
    </row>
    <row r="4668" spans="1:3" x14ac:dyDescent="0.3">
      <c r="A4668" t="s">
        <v>4724</v>
      </c>
      <c r="B4668">
        <f>IF(ISNUMBER(SEARCH(Form!$C$11,Tabel2[[#This Row],[Coordinate Projection System]])),MAX($B$1:B4667)+1,0)</f>
        <v>4667</v>
      </c>
      <c r="C4668" t="str">
        <f t="shared" si="72"/>
        <v>SIRGAS 2000 / UTM zone 18S</v>
      </c>
    </row>
    <row r="4669" spans="1:3" x14ac:dyDescent="0.3">
      <c r="A4669" t="s">
        <v>4725</v>
      </c>
      <c r="B4669">
        <f>IF(ISNUMBER(SEARCH(Form!$C$11,Tabel2[[#This Row],[Coordinate Projection System]])),MAX($B$1:B4668)+1,0)</f>
        <v>4668</v>
      </c>
      <c r="C4669" t="str">
        <f t="shared" si="72"/>
        <v>SIRGAS 2000 / UTM zone 19S</v>
      </c>
    </row>
    <row r="4670" spans="1:3" x14ac:dyDescent="0.3">
      <c r="A4670" t="s">
        <v>4726</v>
      </c>
      <c r="B4670">
        <f>IF(ISNUMBER(SEARCH(Form!$C$11,Tabel2[[#This Row],[Coordinate Projection System]])),MAX($B$1:B4669)+1,0)</f>
        <v>4669</v>
      </c>
      <c r="C4670" t="str">
        <f t="shared" si="72"/>
        <v>SIRGAS 2000 / UTM zone 20S</v>
      </c>
    </row>
    <row r="4671" spans="1:3" x14ac:dyDescent="0.3">
      <c r="A4671" t="s">
        <v>4727</v>
      </c>
      <c r="B4671">
        <f>IF(ISNUMBER(SEARCH(Form!$C$11,Tabel2[[#This Row],[Coordinate Projection System]])),MAX($B$1:B4670)+1,0)</f>
        <v>4670</v>
      </c>
      <c r="C4671" t="str">
        <f t="shared" si="72"/>
        <v>SIRGAS 2000 / UTM zone 21S</v>
      </c>
    </row>
    <row r="4672" spans="1:3" x14ac:dyDescent="0.3">
      <c r="A4672" t="s">
        <v>4728</v>
      </c>
      <c r="B4672">
        <f>IF(ISNUMBER(SEARCH(Form!$C$11,Tabel2[[#This Row],[Coordinate Projection System]])),MAX($B$1:B4671)+1,0)</f>
        <v>4671</v>
      </c>
      <c r="C4672" t="str">
        <f t="shared" si="72"/>
        <v>SIRGAS 2000 / UTM zone 22S</v>
      </c>
    </row>
    <row r="4673" spans="1:3" x14ac:dyDescent="0.3">
      <c r="A4673" t="s">
        <v>4729</v>
      </c>
      <c r="B4673">
        <f>IF(ISNUMBER(SEARCH(Form!$C$11,Tabel2[[#This Row],[Coordinate Projection System]])),MAX($B$1:B4672)+1,0)</f>
        <v>4672</v>
      </c>
      <c r="C4673" t="str">
        <f t="shared" si="72"/>
        <v>SIRGAS 2000 / UTM zone 23S</v>
      </c>
    </row>
    <row r="4674" spans="1:3" x14ac:dyDescent="0.3">
      <c r="A4674" t="s">
        <v>4730</v>
      </c>
      <c r="B4674">
        <f>IF(ISNUMBER(SEARCH(Form!$C$11,Tabel2[[#This Row],[Coordinate Projection System]])),MAX($B$1:B4673)+1,0)</f>
        <v>4673</v>
      </c>
      <c r="C4674" t="str">
        <f t="shared" si="72"/>
        <v>SIRGAS 2000 / UTM zone 24S</v>
      </c>
    </row>
    <row r="4675" spans="1:3" x14ac:dyDescent="0.3">
      <c r="A4675" t="s">
        <v>4731</v>
      </c>
      <c r="B4675">
        <f>IF(ISNUMBER(SEARCH(Form!$C$11,Tabel2[[#This Row],[Coordinate Projection System]])),MAX($B$1:B4674)+1,0)</f>
        <v>4674</v>
      </c>
      <c r="C4675" t="str">
        <f t="shared" ref="C4675:C4738" si="73">_xlfn.IFNA(INDEX(A4675:A10186,MATCH(ROW(C4674),B4675:B10186,0)),"")</f>
        <v>SIRGAS 2000 / UTM zone 25S</v>
      </c>
    </row>
    <row r="4676" spans="1:3" x14ac:dyDescent="0.3">
      <c r="A4676" t="s">
        <v>4732</v>
      </c>
      <c r="B4676">
        <f>IF(ISNUMBER(SEARCH(Form!$C$11,Tabel2[[#This Row],[Coordinate Projection System]])),MAX($B$1:B4675)+1,0)</f>
        <v>4675</v>
      </c>
      <c r="C4676" t="str">
        <f t="shared" si="73"/>
        <v>SIRGAS 1995 / UTM zone 17N</v>
      </c>
    </row>
    <row r="4677" spans="1:3" x14ac:dyDescent="0.3">
      <c r="A4677" t="s">
        <v>4733</v>
      </c>
      <c r="B4677">
        <f>IF(ISNUMBER(SEARCH(Form!$C$11,Tabel2[[#This Row],[Coordinate Projection System]])),MAX($B$1:B4676)+1,0)</f>
        <v>4676</v>
      </c>
      <c r="C4677" t="str">
        <f t="shared" si="73"/>
        <v>SIRGAS 1995 / UTM zone 18N</v>
      </c>
    </row>
    <row r="4678" spans="1:3" x14ac:dyDescent="0.3">
      <c r="A4678" t="s">
        <v>4734</v>
      </c>
      <c r="B4678">
        <f>IF(ISNUMBER(SEARCH(Form!$C$11,Tabel2[[#This Row],[Coordinate Projection System]])),MAX($B$1:B4677)+1,0)</f>
        <v>4677</v>
      </c>
      <c r="C4678" t="str">
        <f t="shared" si="73"/>
        <v>SIRGAS 1995 / UTM zone 19N</v>
      </c>
    </row>
    <row r="4679" spans="1:3" x14ac:dyDescent="0.3">
      <c r="A4679" t="s">
        <v>4735</v>
      </c>
      <c r="B4679">
        <f>IF(ISNUMBER(SEARCH(Form!$C$11,Tabel2[[#This Row],[Coordinate Projection System]])),MAX($B$1:B4678)+1,0)</f>
        <v>4678</v>
      </c>
      <c r="C4679" t="str">
        <f t="shared" si="73"/>
        <v>SIRGAS 1995 / UTM zone 20N</v>
      </c>
    </row>
    <row r="4680" spans="1:3" x14ac:dyDescent="0.3">
      <c r="A4680" t="s">
        <v>4736</v>
      </c>
      <c r="B4680">
        <f>IF(ISNUMBER(SEARCH(Form!$C$11,Tabel2[[#This Row],[Coordinate Projection System]])),MAX($B$1:B4679)+1,0)</f>
        <v>4679</v>
      </c>
      <c r="C4680" t="str">
        <f t="shared" si="73"/>
        <v>SIRGAS 1995 / UTM zone 21N</v>
      </c>
    </row>
    <row r="4681" spans="1:3" x14ac:dyDescent="0.3">
      <c r="A4681" t="s">
        <v>4737</v>
      </c>
      <c r="B4681">
        <f>IF(ISNUMBER(SEARCH(Form!$C$11,Tabel2[[#This Row],[Coordinate Projection System]])),MAX($B$1:B4680)+1,0)</f>
        <v>4680</v>
      </c>
      <c r="C4681" t="str">
        <f t="shared" si="73"/>
        <v>SIRGAS 1995 / UTM zone 22N</v>
      </c>
    </row>
    <row r="4682" spans="1:3" x14ac:dyDescent="0.3">
      <c r="A4682" t="s">
        <v>4738</v>
      </c>
      <c r="B4682">
        <f>IF(ISNUMBER(SEARCH(Form!$C$11,Tabel2[[#This Row],[Coordinate Projection System]])),MAX($B$1:B4681)+1,0)</f>
        <v>4681</v>
      </c>
      <c r="C4682" t="str">
        <f t="shared" si="73"/>
        <v>SIRGAS 1995 / UTM zone 17S</v>
      </c>
    </row>
    <row r="4683" spans="1:3" x14ac:dyDescent="0.3">
      <c r="A4683" t="s">
        <v>4739</v>
      </c>
      <c r="B4683">
        <f>IF(ISNUMBER(SEARCH(Form!$C$11,Tabel2[[#This Row],[Coordinate Projection System]])),MAX($B$1:B4682)+1,0)</f>
        <v>4682</v>
      </c>
      <c r="C4683" t="str">
        <f t="shared" si="73"/>
        <v>SIRGAS 1995 / UTM zone 18S</v>
      </c>
    </row>
    <row r="4684" spans="1:3" x14ac:dyDescent="0.3">
      <c r="A4684" t="s">
        <v>4740</v>
      </c>
      <c r="B4684">
        <f>IF(ISNUMBER(SEARCH(Form!$C$11,Tabel2[[#This Row],[Coordinate Projection System]])),MAX($B$1:B4683)+1,0)</f>
        <v>4683</v>
      </c>
      <c r="C4684" t="str">
        <f t="shared" si="73"/>
        <v>SIRGAS 1995 / UTM zone 19S</v>
      </c>
    </row>
    <row r="4685" spans="1:3" x14ac:dyDescent="0.3">
      <c r="A4685" t="s">
        <v>4741</v>
      </c>
      <c r="B4685">
        <f>IF(ISNUMBER(SEARCH(Form!$C$11,Tabel2[[#This Row],[Coordinate Projection System]])),MAX($B$1:B4684)+1,0)</f>
        <v>4684</v>
      </c>
      <c r="C4685" t="str">
        <f t="shared" si="73"/>
        <v>SIRGAS 1995 / UTM zone 20S</v>
      </c>
    </row>
    <row r="4686" spans="1:3" x14ac:dyDescent="0.3">
      <c r="A4686" t="s">
        <v>4742</v>
      </c>
      <c r="B4686">
        <f>IF(ISNUMBER(SEARCH(Form!$C$11,Tabel2[[#This Row],[Coordinate Projection System]])),MAX($B$1:B4685)+1,0)</f>
        <v>4685</v>
      </c>
      <c r="C4686" t="str">
        <f t="shared" si="73"/>
        <v>SIRGAS 1995 / UTM zone 21S</v>
      </c>
    </row>
    <row r="4687" spans="1:3" x14ac:dyDescent="0.3">
      <c r="A4687" t="s">
        <v>4743</v>
      </c>
      <c r="B4687">
        <f>IF(ISNUMBER(SEARCH(Form!$C$11,Tabel2[[#This Row],[Coordinate Projection System]])),MAX($B$1:B4686)+1,0)</f>
        <v>4686</v>
      </c>
      <c r="C4687" t="str">
        <f t="shared" si="73"/>
        <v>SIRGAS 1995 / UTM zone 22S</v>
      </c>
    </row>
    <row r="4688" spans="1:3" x14ac:dyDescent="0.3">
      <c r="A4688" t="s">
        <v>4744</v>
      </c>
      <c r="B4688">
        <f>IF(ISNUMBER(SEARCH(Form!$C$11,Tabel2[[#This Row],[Coordinate Projection System]])),MAX($B$1:B4687)+1,0)</f>
        <v>4687</v>
      </c>
      <c r="C4688" t="str">
        <f t="shared" si="73"/>
        <v>SIRGAS 1995 / UTM zone 23S</v>
      </c>
    </row>
    <row r="4689" spans="1:3" x14ac:dyDescent="0.3">
      <c r="A4689" t="s">
        <v>4745</v>
      </c>
      <c r="B4689">
        <f>IF(ISNUMBER(SEARCH(Form!$C$11,Tabel2[[#This Row],[Coordinate Projection System]])),MAX($B$1:B4688)+1,0)</f>
        <v>4688</v>
      </c>
      <c r="C4689" t="str">
        <f t="shared" si="73"/>
        <v>SIRGAS 1995 / UTM zone 24S</v>
      </c>
    </row>
    <row r="4690" spans="1:3" x14ac:dyDescent="0.3">
      <c r="A4690" t="s">
        <v>4746</v>
      </c>
      <c r="B4690">
        <f>IF(ISNUMBER(SEARCH(Form!$C$11,Tabel2[[#This Row],[Coordinate Projection System]])),MAX($B$1:B4689)+1,0)</f>
        <v>4689</v>
      </c>
      <c r="C4690" t="str">
        <f t="shared" si="73"/>
        <v>SIRGAS 1995 / UTM zone 25S</v>
      </c>
    </row>
    <row r="4691" spans="1:3" x14ac:dyDescent="0.3">
      <c r="A4691" t="s">
        <v>4747</v>
      </c>
      <c r="B4691">
        <f>IF(ISNUMBER(SEARCH(Form!$C$11,Tabel2[[#This Row],[Coordinate Projection System]])),MAX($B$1:B4690)+1,0)</f>
        <v>4690</v>
      </c>
      <c r="C4691" t="str">
        <f t="shared" si="73"/>
        <v>NAD27 / Montana North</v>
      </c>
    </row>
    <row r="4692" spans="1:3" x14ac:dyDescent="0.3">
      <c r="A4692" t="s">
        <v>4748</v>
      </c>
      <c r="B4692">
        <f>IF(ISNUMBER(SEARCH(Form!$C$11,Tabel2[[#This Row],[Coordinate Projection System]])),MAX($B$1:B4691)+1,0)</f>
        <v>4691</v>
      </c>
      <c r="C4692" t="str">
        <f t="shared" si="73"/>
        <v>NAD27 / Montana Central</v>
      </c>
    </row>
    <row r="4693" spans="1:3" x14ac:dyDescent="0.3">
      <c r="A4693" t="s">
        <v>4749</v>
      </c>
      <c r="B4693">
        <f>IF(ISNUMBER(SEARCH(Form!$C$11,Tabel2[[#This Row],[Coordinate Projection System]])),MAX($B$1:B4692)+1,0)</f>
        <v>4692</v>
      </c>
      <c r="C4693" t="str">
        <f t="shared" si="73"/>
        <v>NAD27 / Montana South</v>
      </c>
    </row>
    <row r="4694" spans="1:3" x14ac:dyDescent="0.3">
      <c r="A4694" t="s">
        <v>4750</v>
      </c>
      <c r="B4694">
        <f>IF(ISNUMBER(SEARCH(Form!$C$11,Tabel2[[#This Row],[Coordinate Projection System]])),MAX($B$1:B4693)+1,0)</f>
        <v>4693</v>
      </c>
      <c r="C4694" t="str">
        <f t="shared" si="73"/>
        <v>NAD27 / Nebraska North</v>
      </c>
    </row>
    <row r="4695" spans="1:3" x14ac:dyDescent="0.3">
      <c r="A4695" t="s">
        <v>4751</v>
      </c>
      <c r="B4695">
        <f>IF(ISNUMBER(SEARCH(Form!$C$11,Tabel2[[#This Row],[Coordinate Projection System]])),MAX($B$1:B4694)+1,0)</f>
        <v>4694</v>
      </c>
      <c r="C4695" t="str">
        <f t="shared" si="73"/>
        <v>NAD27 / Nebraska South</v>
      </c>
    </row>
    <row r="4696" spans="1:3" x14ac:dyDescent="0.3">
      <c r="A4696" t="s">
        <v>4752</v>
      </c>
      <c r="B4696">
        <f>IF(ISNUMBER(SEARCH(Form!$C$11,Tabel2[[#This Row],[Coordinate Projection System]])),MAX($B$1:B4695)+1,0)</f>
        <v>4695</v>
      </c>
      <c r="C4696" t="str">
        <f t="shared" si="73"/>
        <v>NAD27 / Nevada East</v>
      </c>
    </row>
    <row r="4697" spans="1:3" x14ac:dyDescent="0.3">
      <c r="A4697" t="s">
        <v>4753</v>
      </c>
      <c r="B4697">
        <f>IF(ISNUMBER(SEARCH(Form!$C$11,Tabel2[[#This Row],[Coordinate Projection System]])),MAX($B$1:B4696)+1,0)</f>
        <v>4696</v>
      </c>
      <c r="C4697" t="str">
        <f t="shared" si="73"/>
        <v>NAD27 / Nevada Central</v>
      </c>
    </row>
    <row r="4698" spans="1:3" x14ac:dyDescent="0.3">
      <c r="A4698" t="s">
        <v>4754</v>
      </c>
      <c r="B4698">
        <f>IF(ISNUMBER(SEARCH(Form!$C$11,Tabel2[[#This Row],[Coordinate Projection System]])),MAX($B$1:B4697)+1,0)</f>
        <v>4697</v>
      </c>
      <c r="C4698" t="str">
        <f t="shared" si="73"/>
        <v>NAD27 / Nevada West</v>
      </c>
    </row>
    <row r="4699" spans="1:3" x14ac:dyDescent="0.3">
      <c r="A4699" t="s">
        <v>4755</v>
      </c>
      <c r="B4699">
        <f>IF(ISNUMBER(SEARCH(Form!$C$11,Tabel2[[#This Row],[Coordinate Projection System]])),MAX($B$1:B4698)+1,0)</f>
        <v>4698</v>
      </c>
      <c r="C4699" t="str">
        <f t="shared" si="73"/>
        <v>NAD27 / New Hampshire</v>
      </c>
    </row>
    <row r="4700" spans="1:3" x14ac:dyDescent="0.3">
      <c r="A4700" t="s">
        <v>4756</v>
      </c>
      <c r="B4700">
        <f>IF(ISNUMBER(SEARCH(Form!$C$11,Tabel2[[#This Row],[Coordinate Projection System]])),MAX($B$1:B4699)+1,0)</f>
        <v>4699</v>
      </c>
      <c r="C4700" t="str">
        <f t="shared" si="73"/>
        <v>NAD27 / New Jersey</v>
      </c>
    </row>
    <row r="4701" spans="1:3" x14ac:dyDescent="0.3">
      <c r="A4701" t="s">
        <v>4757</v>
      </c>
      <c r="B4701">
        <f>IF(ISNUMBER(SEARCH(Form!$C$11,Tabel2[[#This Row],[Coordinate Projection System]])),MAX($B$1:B4700)+1,0)</f>
        <v>4700</v>
      </c>
      <c r="C4701" t="str">
        <f t="shared" si="73"/>
        <v>NAD27 / New Mexico East</v>
      </c>
    </row>
    <row r="4702" spans="1:3" x14ac:dyDescent="0.3">
      <c r="A4702" t="s">
        <v>4758</v>
      </c>
      <c r="B4702">
        <f>IF(ISNUMBER(SEARCH(Form!$C$11,Tabel2[[#This Row],[Coordinate Projection System]])),MAX($B$1:B4701)+1,0)</f>
        <v>4701</v>
      </c>
      <c r="C4702" t="str">
        <f t="shared" si="73"/>
        <v>NAD27 / New Mexico Central</v>
      </c>
    </row>
    <row r="4703" spans="1:3" x14ac:dyDescent="0.3">
      <c r="A4703" t="s">
        <v>4759</v>
      </c>
      <c r="B4703">
        <f>IF(ISNUMBER(SEARCH(Form!$C$11,Tabel2[[#This Row],[Coordinate Projection System]])),MAX($B$1:B4702)+1,0)</f>
        <v>4702</v>
      </c>
      <c r="C4703" t="str">
        <f t="shared" si="73"/>
        <v>NAD27 / New Mexico West</v>
      </c>
    </row>
    <row r="4704" spans="1:3" x14ac:dyDescent="0.3">
      <c r="A4704" t="s">
        <v>4760</v>
      </c>
      <c r="B4704">
        <f>IF(ISNUMBER(SEARCH(Form!$C$11,Tabel2[[#This Row],[Coordinate Projection System]])),MAX($B$1:B4703)+1,0)</f>
        <v>4703</v>
      </c>
      <c r="C4704" t="str">
        <f t="shared" si="73"/>
        <v>NAD27 / New York East</v>
      </c>
    </row>
    <row r="4705" spans="1:3" x14ac:dyDescent="0.3">
      <c r="A4705" t="s">
        <v>4761</v>
      </c>
      <c r="B4705">
        <f>IF(ISNUMBER(SEARCH(Form!$C$11,Tabel2[[#This Row],[Coordinate Projection System]])),MAX($B$1:B4704)+1,0)</f>
        <v>4704</v>
      </c>
      <c r="C4705" t="str">
        <f t="shared" si="73"/>
        <v>NAD27 / New York Central</v>
      </c>
    </row>
    <row r="4706" spans="1:3" x14ac:dyDescent="0.3">
      <c r="A4706" t="s">
        <v>4762</v>
      </c>
      <c r="B4706">
        <f>IF(ISNUMBER(SEARCH(Form!$C$11,Tabel2[[#This Row],[Coordinate Projection System]])),MAX($B$1:B4705)+1,0)</f>
        <v>4705</v>
      </c>
      <c r="C4706" t="str">
        <f t="shared" si="73"/>
        <v>NAD27 / New York West</v>
      </c>
    </row>
    <row r="4707" spans="1:3" x14ac:dyDescent="0.3">
      <c r="A4707" t="s">
        <v>4763</v>
      </c>
      <c r="B4707">
        <f>IF(ISNUMBER(SEARCH(Form!$C$11,Tabel2[[#This Row],[Coordinate Projection System]])),MAX($B$1:B4706)+1,0)</f>
        <v>4706</v>
      </c>
      <c r="C4707" t="str">
        <f t="shared" si="73"/>
        <v>NAD27 / New York Long Island (deprecated)</v>
      </c>
    </row>
    <row r="4708" spans="1:3" x14ac:dyDescent="0.3">
      <c r="A4708" t="s">
        <v>4764</v>
      </c>
      <c r="B4708">
        <f>IF(ISNUMBER(SEARCH(Form!$C$11,Tabel2[[#This Row],[Coordinate Projection System]])),MAX($B$1:B4707)+1,0)</f>
        <v>4707</v>
      </c>
      <c r="C4708" t="str">
        <f t="shared" si="73"/>
        <v>NAD27 / North Carolina</v>
      </c>
    </row>
    <row r="4709" spans="1:3" x14ac:dyDescent="0.3">
      <c r="A4709" t="s">
        <v>4765</v>
      </c>
      <c r="B4709">
        <f>IF(ISNUMBER(SEARCH(Form!$C$11,Tabel2[[#This Row],[Coordinate Projection System]])),MAX($B$1:B4708)+1,0)</f>
        <v>4708</v>
      </c>
      <c r="C4709" t="str">
        <f t="shared" si="73"/>
        <v>NAD27 / North Dakota North</v>
      </c>
    </row>
    <row r="4710" spans="1:3" x14ac:dyDescent="0.3">
      <c r="A4710" t="s">
        <v>4766</v>
      </c>
      <c r="B4710">
        <f>IF(ISNUMBER(SEARCH(Form!$C$11,Tabel2[[#This Row],[Coordinate Projection System]])),MAX($B$1:B4709)+1,0)</f>
        <v>4709</v>
      </c>
      <c r="C4710" t="str">
        <f t="shared" si="73"/>
        <v>NAD27 / North Dakota South</v>
      </c>
    </row>
    <row r="4711" spans="1:3" x14ac:dyDescent="0.3">
      <c r="A4711" t="s">
        <v>4767</v>
      </c>
      <c r="B4711">
        <f>IF(ISNUMBER(SEARCH(Form!$C$11,Tabel2[[#This Row],[Coordinate Projection System]])),MAX($B$1:B4710)+1,0)</f>
        <v>4710</v>
      </c>
      <c r="C4711" t="str">
        <f t="shared" si="73"/>
        <v>NAD27 / Ohio North</v>
      </c>
    </row>
    <row r="4712" spans="1:3" x14ac:dyDescent="0.3">
      <c r="A4712" t="s">
        <v>4768</v>
      </c>
      <c r="B4712">
        <f>IF(ISNUMBER(SEARCH(Form!$C$11,Tabel2[[#This Row],[Coordinate Projection System]])),MAX($B$1:B4711)+1,0)</f>
        <v>4711</v>
      </c>
      <c r="C4712" t="str">
        <f t="shared" si="73"/>
        <v>NAD27 / Ohio South</v>
      </c>
    </row>
    <row r="4713" spans="1:3" x14ac:dyDescent="0.3">
      <c r="A4713" t="s">
        <v>4769</v>
      </c>
      <c r="B4713">
        <f>IF(ISNUMBER(SEARCH(Form!$C$11,Tabel2[[#This Row],[Coordinate Projection System]])),MAX($B$1:B4712)+1,0)</f>
        <v>4712</v>
      </c>
      <c r="C4713" t="str">
        <f t="shared" si="73"/>
        <v>NAD27 / Oklahoma North</v>
      </c>
    </row>
    <row r="4714" spans="1:3" x14ac:dyDescent="0.3">
      <c r="A4714" t="s">
        <v>4770</v>
      </c>
      <c r="B4714">
        <f>IF(ISNUMBER(SEARCH(Form!$C$11,Tabel2[[#This Row],[Coordinate Projection System]])),MAX($B$1:B4713)+1,0)</f>
        <v>4713</v>
      </c>
      <c r="C4714" t="str">
        <f t="shared" si="73"/>
        <v>NAD27 / Oklahoma South</v>
      </c>
    </row>
    <row r="4715" spans="1:3" x14ac:dyDescent="0.3">
      <c r="A4715" t="s">
        <v>4771</v>
      </c>
      <c r="B4715">
        <f>IF(ISNUMBER(SEARCH(Form!$C$11,Tabel2[[#This Row],[Coordinate Projection System]])),MAX($B$1:B4714)+1,0)</f>
        <v>4714</v>
      </c>
      <c r="C4715" t="str">
        <f t="shared" si="73"/>
        <v>NAD27 / Oregon North</v>
      </c>
    </row>
    <row r="4716" spans="1:3" x14ac:dyDescent="0.3">
      <c r="A4716" t="s">
        <v>4772</v>
      </c>
      <c r="B4716">
        <f>IF(ISNUMBER(SEARCH(Form!$C$11,Tabel2[[#This Row],[Coordinate Projection System]])),MAX($B$1:B4715)+1,0)</f>
        <v>4715</v>
      </c>
      <c r="C4716" t="str">
        <f t="shared" si="73"/>
        <v>NAD27 / Oregon South</v>
      </c>
    </row>
    <row r="4717" spans="1:3" x14ac:dyDescent="0.3">
      <c r="A4717" t="s">
        <v>4773</v>
      </c>
      <c r="B4717">
        <f>IF(ISNUMBER(SEARCH(Form!$C$11,Tabel2[[#This Row],[Coordinate Projection System]])),MAX($B$1:B4716)+1,0)</f>
        <v>4716</v>
      </c>
      <c r="C4717" t="str">
        <f t="shared" si="73"/>
        <v>NAD27 / Pennsylvania North</v>
      </c>
    </row>
    <row r="4718" spans="1:3" x14ac:dyDescent="0.3">
      <c r="A4718" t="s">
        <v>4774</v>
      </c>
      <c r="B4718">
        <f>IF(ISNUMBER(SEARCH(Form!$C$11,Tabel2[[#This Row],[Coordinate Projection System]])),MAX($B$1:B4717)+1,0)</f>
        <v>4717</v>
      </c>
      <c r="C4718" t="str">
        <f t="shared" si="73"/>
        <v>NAD27 / Pennsylvania South (deprecated)</v>
      </c>
    </row>
    <row r="4719" spans="1:3" x14ac:dyDescent="0.3">
      <c r="A4719" t="s">
        <v>4775</v>
      </c>
      <c r="B4719">
        <f>IF(ISNUMBER(SEARCH(Form!$C$11,Tabel2[[#This Row],[Coordinate Projection System]])),MAX($B$1:B4718)+1,0)</f>
        <v>4718</v>
      </c>
      <c r="C4719" t="str">
        <f t="shared" si="73"/>
        <v>NAD27 / Rhode Island</v>
      </c>
    </row>
    <row r="4720" spans="1:3" x14ac:dyDescent="0.3">
      <c r="A4720" t="s">
        <v>4776</v>
      </c>
      <c r="B4720">
        <f>IF(ISNUMBER(SEARCH(Form!$C$11,Tabel2[[#This Row],[Coordinate Projection System]])),MAX($B$1:B4719)+1,0)</f>
        <v>4719</v>
      </c>
      <c r="C4720" t="str">
        <f t="shared" si="73"/>
        <v>NAD27 / South Carolina North</v>
      </c>
    </row>
    <row r="4721" spans="1:3" x14ac:dyDescent="0.3">
      <c r="A4721" t="s">
        <v>4777</v>
      </c>
      <c r="B4721">
        <f>IF(ISNUMBER(SEARCH(Form!$C$11,Tabel2[[#This Row],[Coordinate Projection System]])),MAX($B$1:B4720)+1,0)</f>
        <v>4720</v>
      </c>
      <c r="C4721" t="str">
        <f t="shared" si="73"/>
        <v>NAD27 / South Carolina South</v>
      </c>
    </row>
    <row r="4722" spans="1:3" x14ac:dyDescent="0.3">
      <c r="A4722" t="s">
        <v>4778</v>
      </c>
      <c r="B4722">
        <f>IF(ISNUMBER(SEARCH(Form!$C$11,Tabel2[[#This Row],[Coordinate Projection System]])),MAX($B$1:B4721)+1,0)</f>
        <v>4721</v>
      </c>
      <c r="C4722" t="str">
        <f t="shared" si="73"/>
        <v>NAD27 / South Dakota North</v>
      </c>
    </row>
    <row r="4723" spans="1:3" x14ac:dyDescent="0.3">
      <c r="A4723" t="s">
        <v>4779</v>
      </c>
      <c r="B4723">
        <f>IF(ISNUMBER(SEARCH(Form!$C$11,Tabel2[[#This Row],[Coordinate Projection System]])),MAX($B$1:B4722)+1,0)</f>
        <v>4722</v>
      </c>
      <c r="C4723" t="str">
        <f t="shared" si="73"/>
        <v>NAD27 / South Dakota South</v>
      </c>
    </row>
    <row r="4724" spans="1:3" x14ac:dyDescent="0.3">
      <c r="A4724" t="s">
        <v>4780</v>
      </c>
      <c r="B4724">
        <f>IF(ISNUMBER(SEARCH(Form!$C$11,Tabel2[[#This Row],[Coordinate Projection System]])),MAX($B$1:B4723)+1,0)</f>
        <v>4723</v>
      </c>
      <c r="C4724" t="str">
        <f t="shared" si="73"/>
        <v>NAD27 / Tennessee (deprecated)</v>
      </c>
    </row>
    <row r="4725" spans="1:3" x14ac:dyDescent="0.3">
      <c r="A4725" t="s">
        <v>4781</v>
      </c>
      <c r="B4725">
        <f>IF(ISNUMBER(SEARCH(Form!$C$11,Tabel2[[#This Row],[Coordinate Projection System]])),MAX($B$1:B4724)+1,0)</f>
        <v>4724</v>
      </c>
      <c r="C4725" t="str">
        <f t="shared" si="73"/>
        <v>NAD27 / Texas North</v>
      </c>
    </row>
    <row r="4726" spans="1:3" x14ac:dyDescent="0.3">
      <c r="A4726" t="s">
        <v>4782</v>
      </c>
      <c r="B4726">
        <f>IF(ISNUMBER(SEARCH(Form!$C$11,Tabel2[[#This Row],[Coordinate Projection System]])),MAX($B$1:B4725)+1,0)</f>
        <v>4725</v>
      </c>
      <c r="C4726" t="str">
        <f t="shared" si="73"/>
        <v>NAD27 / Texas North Central</v>
      </c>
    </row>
    <row r="4727" spans="1:3" x14ac:dyDescent="0.3">
      <c r="A4727" t="s">
        <v>4783</v>
      </c>
      <c r="B4727">
        <f>IF(ISNUMBER(SEARCH(Form!$C$11,Tabel2[[#This Row],[Coordinate Projection System]])),MAX($B$1:B4726)+1,0)</f>
        <v>4726</v>
      </c>
      <c r="C4727" t="str">
        <f t="shared" si="73"/>
        <v>NAD27 / Texas Central</v>
      </c>
    </row>
    <row r="4728" spans="1:3" x14ac:dyDescent="0.3">
      <c r="A4728" t="s">
        <v>4784</v>
      </c>
      <c r="B4728">
        <f>IF(ISNUMBER(SEARCH(Form!$C$11,Tabel2[[#This Row],[Coordinate Projection System]])),MAX($B$1:B4727)+1,0)</f>
        <v>4727</v>
      </c>
      <c r="C4728" t="str">
        <f t="shared" si="73"/>
        <v>NAD27 / Texas South Central</v>
      </c>
    </row>
    <row r="4729" spans="1:3" x14ac:dyDescent="0.3">
      <c r="A4729" t="s">
        <v>4785</v>
      </c>
      <c r="B4729">
        <f>IF(ISNUMBER(SEARCH(Form!$C$11,Tabel2[[#This Row],[Coordinate Projection System]])),MAX($B$1:B4728)+1,0)</f>
        <v>4728</v>
      </c>
      <c r="C4729" t="str">
        <f t="shared" si="73"/>
        <v>NAD27 / Texas South</v>
      </c>
    </row>
    <row r="4730" spans="1:3" x14ac:dyDescent="0.3">
      <c r="A4730" t="s">
        <v>4786</v>
      </c>
      <c r="B4730">
        <f>IF(ISNUMBER(SEARCH(Form!$C$11,Tabel2[[#This Row],[Coordinate Projection System]])),MAX($B$1:B4729)+1,0)</f>
        <v>4729</v>
      </c>
      <c r="C4730" t="str">
        <f t="shared" si="73"/>
        <v>NAD27 / Utah North</v>
      </c>
    </row>
    <row r="4731" spans="1:3" x14ac:dyDescent="0.3">
      <c r="A4731" t="s">
        <v>4787</v>
      </c>
      <c r="B4731">
        <f>IF(ISNUMBER(SEARCH(Form!$C$11,Tabel2[[#This Row],[Coordinate Projection System]])),MAX($B$1:B4730)+1,0)</f>
        <v>4730</v>
      </c>
      <c r="C4731" t="str">
        <f t="shared" si="73"/>
        <v>NAD27 / Utah Central</v>
      </c>
    </row>
    <row r="4732" spans="1:3" x14ac:dyDescent="0.3">
      <c r="A4732" t="s">
        <v>4788</v>
      </c>
      <c r="B4732">
        <f>IF(ISNUMBER(SEARCH(Form!$C$11,Tabel2[[#This Row],[Coordinate Projection System]])),MAX($B$1:B4731)+1,0)</f>
        <v>4731</v>
      </c>
      <c r="C4732" t="str">
        <f t="shared" si="73"/>
        <v>NAD27 / Utah South</v>
      </c>
    </row>
    <row r="4733" spans="1:3" x14ac:dyDescent="0.3">
      <c r="A4733" t="s">
        <v>4789</v>
      </c>
      <c r="B4733">
        <f>IF(ISNUMBER(SEARCH(Form!$C$11,Tabel2[[#This Row],[Coordinate Projection System]])),MAX($B$1:B4732)+1,0)</f>
        <v>4732</v>
      </c>
      <c r="C4733" t="str">
        <f t="shared" si="73"/>
        <v>NAD27 / Vermont</v>
      </c>
    </row>
    <row r="4734" spans="1:3" x14ac:dyDescent="0.3">
      <c r="A4734" t="s">
        <v>4790</v>
      </c>
      <c r="B4734">
        <f>IF(ISNUMBER(SEARCH(Form!$C$11,Tabel2[[#This Row],[Coordinate Projection System]])),MAX($B$1:B4733)+1,0)</f>
        <v>4733</v>
      </c>
      <c r="C4734" t="str">
        <f t="shared" si="73"/>
        <v>NAD27 / Virginia North</v>
      </c>
    </row>
    <row r="4735" spans="1:3" x14ac:dyDescent="0.3">
      <c r="A4735" t="s">
        <v>4791</v>
      </c>
      <c r="B4735">
        <f>IF(ISNUMBER(SEARCH(Form!$C$11,Tabel2[[#This Row],[Coordinate Projection System]])),MAX($B$1:B4734)+1,0)</f>
        <v>4734</v>
      </c>
      <c r="C4735" t="str">
        <f t="shared" si="73"/>
        <v>NAD27 / Virginia South</v>
      </c>
    </row>
    <row r="4736" spans="1:3" x14ac:dyDescent="0.3">
      <c r="A4736" t="s">
        <v>4792</v>
      </c>
      <c r="B4736">
        <f>IF(ISNUMBER(SEARCH(Form!$C$11,Tabel2[[#This Row],[Coordinate Projection System]])),MAX($B$1:B4735)+1,0)</f>
        <v>4735</v>
      </c>
      <c r="C4736" t="str">
        <f t="shared" si="73"/>
        <v>NAD27 / Washington North</v>
      </c>
    </row>
    <row r="4737" spans="1:3" x14ac:dyDescent="0.3">
      <c r="A4737" t="s">
        <v>4793</v>
      </c>
      <c r="B4737">
        <f>IF(ISNUMBER(SEARCH(Form!$C$11,Tabel2[[#This Row],[Coordinate Projection System]])),MAX($B$1:B4736)+1,0)</f>
        <v>4736</v>
      </c>
      <c r="C4737" t="str">
        <f t="shared" si="73"/>
        <v>NAD27 / Washington South</v>
      </c>
    </row>
    <row r="4738" spans="1:3" x14ac:dyDescent="0.3">
      <c r="A4738" t="s">
        <v>4794</v>
      </c>
      <c r="B4738">
        <f>IF(ISNUMBER(SEARCH(Form!$C$11,Tabel2[[#This Row],[Coordinate Projection System]])),MAX($B$1:B4737)+1,0)</f>
        <v>4737</v>
      </c>
      <c r="C4738" t="str">
        <f t="shared" si="73"/>
        <v>NAD27 / West Virginia North</v>
      </c>
    </row>
    <row r="4739" spans="1:3" x14ac:dyDescent="0.3">
      <c r="A4739" t="s">
        <v>4795</v>
      </c>
      <c r="B4739">
        <f>IF(ISNUMBER(SEARCH(Form!$C$11,Tabel2[[#This Row],[Coordinate Projection System]])),MAX($B$1:B4738)+1,0)</f>
        <v>4738</v>
      </c>
      <c r="C4739" t="str">
        <f t="shared" ref="C4739:C4802" si="74">_xlfn.IFNA(INDEX(A4739:A10250,MATCH(ROW(C4738),B4739:B10250,0)),"")</f>
        <v>NAD27 / West Virginia South</v>
      </c>
    </row>
    <row r="4740" spans="1:3" x14ac:dyDescent="0.3">
      <c r="A4740" t="s">
        <v>4796</v>
      </c>
      <c r="B4740">
        <f>IF(ISNUMBER(SEARCH(Form!$C$11,Tabel2[[#This Row],[Coordinate Projection System]])),MAX($B$1:B4739)+1,0)</f>
        <v>4739</v>
      </c>
      <c r="C4740" t="str">
        <f t="shared" si="74"/>
        <v>NAD27 / Wisconsin North</v>
      </c>
    </row>
    <row r="4741" spans="1:3" x14ac:dyDescent="0.3">
      <c r="A4741" t="s">
        <v>4797</v>
      </c>
      <c r="B4741">
        <f>IF(ISNUMBER(SEARCH(Form!$C$11,Tabel2[[#This Row],[Coordinate Projection System]])),MAX($B$1:B4740)+1,0)</f>
        <v>4740</v>
      </c>
      <c r="C4741" t="str">
        <f t="shared" si="74"/>
        <v>NAD27 / Wisconsin Central</v>
      </c>
    </row>
    <row r="4742" spans="1:3" x14ac:dyDescent="0.3">
      <c r="A4742" t="s">
        <v>4798</v>
      </c>
      <c r="B4742">
        <f>IF(ISNUMBER(SEARCH(Form!$C$11,Tabel2[[#This Row],[Coordinate Projection System]])),MAX($B$1:B4741)+1,0)</f>
        <v>4741</v>
      </c>
      <c r="C4742" t="str">
        <f t="shared" si="74"/>
        <v>NAD27 / Wisconsin South</v>
      </c>
    </row>
    <row r="4743" spans="1:3" x14ac:dyDescent="0.3">
      <c r="A4743" t="s">
        <v>4799</v>
      </c>
      <c r="B4743">
        <f>IF(ISNUMBER(SEARCH(Form!$C$11,Tabel2[[#This Row],[Coordinate Projection System]])),MAX($B$1:B4742)+1,0)</f>
        <v>4742</v>
      </c>
      <c r="C4743" t="str">
        <f t="shared" si="74"/>
        <v>NAD27 / Wyoming East</v>
      </c>
    </row>
    <row r="4744" spans="1:3" x14ac:dyDescent="0.3">
      <c r="A4744" t="s">
        <v>4800</v>
      </c>
      <c r="B4744">
        <f>IF(ISNUMBER(SEARCH(Form!$C$11,Tabel2[[#This Row],[Coordinate Projection System]])),MAX($B$1:B4743)+1,0)</f>
        <v>4743</v>
      </c>
      <c r="C4744" t="str">
        <f t="shared" si="74"/>
        <v>NAD27 / Wyoming East Central</v>
      </c>
    </row>
    <row r="4745" spans="1:3" x14ac:dyDescent="0.3">
      <c r="A4745" t="s">
        <v>4801</v>
      </c>
      <c r="B4745">
        <f>IF(ISNUMBER(SEARCH(Form!$C$11,Tabel2[[#This Row],[Coordinate Projection System]])),MAX($B$1:B4744)+1,0)</f>
        <v>4744</v>
      </c>
      <c r="C4745" t="str">
        <f t="shared" si="74"/>
        <v>NAD27 / Wyoming West Central</v>
      </c>
    </row>
    <row r="4746" spans="1:3" x14ac:dyDescent="0.3">
      <c r="A4746" t="s">
        <v>4802</v>
      </c>
      <c r="B4746">
        <f>IF(ISNUMBER(SEARCH(Form!$C$11,Tabel2[[#This Row],[Coordinate Projection System]])),MAX($B$1:B4745)+1,0)</f>
        <v>4745</v>
      </c>
      <c r="C4746" t="str">
        <f t="shared" si="74"/>
        <v>NAD27 / Wyoming West</v>
      </c>
    </row>
    <row r="4747" spans="1:3" x14ac:dyDescent="0.3">
      <c r="A4747" t="s">
        <v>4803</v>
      </c>
      <c r="B4747">
        <f>IF(ISNUMBER(SEARCH(Form!$C$11,Tabel2[[#This Row],[Coordinate Projection System]])),MAX($B$1:B4746)+1,0)</f>
        <v>4746</v>
      </c>
      <c r="C4747" t="str">
        <f t="shared" si="74"/>
        <v>NAD27 / Guatemala Norte (deprecated)</v>
      </c>
    </row>
    <row r="4748" spans="1:3" x14ac:dyDescent="0.3">
      <c r="A4748" t="s">
        <v>4804</v>
      </c>
      <c r="B4748">
        <f>IF(ISNUMBER(SEARCH(Form!$C$11,Tabel2[[#This Row],[Coordinate Projection System]])),MAX($B$1:B4747)+1,0)</f>
        <v>4747</v>
      </c>
      <c r="C4748" t="str">
        <f t="shared" si="74"/>
        <v>NAD27 / Guatemala Sur (deprecated)</v>
      </c>
    </row>
    <row r="4749" spans="1:3" x14ac:dyDescent="0.3">
      <c r="A4749" t="s">
        <v>4805</v>
      </c>
      <c r="B4749">
        <f>IF(ISNUMBER(SEARCH(Form!$C$11,Tabel2[[#This Row],[Coordinate Projection System]])),MAX($B$1:B4748)+1,0)</f>
        <v>4748</v>
      </c>
      <c r="C4749" t="str">
        <f t="shared" si="74"/>
        <v>NAD27 / BLM 14N (ftUS)</v>
      </c>
    </row>
    <row r="4750" spans="1:3" x14ac:dyDescent="0.3">
      <c r="A4750" t="s">
        <v>4806</v>
      </c>
      <c r="B4750">
        <f>IF(ISNUMBER(SEARCH(Form!$C$11,Tabel2[[#This Row],[Coordinate Projection System]])),MAX($B$1:B4749)+1,0)</f>
        <v>4749</v>
      </c>
      <c r="C4750" t="str">
        <f t="shared" si="74"/>
        <v>NAD27 / BLM 15N (ftUS)</v>
      </c>
    </row>
    <row r="4751" spans="1:3" x14ac:dyDescent="0.3">
      <c r="A4751" t="s">
        <v>4807</v>
      </c>
      <c r="B4751">
        <f>IF(ISNUMBER(SEARCH(Form!$C$11,Tabel2[[#This Row],[Coordinate Projection System]])),MAX($B$1:B4750)+1,0)</f>
        <v>4750</v>
      </c>
      <c r="C4751" t="str">
        <f t="shared" si="74"/>
        <v>NAD27 / BLM 16N (ftUS)</v>
      </c>
    </row>
    <row r="4752" spans="1:3" x14ac:dyDescent="0.3">
      <c r="A4752" t="s">
        <v>4808</v>
      </c>
      <c r="B4752">
        <f>IF(ISNUMBER(SEARCH(Form!$C$11,Tabel2[[#This Row],[Coordinate Projection System]])),MAX($B$1:B4751)+1,0)</f>
        <v>4751</v>
      </c>
      <c r="C4752" t="str">
        <f t="shared" si="74"/>
        <v>NAD27 / BLM 17N (ftUS)</v>
      </c>
    </row>
    <row r="4753" spans="1:3" x14ac:dyDescent="0.3">
      <c r="A4753" t="s">
        <v>4809</v>
      </c>
      <c r="B4753">
        <f>IF(ISNUMBER(SEARCH(Form!$C$11,Tabel2[[#This Row],[Coordinate Projection System]])),MAX($B$1:B4752)+1,0)</f>
        <v>4752</v>
      </c>
      <c r="C4753" t="str">
        <f t="shared" si="74"/>
        <v>NAD27 / BLM 14N (feet) (deprecated)</v>
      </c>
    </row>
    <row r="4754" spans="1:3" x14ac:dyDescent="0.3">
      <c r="A4754" t="s">
        <v>4810</v>
      </c>
      <c r="B4754">
        <f>IF(ISNUMBER(SEARCH(Form!$C$11,Tabel2[[#This Row],[Coordinate Projection System]])),MAX($B$1:B4753)+1,0)</f>
        <v>4753</v>
      </c>
      <c r="C4754" t="str">
        <f t="shared" si="74"/>
        <v>NAD27 / BLM 15N (feet) (deprecated)</v>
      </c>
    </row>
    <row r="4755" spans="1:3" x14ac:dyDescent="0.3">
      <c r="A4755" t="s">
        <v>4811</v>
      </c>
      <c r="B4755">
        <f>IF(ISNUMBER(SEARCH(Form!$C$11,Tabel2[[#This Row],[Coordinate Projection System]])),MAX($B$1:B4754)+1,0)</f>
        <v>4754</v>
      </c>
      <c r="C4755" t="str">
        <f t="shared" si="74"/>
        <v>NAD27 / BLM 16N (feet) (deprecated)</v>
      </c>
    </row>
    <row r="4756" spans="1:3" x14ac:dyDescent="0.3">
      <c r="A4756" t="s">
        <v>4812</v>
      </c>
      <c r="B4756">
        <f>IF(ISNUMBER(SEARCH(Form!$C$11,Tabel2[[#This Row],[Coordinate Projection System]])),MAX($B$1:B4755)+1,0)</f>
        <v>4755</v>
      </c>
      <c r="C4756" t="str">
        <f t="shared" si="74"/>
        <v>NAD27 / BLM 17N (feet) (deprecated)</v>
      </c>
    </row>
    <row r="4757" spans="1:3" x14ac:dyDescent="0.3">
      <c r="A4757" t="s">
        <v>4813</v>
      </c>
      <c r="B4757">
        <f>IF(ISNUMBER(SEARCH(Form!$C$11,Tabel2[[#This Row],[Coordinate Projection System]])),MAX($B$1:B4756)+1,0)</f>
        <v>4756</v>
      </c>
      <c r="C4757" t="str">
        <f t="shared" si="74"/>
        <v>NAD27 / MTM zone 1</v>
      </c>
    </row>
    <row r="4758" spans="1:3" x14ac:dyDescent="0.3">
      <c r="A4758" t="s">
        <v>4814</v>
      </c>
      <c r="B4758">
        <f>IF(ISNUMBER(SEARCH(Form!$C$11,Tabel2[[#This Row],[Coordinate Projection System]])),MAX($B$1:B4757)+1,0)</f>
        <v>4757</v>
      </c>
      <c r="C4758" t="str">
        <f t="shared" si="74"/>
        <v>NAD27 / MTM zone 2</v>
      </c>
    </row>
    <row r="4759" spans="1:3" x14ac:dyDescent="0.3">
      <c r="A4759" t="s">
        <v>4815</v>
      </c>
      <c r="B4759">
        <f>IF(ISNUMBER(SEARCH(Form!$C$11,Tabel2[[#This Row],[Coordinate Projection System]])),MAX($B$1:B4758)+1,0)</f>
        <v>4758</v>
      </c>
      <c r="C4759" t="str">
        <f t="shared" si="74"/>
        <v>NAD27 / MTM zone 3</v>
      </c>
    </row>
    <row r="4760" spans="1:3" x14ac:dyDescent="0.3">
      <c r="A4760" t="s">
        <v>4816</v>
      </c>
      <c r="B4760">
        <f>IF(ISNUMBER(SEARCH(Form!$C$11,Tabel2[[#This Row],[Coordinate Projection System]])),MAX($B$1:B4759)+1,0)</f>
        <v>4759</v>
      </c>
      <c r="C4760" t="str">
        <f t="shared" si="74"/>
        <v>NAD27 / MTM zone 4</v>
      </c>
    </row>
    <row r="4761" spans="1:3" x14ac:dyDescent="0.3">
      <c r="A4761" t="s">
        <v>4817</v>
      </c>
      <c r="B4761">
        <f>IF(ISNUMBER(SEARCH(Form!$C$11,Tabel2[[#This Row],[Coordinate Projection System]])),MAX($B$1:B4760)+1,0)</f>
        <v>4760</v>
      </c>
      <c r="C4761" t="str">
        <f t="shared" si="74"/>
        <v>NAD27 / MTM zone 5</v>
      </c>
    </row>
    <row r="4762" spans="1:3" x14ac:dyDescent="0.3">
      <c r="A4762" t="s">
        <v>4818</v>
      </c>
      <c r="B4762">
        <f>IF(ISNUMBER(SEARCH(Form!$C$11,Tabel2[[#This Row],[Coordinate Projection System]])),MAX($B$1:B4761)+1,0)</f>
        <v>4761</v>
      </c>
      <c r="C4762" t="str">
        <f t="shared" si="74"/>
        <v>NAD27 / MTM zone 6</v>
      </c>
    </row>
    <row r="4763" spans="1:3" x14ac:dyDescent="0.3">
      <c r="A4763" t="s">
        <v>4819</v>
      </c>
      <c r="B4763">
        <f>IF(ISNUMBER(SEARCH(Form!$C$11,Tabel2[[#This Row],[Coordinate Projection System]])),MAX($B$1:B4762)+1,0)</f>
        <v>4762</v>
      </c>
      <c r="C4763" t="str">
        <f t="shared" si="74"/>
        <v>NAD27 / Quebec Lambert</v>
      </c>
    </row>
    <row r="4764" spans="1:3" x14ac:dyDescent="0.3">
      <c r="A4764" t="s">
        <v>4820</v>
      </c>
      <c r="B4764">
        <f>IF(ISNUMBER(SEARCH(Form!$C$11,Tabel2[[#This Row],[Coordinate Projection System]])),MAX($B$1:B4763)+1,0)</f>
        <v>4763</v>
      </c>
      <c r="C4764" t="str">
        <f t="shared" si="74"/>
        <v>NAD27 / Louisiana Offshore</v>
      </c>
    </row>
    <row r="4765" spans="1:3" x14ac:dyDescent="0.3">
      <c r="A4765" t="s">
        <v>4821</v>
      </c>
      <c r="B4765">
        <f>IF(ISNUMBER(SEARCH(Form!$C$11,Tabel2[[#This Row],[Coordinate Projection System]])),MAX($B$1:B4764)+1,0)</f>
        <v>4764</v>
      </c>
      <c r="C4765" t="str">
        <f t="shared" si="74"/>
        <v>NAD83 / Montana</v>
      </c>
    </row>
    <row r="4766" spans="1:3" x14ac:dyDescent="0.3">
      <c r="A4766" t="s">
        <v>4822</v>
      </c>
      <c r="B4766">
        <f>IF(ISNUMBER(SEARCH(Form!$C$11,Tabel2[[#This Row],[Coordinate Projection System]])),MAX($B$1:B4765)+1,0)</f>
        <v>4765</v>
      </c>
      <c r="C4766" t="str">
        <f t="shared" si="74"/>
        <v>NAD83 / Nebraska</v>
      </c>
    </row>
    <row r="4767" spans="1:3" x14ac:dyDescent="0.3">
      <c r="A4767" t="s">
        <v>4823</v>
      </c>
      <c r="B4767">
        <f>IF(ISNUMBER(SEARCH(Form!$C$11,Tabel2[[#This Row],[Coordinate Projection System]])),MAX($B$1:B4766)+1,0)</f>
        <v>4766</v>
      </c>
      <c r="C4767" t="str">
        <f t="shared" si="74"/>
        <v>NAD83 / Nevada East</v>
      </c>
    </row>
    <row r="4768" spans="1:3" x14ac:dyDescent="0.3">
      <c r="A4768" t="s">
        <v>4824</v>
      </c>
      <c r="B4768">
        <f>IF(ISNUMBER(SEARCH(Form!$C$11,Tabel2[[#This Row],[Coordinate Projection System]])),MAX($B$1:B4767)+1,0)</f>
        <v>4767</v>
      </c>
      <c r="C4768" t="str">
        <f t="shared" si="74"/>
        <v>NAD83 / Nevada Central</v>
      </c>
    </row>
    <row r="4769" spans="1:3" x14ac:dyDescent="0.3">
      <c r="A4769" t="s">
        <v>4825</v>
      </c>
      <c r="B4769">
        <f>IF(ISNUMBER(SEARCH(Form!$C$11,Tabel2[[#This Row],[Coordinate Projection System]])),MAX($B$1:B4768)+1,0)</f>
        <v>4768</v>
      </c>
      <c r="C4769" t="str">
        <f t="shared" si="74"/>
        <v>NAD83 / Nevada West</v>
      </c>
    </row>
    <row r="4770" spans="1:3" x14ac:dyDescent="0.3">
      <c r="A4770" t="s">
        <v>4826</v>
      </c>
      <c r="B4770">
        <f>IF(ISNUMBER(SEARCH(Form!$C$11,Tabel2[[#This Row],[Coordinate Projection System]])),MAX($B$1:B4769)+1,0)</f>
        <v>4769</v>
      </c>
      <c r="C4770" t="str">
        <f t="shared" si="74"/>
        <v>NAD83 / New Hampshire</v>
      </c>
    </row>
    <row r="4771" spans="1:3" x14ac:dyDescent="0.3">
      <c r="A4771" t="s">
        <v>4827</v>
      </c>
      <c r="B4771">
        <f>IF(ISNUMBER(SEARCH(Form!$C$11,Tabel2[[#This Row],[Coordinate Projection System]])),MAX($B$1:B4770)+1,0)</f>
        <v>4770</v>
      </c>
      <c r="C4771" t="str">
        <f t="shared" si="74"/>
        <v>NAD83 / New Jersey</v>
      </c>
    </row>
    <row r="4772" spans="1:3" x14ac:dyDescent="0.3">
      <c r="A4772" t="s">
        <v>4828</v>
      </c>
      <c r="B4772">
        <f>IF(ISNUMBER(SEARCH(Form!$C$11,Tabel2[[#This Row],[Coordinate Projection System]])),MAX($B$1:B4771)+1,0)</f>
        <v>4771</v>
      </c>
      <c r="C4772" t="str">
        <f t="shared" si="74"/>
        <v>NAD83 / New Mexico East</v>
      </c>
    </row>
    <row r="4773" spans="1:3" x14ac:dyDescent="0.3">
      <c r="A4773" t="s">
        <v>4829</v>
      </c>
      <c r="B4773">
        <f>IF(ISNUMBER(SEARCH(Form!$C$11,Tabel2[[#This Row],[Coordinate Projection System]])),MAX($B$1:B4772)+1,0)</f>
        <v>4772</v>
      </c>
      <c r="C4773" t="str">
        <f t="shared" si="74"/>
        <v>NAD83 / New Mexico Central</v>
      </c>
    </row>
    <row r="4774" spans="1:3" x14ac:dyDescent="0.3">
      <c r="A4774" t="s">
        <v>4830</v>
      </c>
      <c r="B4774">
        <f>IF(ISNUMBER(SEARCH(Form!$C$11,Tabel2[[#This Row],[Coordinate Projection System]])),MAX($B$1:B4773)+1,0)</f>
        <v>4773</v>
      </c>
      <c r="C4774" t="str">
        <f t="shared" si="74"/>
        <v>NAD83 / New Mexico West</v>
      </c>
    </row>
    <row r="4775" spans="1:3" x14ac:dyDescent="0.3">
      <c r="A4775" t="s">
        <v>4831</v>
      </c>
      <c r="B4775">
        <f>IF(ISNUMBER(SEARCH(Form!$C$11,Tabel2[[#This Row],[Coordinate Projection System]])),MAX($B$1:B4774)+1,0)</f>
        <v>4774</v>
      </c>
      <c r="C4775" t="str">
        <f t="shared" si="74"/>
        <v>NAD83 / New York East</v>
      </c>
    </row>
    <row r="4776" spans="1:3" x14ac:dyDescent="0.3">
      <c r="A4776" t="s">
        <v>4832</v>
      </c>
      <c r="B4776">
        <f>IF(ISNUMBER(SEARCH(Form!$C$11,Tabel2[[#This Row],[Coordinate Projection System]])),MAX($B$1:B4775)+1,0)</f>
        <v>4775</v>
      </c>
      <c r="C4776" t="str">
        <f t="shared" si="74"/>
        <v>NAD83 / New York Central</v>
      </c>
    </row>
    <row r="4777" spans="1:3" x14ac:dyDescent="0.3">
      <c r="A4777" t="s">
        <v>4833</v>
      </c>
      <c r="B4777">
        <f>IF(ISNUMBER(SEARCH(Form!$C$11,Tabel2[[#This Row],[Coordinate Projection System]])),MAX($B$1:B4776)+1,0)</f>
        <v>4776</v>
      </c>
      <c r="C4777" t="str">
        <f t="shared" si="74"/>
        <v>NAD83 / New York West</v>
      </c>
    </row>
    <row r="4778" spans="1:3" x14ac:dyDescent="0.3">
      <c r="A4778" t="s">
        <v>4834</v>
      </c>
      <c r="B4778">
        <f>IF(ISNUMBER(SEARCH(Form!$C$11,Tabel2[[#This Row],[Coordinate Projection System]])),MAX($B$1:B4777)+1,0)</f>
        <v>4777</v>
      </c>
      <c r="C4778" t="str">
        <f t="shared" si="74"/>
        <v>NAD83 / New York Long Island</v>
      </c>
    </row>
    <row r="4779" spans="1:3" x14ac:dyDescent="0.3">
      <c r="A4779" t="s">
        <v>4835</v>
      </c>
      <c r="B4779">
        <f>IF(ISNUMBER(SEARCH(Form!$C$11,Tabel2[[#This Row],[Coordinate Projection System]])),MAX($B$1:B4778)+1,0)</f>
        <v>4778</v>
      </c>
      <c r="C4779" t="str">
        <f t="shared" si="74"/>
        <v>NAD83 / North Carolina</v>
      </c>
    </row>
    <row r="4780" spans="1:3" x14ac:dyDescent="0.3">
      <c r="A4780" t="s">
        <v>4836</v>
      </c>
      <c r="B4780">
        <f>IF(ISNUMBER(SEARCH(Form!$C$11,Tabel2[[#This Row],[Coordinate Projection System]])),MAX($B$1:B4779)+1,0)</f>
        <v>4779</v>
      </c>
      <c r="C4780" t="str">
        <f t="shared" si="74"/>
        <v>NAD83 / North Dakota North</v>
      </c>
    </row>
    <row r="4781" spans="1:3" x14ac:dyDescent="0.3">
      <c r="A4781" t="s">
        <v>4837</v>
      </c>
      <c r="B4781">
        <f>IF(ISNUMBER(SEARCH(Form!$C$11,Tabel2[[#This Row],[Coordinate Projection System]])),MAX($B$1:B4780)+1,0)</f>
        <v>4780</v>
      </c>
      <c r="C4781" t="str">
        <f t="shared" si="74"/>
        <v>NAD83 / North Dakota South</v>
      </c>
    </row>
    <row r="4782" spans="1:3" x14ac:dyDescent="0.3">
      <c r="A4782" t="s">
        <v>4838</v>
      </c>
      <c r="B4782">
        <f>IF(ISNUMBER(SEARCH(Form!$C$11,Tabel2[[#This Row],[Coordinate Projection System]])),MAX($B$1:B4781)+1,0)</f>
        <v>4781</v>
      </c>
      <c r="C4782" t="str">
        <f t="shared" si="74"/>
        <v>NAD83 / Ohio North</v>
      </c>
    </row>
    <row r="4783" spans="1:3" x14ac:dyDescent="0.3">
      <c r="A4783" t="s">
        <v>4839</v>
      </c>
      <c r="B4783">
        <f>IF(ISNUMBER(SEARCH(Form!$C$11,Tabel2[[#This Row],[Coordinate Projection System]])),MAX($B$1:B4782)+1,0)</f>
        <v>4782</v>
      </c>
      <c r="C4783" t="str">
        <f t="shared" si="74"/>
        <v>NAD83 / Ohio South</v>
      </c>
    </row>
    <row r="4784" spans="1:3" x14ac:dyDescent="0.3">
      <c r="A4784" t="s">
        <v>4840</v>
      </c>
      <c r="B4784">
        <f>IF(ISNUMBER(SEARCH(Form!$C$11,Tabel2[[#This Row],[Coordinate Projection System]])),MAX($B$1:B4783)+1,0)</f>
        <v>4783</v>
      </c>
      <c r="C4784" t="str">
        <f t="shared" si="74"/>
        <v>NAD83 / Oklahoma North</v>
      </c>
    </row>
    <row r="4785" spans="1:3" x14ac:dyDescent="0.3">
      <c r="A4785" t="s">
        <v>4841</v>
      </c>
      <c r="B4785">
        <f>IF(ISNUMBER(SEARCH(Form!$C$11,Tabel2[[#This Row],[Coordinate Projection System]])),MAX($B$1:B4784)+1,0)</f>
        <v>4784</v>
      </c>
      <c r="C4785" t="str">
        <f t="shared" si="74"/>
        <v>NAD83 / Oklahoma South</v>
      </c>
    </row>
    <row r="4786" spans="1:3" x14ac:dyDescent="0.3">
      <c r="A4786" t="s">
        <v>4842</v>
      </c>
      <c r="B4786">
        <f>IF(ISNUMBER(SEARCH(Form!$C$11,Tabel2[[#This Row],[Coordinate Projection System]])),MAX($B$1:B4785)+1,0)</f>
        <v>4785</v>
      </c>
      <c r="C4786" t="str">
        <f t="shared" si="74"/>
        <v>NAD83 / Oregon North</v>
      </c>
    </row>
    <row r="4787" spans="1:3" x14ac:dyDescent="0.3">
      <c r="A4787" t="s">
        <v>4843</v>
      </c>
      <c r="B4787">
        <f>IF(ISNUMBER(SEARCH(Form!$C$11,Tabel2[[#This Row],[Coordinate Projection System]])),MAX($B$1:B4786)+1,0)</f>
        <v>4786</v>
      </c>
      <c r="C4787" t="str">
        <f t="shared" si="74"/>
        <v>NAD83 / Oregon South</v>
      </c>
    </row>
    <row r="4788" spans="1:3" x14ac:dyDescent="0.3">
      <c r="A4788" t="s">
        <v>4844</v>
      </c>
      <c r="B4788">
        <f>IF(ISNUMBER(SEARCH(Form!$C$11,Tabel2[[#This Row],[Coordinate Projection System]])),MAX($B$1:B4787)+1,0)</f>
        <v>4787</v>
      </c>
      <c r="C4788" t="str">
        <f t="shared" si="74"/>
        <v>NAD83 / Pennsylvania North</v>
      </c>
    </row>
    <row r="4789" spans="1:3" x14ac:dyDescent="0.3">
      <c r="A4789" t="s">
        <v>4845</v>
      </c>
      <c r="B4789">
        <f>IF(ISNUMBER(SEARCH(Form!$C$11,Tabel2[[#This Row],[Coordinate Projection System]])),MAX($B$1:B4788)+1,0)</f>
        <v>4788</v>
      </c>
      <c r="C4789" t="str">
        <f t="shared" si="74"/>
        <v>NAD83 / Pennsylvania South</v>
      </c>
    </row>
    <row r="4790" spans="1:3" x14ac:dyDescent="0.3">
      <c r="A4790" t="s">
        <v>4846</v>
      </c>
      <c r="B4790">
        <f>IF(ISNUMBER(SEARCH(Form!$C$11,Tabel2[[#This Row],[Coordinate Projection System]])),MAX($B$1:B4789)+1,0)</f>
        <v>4789</v>
      </c>
      <c r="C4790" t="str">
        <f t="shared" si="74"/>
        <v>NAD83 / Rhode Island</v>
      </c>
    </row>
    <row r="4791" spans="1:3" x14ac:dyDescent="0.3">
      <c r="A4791" t="s">
        <v>4847</v>
      </c>
      <c r="B4791">
        <f>IF(ISNUMBER(SEARCH(Form!$C$11,Tabel2[[#This Row],[Coordinate Projection System]])),MAX($B$1:B4790)+1,0)</f>
        <v>4790</v>
      </c>
      <c r="C4791" t="str">
        <f t="shared" si="74"/>
        <v>NAD83 / South Carolina</v>
      </c>
    </row>
    <row r="4792" spans="1:3" x14ac:dyDescent="0.3">
      <c r="A4792" t="s">
        <v>4848</v>
      </c>
      <c r="B4792">
        <f>IF(ISNUMBER(SEARCH(Form!$C$11,Tabel2[[#This Row],[Coordinate Projection System]])),MAX($B$1:B4791)+1,0)</f>
        <v>4791</v>
      </c>
      <c r="C4792" t="str">
        <f t="shared" si="74"/>
        <v>NAD83 / South Dakota North</v>
      </c>
    </row>
    <row r="4793" spans="1:3" x14ac:dyDescent="0.3">
      <c r="A4793" t="s">
        <v>4849</v>
      </c>
      <c r="B4793">
        <f>IF(ISNUMBER(SEARCH(Form!$C$11,Tabel2[[#This Row],[Coordinate Projection System]])),MAX($B$1:B4792)+1,0)</f>
        <v>4792</v>
      </c>
      <c r="C4793" t="str">
        <f t="shared" si="74"/>
        <v>NAD83 / South Dakota South</v>
      </c>
    </row>
    <row r="4794" spans="1:3" x14ac:dyDescent="0.3">
      <c r="A4794" t="s">
        <v>4850</v>
      </c>
      <c r="B4794">
        <f>IF(ISNUMBER(SEARCH(Form!$C$11,Tabel2[[#This Row],[Coordinate Projection System]])),MAX($B$1:B4793)+1,0)</f>
        <v>4793</v>
      </c>
      <c r="C4794" t="str">
        <f t="shared" si="74"/>
        <v>NAD83 / Tennessee</v>
      </c>
    </row>
    <row r="4795" spans="1:3" x14ac:dyDescent="0.3">
      <c r="A4795" t="s">
        <v>4851</v>
      </c>
      <c r="B4795">
        <f>IF(ISNUMBER(SEARCH(Form!$C$11,Tabel2[[#This Row],[Coordinate Projection System]])),MAX($B$1:B4794)+1,0)</f>
        <v>4794</v>
      </c>
      <c r="C4795" t="str">
        <f t="shared" si="74"/>
        <v>NAD83 / Texas North</v>
      </c>
    </row>
    <row r="4796" spans="1:3" x14ac:dyDescent="0.3">
      <c r="A4796" t="s">
        <v>4852</v>
      </c>
      <c r="B4796">
        <f>IF(ISNUMBER(SEARCH(Form!$C$11,Tabel2[[#This Row],[Coordinate Projection System]])),MAX($B$1:B4795)+1,0)</f>
        <v>4795</v>
      </c>
      <c r="C4796" t="str">
        <f t="shared" si="74"/>
        <v>NAD83 / Texas North Central</v>
      </c>
    </row>
    <row r="4797" spans="1:3" x14ac:dyDescent="0.3">
      <c r="A4797" t="s">
        <v>4853</v>
      </c>
      <c r="B4797">
        <f>IF(ISNUMBER(SEARCH(Form!$C$11,Tabel2[[#This Row],[Coordinate Projection System]])),MAX($B$1:B4796)+1,0)</f>
        <v>4796</v>
      </c>
      <c r="C4797" t="str">
        <f t="shared" si="74"/>
        <v>NAD83 / Texas Central</v>
      </c>
    </row>
    <row r="4798" spans="1:3" x14ac:dyDescent="0.3">
      <c r="A4798" t="s">
        <v>4854</v>
      </c>
      <c r="B4798">
        <f>IF(ISNUMBER(SEARCH(Form!$C$11,Tabel2[[#This Row],[Coordinate Projection System]])),MAX($B$1:B4797)+1,0)</f>
        <v>4797</v>
      </c>
      <c r="C4798" t="str">
        <f t="shared" si="74"/>
        <v>NAD83 / Texas South Central</v>
      </c>
    </row>
    <row r="4799" spans="1:3" x14ac:dyDescent="0.3">
      <c r="A4799" t="s">
        <v>4855</v>
      </c>
      <c r="B4799">
        <f>IF(ISNUMBER(SEARCH(Form!$C$11,Tabel2[[#This Row],[Coordinate Projection System]])),MAX($B$1:B4798)+1,0)</f>
        <v>4798</v>
      </c>
      <c r="C4799" t="str">
        <f t="shared" si="74"/>
        <v>NAD83 / Texas South</v>
      </c>
    </row>
    <row r="4800" spans="1:3" x14ac:dyDescent="0.3">
      <c r="A4800" t="s">
        <v>4856</v>
      </c>
      <c r="B4800">
        <f>IF(ISNUMBER(SEARCH(Form!$C$11,Tabel2[[#This Row],[Coordinate Projection System]])),MAX($B$1:B4799)+1,0)</f>
        <v>4799</v>
      </c>
      <c r="C4800" t="str">
        <f t="shared" si="74"/>
        <v>NAD83 / Utah North</v>
      </c>
    </row>
    <row r="4801" spans="1:3" x14ac:dyDescent="0.3">
      <c r="A4801" t="s">
        <v>4857</v>
      </c>
      <c r="B4801">
        <f>IF(ISNUMBER(SEARCH(Form!$C$11,Tabel2[[#This Row],[Coordinate Projection System]])),MAX($B$1:B4800)+1,0)</f>
        <v>4800</v>
      </c>
      <c r="C4801" t="str">
        <f t="shared" si="74"/>
        <v>NAD83 / Utah Central</v>
      </c>
    </row>
    <row r="4802" spans="1:3" x14ac:dyDescent="0.3">
      <c r="A4802" t="s">
        <v>4858</v>
      </c>
      <c r="B4802">
        <f>IF(ISNUMBER(SEARCH(Form!$C$11,Tabel2[[#This Row],[Coordinate Projection System]])),MAX($B$1:B4801)+1,0)</f>
        <v>4801</v>
      </c>
      <c r="C4802" t="str">
        <f t="shared" si="74"/>
        <v>NAD83 / Utah South</v>
      </c>
    </row>
    <row r="4803" spans="1:3" x14ac:dyDescent="0.3">
      <c r="A4803" t="s">
        <v>4859</v>
      </c>
      <c r="B4803">
        <f>IF(ISNUMBER(SEARCH(Form!$C$11,Tabel2[[#This Row],[Coordinate Projection System]])),MAX($B$1:B4802)+1,0)</f>
        <v>4802</v>
      </c>
      <c r="C4803" t="str">
        <f t="shared" ref="C4803:C4866" si="75">_xlfn.IFNA(INDEX(A4803:A10314,MATCH(ROW(C4802),B4803:B10314,0)),"")</f>
        <v>NAD83 / Vermont</v>
      </c>
    </row>
    <row r="4804" spans="1:3" x14ac:dyDescent="0.3">
      <c r="A4804" t="s">
        <v>4860</v>
      </c>
      <c r="B4804">
        <f>IF(ISNUMBER(SEARCH(Form!$C$11,Tabel2[[#This Row],[Coordinate Projection System]])),MAX($B$1:B4803)+1,0)</f>
        <v>4803</v>
      </c>
      <c r="C4804" t="str">
        <f t="shared" si="75"/>
        <v>NAD83 / Virginia North</v>
      </c>
    </row>
    <row r="4805" spans="1:3" x14ac:dyDescent="0.3">
      <c r="A4805" t="s">
        <v>4861</v>
      </c>
      <c r="B4805">
        <f>IF(ISNUMBER(SEARCH(Form!$C$11,Tabel2[[#This Row],[Coordinate Projection System]])),MAX($B$1:B4804)+1,0)</f>
        <v>4804</v>
      </c>
      <c r="C4805" t="str">
        <f t="shared" si="75"/>
        <v>NAD83 / Virginia South</v>
      </c>
    </row>
    <row r="4806" spans="1:3" x14ac:dyDescent="0.3">
      <c r="A4806" t="s">
        <v>4862</v>
      </c>
      <c r="B4806">
        <f>IF(ISNUMBER(SEARCH(Form!$C$11,Tabel2[[#This Row],[Coordinate Projection System]])),MAX($B$1:B4805)+1,0)</f>
        <v>4805</v>
      </c>
      <c r="C4806" t="str">
        <f t="shared" si="75"/>
        <v>NAD83 / Washington North</v>
      </c>
    </row>
    <row r="4807" spans="1:3" x14ac:dyDescent="0.3">
      <c r="A4807" t="s">
        <v>4863</v>
      </c>
      <c r="B4807">
        <f>IF(ISNUMBER(SEARCH(Form!$C$11,Tabel2[[#This Row],[Coordinate Projection System]])),MAX($B$1:B4806)+1,0)</f>
        <v>4806</v>
      </c>
      <c r="C4807" t="str">
        <f t="shared" si="75"/>
        <v>NAD83 / Washington South</v>
      </c>
    </row>
    <row r="4808" spans="1:3" x14ac:dyDescent="0.3">
      <c r="A4808" t="s">
        <v>4864</v>
      </c>
      <c r="B4808">
        <f>IF(ISNUMBER(SEARCH(Form!$C$11,Tabel2[[#This Row],[Coordinate Projection System]])),MAX($B$1:B4807)+1,0)</f>
        <v>4807</v>
      </c>
      <c r="C4808" t="str">
        <f t="shared" si="75"/>
        <v>NAD83 / West Virginia North</v>
      </c>
    </row>
    <row r="4809" spans="1:3" x14ac:dyDescent="0.3">
      <c r="A4809" t="s">
        <v>4865</v>
      </c>
      <c r="B4809">
        <f>IF(ISNUMBER(SEARCH(Form!$C$11,Tabel2[[#This Row],[Coordinate Projection System]])),MAX($B$1:B4808)+1,0)</f>
        <v>4808</v>
      </c>
      <c r="C4809" t="str">
        <f t="shared" si="75"/>
        <v>NAD83 / West Virginia South</v>
      </c>
    </row>
    <row r="4810" spans="1:3" x14ac:dyDescent="0.3">
      <c r="A4810" t="s">
        <v>4866</v>
      </c>
      <c r="B4810">
        <f>IF(ISNUMBER(SEARCH(Form!$C$11,Tabel2[[#This Row],[Coordinate Projection System]])),MAX($B$1:B4809)+1,0)</f>
        <v>4809</v>
      </c>
      <c r="C4810" t="str">
        <f t="shared" si="75"/>
        <v>NAD83 / Wisconsin North</v>
      </c>
    </row>
    <row r="4811" spans="1:3" x14ac:dyDescent="0.3">
      <c r="A4811" t="s">
        <v>4867</v>
      </c>
      <c r="B4811">
        <f>IF(ISNUMBER(SEARCH(Form!$C$11,Tabel2[[#This Row],[Coordinate Projection System]])),MAX($B$1:B4810)+1,0)</f>
        <v>4810</v>
      </c>
      <c r="C4811" t="str">
        <f t="shared" si="75"/>
        <v>NAD83 / Wisconsin Central</v>
      </c>
    </row>
    <row r="4812" spans="1:3" x14ac:dyDescent="0.3">
      <c r="A4812" t="s">
        <v>4868</v>
      </c>
      <c r="B4812">
        <f>IF(ISNUMBER(SEARCH(Form!$C$11,Tabel2[[#This Row],[Coordinate Projection System]])),MAX($B$1:B4811)+1,0)</f>
        <v>4811</v>
      </c>
      <c r="C4812" t="str">
        <f t="shared" si="75"/>
        <v>NAD83 / Wisconsin South</v>
      </c>
    </row>
    <row r="4813" spans="1:3" x14ac:dyDescent="0.3">
      <c r="A4813" t="s">
        <v>4869</v>
      </c>
      <c r="B4813">
        <f>IF(ISNUMBER(SEARCH(Form!$C$11,Tabel2[[#This Row],[Coordinate Projection System]])),MAX($B$1:B4812)+1,0)</f>
        <v>4812</v>
      </c>
      <c r="C4813" t="str">
        <f t="shared" si="75"/>
        <v>NAD83 / Wyoming East</v>
      </c>
    </row>
    <row r="4814" spans="1:3" x14ac:dyDescent="0.3">
      <c r="A4814" t="s">
        <v>4870</v>
      </c>
      <c r="B4814">
        <f>IF(ISNUMBER(SEARCH(Form!$C$11,Tabel2[[#This Row],[Coordinate Projection System]])),MAX($B$1:B4813)+1,0)</f>
        <v>4813</v>
      </c>
      <c r="C4814" t="str">
        <f t="shared" si="75"/>
        <v>NAD83 / Wyoming East Central</v>
      </c>
    </row>
    <row r="4815" spans="1:3" x14ac:dyDescent="0.3">
      <c r="A4815" t="s">
        <v>4871</v>
      </c>
      <c r="B4815">
        <f>IF(ISNUMBER(SEARCH(Form!$C$11,Tabel2[[#This Row],[Coordinate Projection System]])),MAX($B$1:B4814)+1,0)</f>
        <v>4814</v>
      </c>
      <c r="C4815" t="str">
        <f t="shared" si="75"/>
        <v>NAD83 / Wyoming West Central</v>
      </c>
    </row>
    <row r="4816" spans="1:3" x14ac:dyDescent="0.3">
      <c r="A4816" t="s">
        <v>4872</v>
      </c>
      <c r="B4816">
        <f>IF(ISNUMBER(SEARCH(Form!$C$11,Tabel2[[#This Row],[Coordinate Projection System]])),MAX($B$1:B4815)+1,0)</f>
        <v>4815</v>
      </c>
      <c r="C4816" t="str">
        <f t="shared" si="75"/>
        <v>NAD83 / Wyoming West</v>
      </c>
    </row>
    <row r="4817" spans="1:3" x14ac:dyDescent="0.3">
      <c r="A4817" t="s">
        <v>4873</v>
      </c>
      <c r="B4817">
        <f>IF(ISNUMBER(SEARCH(Form!$C$11,Tabel2[[#This Row],[Coordinate Projection System]])),MAX($B$1:B4816)+1,0)</f>
        <v>4816</v>
      </c>
      <c r="C4817" t="str">
        <f t="shared" si="75"/>
        <v>NAD83 / Puerto Rico &amp; Virgin Is.</v>
      </c>
    </row>
    <row r="4818" spans="1:3" x14ac:dyDescent="0.3">
      <c r="A4818" t="s">
        <v>4874</v>
      </c>
      <c r="B4818">
        <f>IF(ISNUMBER(SEARCH(Form!$C$11,Tabel2[[#This Row],[Coordinate Projection System]])),MAX($B$1:B4817)+1,0)</f>
        <v>4817</v>
      </c>
      <c r="C4818" t="str">
        <f t="shared" si="75"/>
        <v>NAD83 / BLM 14N (ftUS)</v>
      </c>
    </row>
    <row r="4819" spans="1:3" x14ac:dyDescent="0.3">
      <c r="A4819" t="s">
        <v>4875</v>
      </c>
      <c r="B4819">
        <f>IF(ISNUMBER(SEARCH(Form!$C$11,Tabel2[[#This Row],[Coordinate Projection System]])),MAX($B$1:B4818)+1,0)</f>
        <v>4818</v>
      </c>
      <c r="C4819" t="str">
        <f t="shared" si="75"/>
        <v>NAD83 / BLM 15N (ftUS)</v>
      </c>
    </row>
    <row r="4820" spans="1:3" x14ac:dyDescent="0.3">
      <c r="A4820" t="s">
        <v>4876</v>
      </c>
      <c r="B4820">
        <f>IF(ISNUMBER(SEARCH(Form!$C$11,Tabel2[[#This Row],[Coordinate Projection System]])),MAX($B$1:B4819)+1,0)</f>
        <v>4819</v>
      </c>
      <c r="C4820" t="str">
        <f t="shared" si="75"/>
        <v>NAD83 / BLM 16N (ftUS)</v>
      </c>
    </row>
    <row r="4821" spans="1:3" x14ac:dyDescent="0.3">
      <c r="A4821" t="s">
        <v>4877</v>
      </c>
      <c r="B4821">
        <f>IF(ISNUMBER(SEARCH(Form!$C$11,Tabel2[[#This Row],[Coordinate Projection System]])),MAX($B$1:B4820)+1,0)</f>
        <v>4820</v>
      </c>
      <c r="C4821" t="str">
        <f t="shared" si="75"/>
        <v>NAD83 / BLM 17N (ftUS)</v>
      </c>
    </row>
    <row r="4822" spans="1:3" x14ac:dyDescent="0.3">
      <c r="A4822" t="s">
        <v>4878</v>
      </c>
      <c r="B4822">
        <f>IF(ISNUMBER(SEARCH(Form!$C$11,Tabel2[[#This Row],[Coordinate Projection System]])),MAX($B$1:B4821)+1,0)</f>
        <v>4821</v>
      </c>
      <c r="C4822" t="str">
        <f t="shared" si="75"/>
        <v>NAD83 / SCoPQ zone 2 (deprecated)</v>
      </c>
    </row>
    <row r="4823" spans="1:3" x14ac:dyDescent="0.3">
      <c r="A4823" t="s">
        <v>4879</v>
      </c>
      <c r="B4823">
        <f>IF(ISNUMBER(SEARCH(Form!$C$11,Tabel2[[#This Row],[Coordinate Projection System]])),MAX($B$1:B4822)+1,0)</f>
        <v>4822</v>
      </c>
      <c r="C4823" t="str">
        <f t="shared" si="75"/>
        <v>NAD83 / MTM zone 1</v>
      </c>
    </row>
    <row r="4824" spans="1:3" x14ac:dyDescent="0.3">
      <c r="A4824" t="s">
        <v>4880</v>
      </c>
      <c r="B4824">
        <f>IF(ISNUMBER(SEARCH(Form!$C$11,Tabel2[[#This Row],[Coordinate Projection System]])),MAX($B$1:B4823)+1,0)</f>
        <v>4823</v>
      </c>
      <c r="C4824" t="str">
        <f t="shared" si="75"/>
        <v>NAD83 / MTM zone 2</v>
      </c>
    </row>
    <row r="4825" spans="1:3" x14ac:dyDescent="0.3">
      <c r="A4825" t="s">
        <v>4881</v>
      </c>
      <c r="B4825">
        <f>IF(ISNUMBER(SEARCH(Form!$C$11,Tabel2[[#This Row],[Coordinate Projection System]])),MAX($B$1:B4824)+1,0)</f>
        <v>4824</v>
      </c>
      <c r="C4825" t="str">
        <f t="shared" si="75"/>
        <v>NAD83 / MTM zone 3</v>
      </c>
    </row>
    <row r="4826" spans="1:3" x14ac:dyDescent="0.3">
      <c r="A4826" t="s">
        <v>4882</v>
      </c>
      <c r="B4826">
        <f>IF(ISNUMBER(SEARCH(Form!$C$11,Tabel2[[#This Row],[Coordinate Projection System]])),MAX($B$1:B4825)+1,0)</f>
        <v>4825</v>
      </c>
      <c r="C4826" t="str">
        <f t="shared" si="75"/>
        <v>NAD83 / MTM zone 4</v>
      </c>
    </row>
    <row r="4827" spans="1:3" x14ac:dyDescent="0.3">
      <c r="A4827" t="s">
        <v>4883</v>
      </c>
      <c r="B4827">
        <f>IF(ISNUMBER(SEARCH(Form!$C$11,Tabel2[[#This Row],[Coordinate Projection System]])),MAX($B$1:B4826)+1,0)</f>
        <v>4826</v>
      </c>
      <c r="C4827" t="str">
        <f t="shared" si="75"/>
        <v>NAD83 / MTM zone 5</v>
      </c>
    </row>
    <row r="4828" spans="1:3" x14ac:dyDescent="0.3">
      <c r="A4828" t="s">
        <v>4884</v>
      </c>
      <c r="B4828">
        <f>IF(ISNUMBER(SEARCH(Form!$C$11,Tabel2[[#This Row],[Coordinate Projection System]])),MAX($B$1:B4827)+1,0)</f>
        <v>4827</v>
      </c>
      <c r="C4828" t="str">
        <f t="shared" si="75"/>
        <v>NAD83 / MTM zone 6</v>
      </c>
    </row>
    <row r="4829" spans="1:3" x14ac:dyDescent="0.3">
      <c r="A4829" t="s">
        <v>4885</v>
      </c>
      <c r="B4829">
        <f>IF(ISNUMBER(SEARCH(Form!$C$11,Tabel2[[#This Row],[Coordinate Projection System]])),MAX($B$1:B4828)+1,0)</f>
        <v>4828</v>
      </c>
      <c r="C4829" t="str">
        <f t="shared" si="75"/>
        <v>NAD83 / MTM zone 7</v>
      </c>
    </row>
    <row r="4830" spans="1:3" x14ac:dyDescent="0.3">
      <c r="A4830" t="s">
        <v>4886</v>
      </c>
      <c r="B4830">
        <f>IF(ISNUMBER(SEARCH(Form!$C$11,Tabel2[[#This Row],[Coordinate Projection System]])),MAX($B$1:B4829)+1,0)</f>
        <v>4829</v>
      </c>
      <c r="C4830" t="str">
        <f t="shared" si="75"/>
        <v>NAD83 / MTM zone 8</v>
      </c>
    </row>
    <row r="4831" spans="1:3" x14ac:dyDescent="0.3">
      <c r="A4831" t="s">
        <v>4887</v>
      </c>
      <c r="B4831">
        <f>IF(ISNUMBER(SEARCH(Form!$C$11,Tabel2[[#This Row],[Coordinate Projection System]])),MAX($B$1:B4830)+1,0)</f>
        <v>4830</v>
      </c>
      <c r="C4831" t="str">
        <f t="shared" si="75"/>
        <v>NAD83 / MTM zone 9</v>
      </c>
    </row>
    <row r="4832" spans="1:3" x14ac:dyDescent="0.3">
      <c r="A4832" t="s">
        <v>4888</v>
      </c>
      <c r="B4832">
        <f>IF(ISNUMBER(SEARCH(Form!$C$11,Tabel2[[#This Row],[Coordinate Projection System]])),MAX($B$1:B4831)+1,0)</f>
        <v>4831</v>
      </c>
      <c r="C4832" t="str">
        <f t="shared" si="75"/>
        <v>NAD83 / MTM zone 10</v>
      </c>
    </row>
    <row r="4833" spans="1:3" x14ac:dyDescent="0.3">
      <c r="A4833" t="s">
        <v>4889</v>
      </c>
      <c r="B4833">
        <f>IF(ISNUMBER(SEARCH(Form!$C$11,Tabel2[[#This Row],[Coordinate Projection System]])),MAX($B$1:B4832)+1,0)</f>
        <v>4832</v>
      </c>
      <c r="C4833" t="str">
        <f t="shared" si="75"/>
        <v>NAD83 / MTM zone 11</v>
      </c>
    </row>
    <row r="4834" spans="1:3" x14ac:dyDescent="0.3">
      <c r="A4834" t="s">
        <v>4890</v>
      </c>
      <c r="B4834">
        <f>IF(ISNUMBER(SEARCH(Form!$C$11,Tabel2[[#This Row],[Coordinate Projection System]])),MAX($B$1:B4833)+1,0)</f>
        <v>4833</v>
      </c>
      <c r="C4834" t="str">
        <f t="shared" si="75"/>
        <v>NAD83 / MTM zone 12</v>
      </c>
    </row>
    <row r="4835" spans="1:3" x14ac:dyDescent="0.3">
      <c r="A4835" t="s">
        <v>4891</v>
      </c>
      <c r="B4835">
        <f>IF(ISNUMBER(SEARCH(Form!$C$11,Tabel2[[#This Row],[Coordinate Projection System]])),MAX($B$1:B4834)+1,0)</f>
        <v>4834</v>
      </c>
      <c r="C4835" t="str">
        <f t="shared" si="75"/>
        <v>NAD83 / MTM zone 13</v>
      </c>
    </row>
    <row r="4836" spans="1:3" x14ac:dyDescent="0.3">
      <c r="A4836" t="s">
        <v>4892</v>
      </c>
      <c r="B4836">
        <f>IF(ISNUMBER(SEARCH(Form!$C$11,Tabel2[[#This Row],[Coordinate Projection System]])),MAX($B$1:B4835)+1,0)</f>
        <v>4835</v>
      </c>
      <c r="C4836" t="str">
        <f t="shared" si="75"/>
        <v>NAD83 / MTM zone 14</v>
      </c>
    </row>
    <row r="4837" spans="1:3" x14ac:dyDescent="0.3">
      <c r="A4837" t="s">
        <v>4893</v>
      </c>
      <c r="B4837">
        <f>IF(ISNUMBER(SEARCH(Form!$C$11,Tabel2[[#This Row],[Coordinate Projection System]])),MAX($B$1:B4836)+1,0)</f>
        <v>4836</v>
      </c>
      <c r="C4837" t="str">
        <f t="shared" si="75"/>
        <v>NAD83 / MTM zone 15</v>
      </c>
    </row>
    <row r="4838" spans="1:3" x14ac:dyDescent="0.3">
      <c r="A4838" t="s">
        <v>4894</v>
      </c>
      <c r="B4838">
        <f>IF(ISNUMBER(SEARCH(Form!$C$11,Tabel2[[#This Row],[Coordinate Projection System]])),MAX($B$1:B4837)+1,0)</f>
        <v>4837</v>
      </c>
      <c r="C4838" t="str">
        <f t="shared" si="75"/>
        <v>NAD83 / MTM zone 16</v>
      </c>
    </row>
    <row r="4839" spans="1:3" x14ac:dyDescent="0.3">
      <c r="A4839" t="s">
        <v>4895</v>
      </c>
      <c r="B4839">
        <f>IF(ISNUMBER(SEARCH(Form!$C$11,Tabel2[[#This Row],[Coordinate Projection System]])),MAX($B$1:B4838)+1,0)</f>
        <v>4838</v>
      </c>
      <c r="C4839" t="str">
        <f t="shared" si="75"/>
        <v>NAD83 / MTM zone 17</v>
      </c>
    </row>
    <row r="4840" spans="1:3" x14ac:dyDescent="0.3">
      <c r="A4840" t="s">
        <v>4896</v>
      </c>
      <c r="B4840">
        <f>IF(ISNUMBER(SEARCH(Form!$C$11,Tabel2[[#This Row],[Coordinate Projection System]])),MAX($B$1:B4839)+1,0)</f>
        <v>4839</v>
      </c>
      <c r="C4840" t="str">
        <f t="shared" si="75"/>
        <v>NAD83 / Quebec Lambert</v>
      </c>
    </row>
    <row r="4841" spans="1:3" x14ac:dyDescent="0.3">
      <c r="A4841" t="s">
        <v>4897</v>
      </c>
      <c r="B4841">
        <f>IF(ISNUMBER(SEARCH(Form!$C$11,Tabel2[[#This Row],[Coordinate Projection System]])),MAX($B$1:B4840)+1,0)</f>
        <v>4840</v>
      </c>
      <c r="C4841" t="str">
        <f t="shared" si="75"/>
        <v>NAD83 / Louisiana Offshore</v>
      </c>
    </row>
    <row r="4842" spans="1:3" x14ac:dyDescent="0.3">
      <c r="A4842" t="s">
        <v>4898</v>
      </c>
      <c r="B4842">
        <f>IF(ISNUMBER(SEARCH(Form!$C$11,Tabel2[[#This Row],[Coordinate Projection System]])),MAX($B$1:B4841)+1,0)</f>
        <v>4841</v>
      </c>
      <c r="C4842" t="str">
        <f t="shared" si="75"/>
        <v>WGS 72 / UTM zone 1N</v>
      </c>
    </row>
    <row r="4843" spans="1:3" x14ac:dyDescent="0.3">
      <c r="A4843" t="s">
        <v>4899</v>
      </c>
      <c r="B4843">
        <f>IF(ISNUMBER(SEARCH(Form!$C$11,Tabel2[[#This Row],[Coordinate Projection System]])),MAX($B$1:B4842)+1,0)</f>
        <v>4842</v>
      </c>
      <c r="C4843" t="str">
        <f t="shared" si="75"/>
        <v>WGS 72 / UTM zone 2N</v>
      </c>
    </row>
    <row r="4844" spans="1:3" x14ac:dyDescent="0.3">
      <c r="A4844" t="s">
        <v>4900</v>
      </c>
      <c r="B4844">
        <f>IF(ISNUMBER(SEARCH(Form!$C$11,Tabel2[[#This Row],[Coordinate Projection System]])),MAX($B$1:B4843)+1,0)</f>
        <v>4843</v>
      </c>
      <c r="C4844" t="str">
        <f t="shared" si="75"/>
        <v>WGS 72 / UTM zone 3N</v>
      </c>
    </row>
    <row r="4845" spans="1:3" x14ac:dyDescent="0.3">
      <c r="A4845" t="s">
        <v>4901</v>
      </c>
      <c r="B4845">
        <f>IF(ISNUMBER(SEARCH(Form!$C$11,Tabel2[[#This Row],[Coordinate Projection System]])),MAX($B$1:B4844)+1,0)</f>
        <v>4844</v>
      </c>
      <c r="C4845" t="str">
        <f t="shared" si="75"/>
        <v>WGS 72 / UTM zone 4N</v>
      </c>
    </row>
    <row r="4846" spans="1:3" x14ac:dyDescent="0.3">
      <c r="A4846" t="s">
        <v>4902</v>
      </c>
      <c r="B4846">
        <f>IF(ISNUMBER(SEARCH(Form!$C$11,Tabel2[[#This Row],[Coordinate Projection System]])),MAX($B$1:B4845)+1,0)</f>
        <v>4845</v>
      </c>
      <c r="C4846" t="str">
        <f t="shared" si="75"/>
        <v>WGS 72 / UTM zone 5N</v>
      </c>
    </row>
    <row r="4847" spans="1:3" x14ac:dyDescent="0.3">
      <c r="A4847" t="s">
        <v>4903</v>
      </c>
      <c r="B4847">
        <f>IF(ISNUMBER(SEARCH(Form!$C$11,Tabel2[[#This Row],[Coordinate Projection System]])),MAX($B$1:B4846)+1,0)</f>
        <v>4846</v>
      </c>
      <c r="C4847" t="str">
        <f t="shared" si="75"/>
        <v>WGS 72 / UTM zone 6N</v>
      </c>
    </row>
    <row r="4848" spans="1:3" x14ac:dyDescent="0.3">
      <c r="A4848" t="s">
        <v>4904</v>
      </c>
      <c r="B4848">
        <f>IF(ISNUMBER(SEARCH(Form!$C$11,Tabel2[[#This Row],[Coordinate Projection System]])),MAX($B$1:B4847)+1,0)</f>
        <v>4847</v>
      </c>
      <c r="C4848" t="str">
        <f t="shared" si="75"/>
        <v>WGS 72 / UTM zone 7N</v>
      </c>
    </row>
    <row r="4849" spans="1:3" x14ac:dyDescent="0.3">
      <c r="A4849" t="s">
        <v>4905</v>
      </c>
      <c r="B4849">
        <f>IF(ISNUMBER(SEARCH(Form!$C$11,Tabel2[[#This Row],[Coordinate Projection System]])),MAX($B$1:B4848)+1,0)</f>
        <v>4848</v>
      </c>
      <c r="C4849" t="str">
        <f t="shared" si="75"/>
        <v>WGS 72 / UTM zone 8N</v>
      </c>
    </row>
    <row r="4850" spans="1:3" x14ac:dyDescent="0.3">
      <c r="A4850" t="s">
        <v>4906</v>
      </c>
      <c r="B4850">
        <f>IF(ISNUMBER(SEARCH(Form!$C$11,Tabel2[[#This Row],[Coordinate Projection System]])),MAX($B$1:B4849)+1,0)</f>
        <v>4849</v>
      </c>
      <c r="C4850" t="str">
        <f t="shared" si="75"/>
        <v>WGS 72 / UTM zone 9N</v>
      </c>
    </row>
    <row r="4851" spans="1:3" x14ac:dyDescent="0.3">
      <c r="A4851" t="s">
        <v>4907</v>
      </c>
      <c r="B4851">
        <f>IF(ISNUMBER(SEARCH(Form!$C$11,Tabel2[[#This Row],[Coordinate Projection System]])),MAX($B$1:B4850)+1,0)</f>
        <v>4850</v>
      </c>
      <c r="C4851" t="str">
        <f t="shared" si="75"/>
        <v>WGS 72 / UTM zone 10N</v>
      </c>
    </row>
    <row r="4852" spans="1:3" x14ac:dyDescent="0.3">
      <c r="A4852" t="s">
        <v>4908</v>
      </c>
      <c r="B4852">
        <f>IF(ISNUMBER(SEARCH(Form!$C$11,Tabel2[[#This Row],[Coordinate Projection System]])),MAX($B$1:B4851)+1,0)</f>
        <v>4851</v>
      </c>
      <c r="C4852" t="str">
        <f t="shared" si="75"/>
        <v>WGS 72 / UTM zone 11N</v>
      </c>
    </row>
    <row r="4853" spans="1:3" x14ac:dyDescent="0.3">
      <c r="A4853" t="s">
        <v>4909</v>
      </c>
      <c r="B4853">
        <f>IF(ISNUMBER(SEARCH(Form!$C$11,Tabel2[[#This Row],[Coordinate Projection System]])),MAX($B$1:B4852)+1,0)</f>
        <v>4852</v>
      </c>
      <c r="C4853" t="str">
        <f t="shared" si="75"/>
        <v>WGS 72 / UTM zone 12N</v>
      </c>
    </row>
    <row r="4854" spans="1:3" x14ac:dyDescent="0.3">
      <c r="A4854" t="s">
        <v>4910</v>
      </c>
      <c r="B4854">
        <f>IF(ISNUMBER(SEARCH(Form!$C$11,Tabel2[[#This Row],[Coordinate Projection System]])),MAX($B$1:B4853)+1,0)</f>
        <v>4853</v>
      </c>
      <c r="C4854" t="str">
        <f t="shared" si="75"/>
        <v>WGS 72 / UTM zone 13N</v>
      </c>
    </row>
    <row r="4855" spans="1:3" x14ac:dyDescent="0.3">
      <c r="A4855" t="s">
        <v>4911</v>
      </c>
      <c r="B4855">
        <f>IF(ISNUMBER(SEARCH(Form!$C$11,Tabel2[[#This Row],[Coordinate Projection System]])),MAX($B$1:B4854)+1,0)</f>
        <v>4854</v>
      </c>
      <c r="C4855" t="str">
        <f t="shared" si="75"/>
        <v>WGS 72 / UTM zone 14N</v>
      </c>
    </row>
    <row r="4856" spans="1:3" x14ac:dyDescent="0.3">
      <c r="A4856" t="s">
        <v>4912</v>
      </c>
      <c r="B4856">
        <f>IF(ISNUMBER(SEARCH(Form!$C$11,Tabel2[[#This Row],[Coordinate Projection System]])),MAX($B$1:B4855)+1,0)</f>
        <v>4855</v>
      </c>
      <c r="C4856" t="str">
        <f t="shared" si="75"/>
        <v>WGS 72 / UTM zone 15N</v>
      </c>
    </row>
    <row r="4857" spans="1:3" x14ac:dyDescent="0.3">
      <c r="A4857" t="s">
        <v>4913</v>
      </c>
      <c r="B4857">
        <f>IF(ISNUMBER(SEARCH(Form!$C$11,Tabel2[[#This Row],[Coordinate Projection System]])),MAX($B$1:B4856)+1,0)</f>
        <v>4856</v>
      </c>
      <c r="C4857" t="str">
        <f t="shared" si="75"/>
        <v>WGS 72 / UTM zone 16N</v>
      </c>
    </row>
    <row r="4858" spans="1:3" x14ac:dyDescent="0.3">
      <c r="A4858" t="s">
        <v>4914</v>
      </c>
      <c r="B4858">
        <f>IF(ISNUMBER(SEARCH(Form!$C$11,Tabel2[[#This Row],[Coordinate Projection System]])),MAX($B$1:B4857)+1,0)</f>
        <v>4857</v>
      </c>
      <c r="C4858" t="str">
        <f t="shared" si="75"/>
        <v>WGS 72 / UTM zone 17N</v>
      </c>
    </row>
    <row r="4859" spans="1:3" x14ac:dyDescent="0.3">
      <c r="A4859" t="s">
        <v>4915</v>
      </c>
      <c r="B4859">
        <f>IF(ISNUMBER(SEARCH(Form!$C$11,Tabel2[[#This Row],[Coordinate Projection System]])),MAX($B$1:B4858)+1,0)</f>
        <v>4858</v>
      </c>
      <c r="C4859" t="str">
        <f t="shared" si="75"/>
        <v>WGS 72 / UTM zone 18N</v>
      </c>
    </row>
    <row r="4860" spans="1:3" x14ac:dyDescent="0.3">
      <c r="A4860" t="s">
        <v>4916</v>
      </c>
      <c r="B4860">
        <f>IF(ISNUMBER(SEARCH(Form!$C$11,Tabel2[[#This Row],[Coordinate Projection System]])),MAX($B$1:B4859)+1,0)</f>
        <v>4859</v>
      </c>
      <c r="C4860" t="str">
        <f t="shared" si="75"/>
        <v>WGS 72 / UTM zone 19N</v>
      </c>
    </row>
    <row r="4861" spans="1:3" x14ac:dyDescent="0.3">
      <c r="A4861" t="s">
        <v>4917</v>
      </c>
      <c r="B4861">
        <f>IF(ISNUMBER(SEARCH(Form!$C$11,Tabel2[[#This Row],[Coordinate Projection System]])),MAX($B$1:B4860)+1,0)</f>
        <v>4860</v>
      </c>
      <c r="C4861" t="str">
        <f t="shared" si="75"/>
        <v>WGS 72 / UTM zone 20N</v>
      </c>
    </row>
    <row r="4862" spans="1:3" x14ac:dyDescent="0.3">
      <c r="A4862" t="s">
        <v>4918</v>
      </c>
      <c r="B4862">
        <f>IF(ISNUMBER(SEARCH(Form!$C$11,Tabel2[[#This Row],[Coordinate Projection System]])),MAX($B$1:B4861)+1,0)</f>
        <v>4861</v>
      </c>
      <c r="C4862" t="str">
        <f t="shared" si="75"/>
        <v>WGS 72 / UTM zone 21N</v>
      </c>
    </row>
    <row r="4863" spans="1:3" x14ac:dyDescent="0.3">
      <c r="A4863" t="s">
        <v>4919</v>
      </c>
      <c r="B4863">
        <f>IF(ISNUMBER(SEARCH(Form!$C$11,Tabel2[[#This Row],[Coordinate Projection System]])),MAX($B$1:B4862)+1,0)</f>
        <v>4862</v>
      </c>
      <c r="C4863" t="str">
        <f t="shared" si="75"/>
        <v>WGS 72 / UTM zone 22N</v>
      </c>
    </row>
    <row r="4864" spans="1:3" x14ac:dyDescent="0.3">
      <c r="A4864" t="s">
        <v>4920</v>
      </c>
      <c r="B4864">
        <f>IF(ISNUMBER(SEARCH(Form!$C$11,Tabel2[[#This Row],[Coordinate Projection System]])),MAX($B$1:B4863)+1,0)</f>
        <v>4863</v>
      </c>
      <c r="C4864" t="str">
        <f t="shared" si="75"/>
        <v>WGS 72 / UTM zone 23N</v>
      </c>
    </row>
    <row r="4865" spans="1:3" x14ac:dyDescent="0.3">
      <c r="A4865" t="s">
        <v>4921</v>
      </c>
      <c r="B4865">
        <f>IF(ISNUMBER(SEARCH(Form!$C$11,Tabel2[[#This Row],[Coordinate Projection System]])),MAX($B$1:B4864)+1,0)</f>
        <v>4864</v>
      </c>
      <c r="C4865" t="str">
        <f t="shared" si="75"/>
        <v>WGS 72 / UTM zone 24N</v>
      </c>
    </row>
    <row r="4866" spans="1:3" x14ac:dyDescent="0.3">
      <c r="A4866" t="s">
        <v>4922</v>
      </c>
      <c r="B4866">
        <f>IF(ISNUMBER(SEARCH(Form!$C$11,Tabel2[[#This Row],[Coordinate Projection System]])),MAX($B$1:B4865)+1,0)</f>
        <v>4865</v>
      </c>
      <c r="C4866" t="str">
        <f t="shared" si="75"/>
        <v>WGS 72 / UTM zone 25N</v>
      </c>
    </row>
    <row r="4867" spans="1:3" x14ac:dyDescent="0.3">
      <c r="A4867" t="s">
        <v>4923</v>
      </c>
      <c r="B4867">
        <f>IF(ISNUMBER(SEARCH(Form!$C$11,Tabel2[[#This Row],[Coordinate Projection System]])),MAX($B$1:B4866)+1,0)</f>
        <v>4866</v>
      </c>
      <c r="C4867" t="str">
        <f t="shared" ref="C4867:C4930" si="76">_xlfn.IFNA(INDEX(A4867:A10378,MATCH(ROW(C4866),B4867:B10378,0)),"")</f>
        <v>WGS 72 / UTM zone 26N</v>
      </c>
    </row>
    <row r="4868" spans="1:3" x14ac:dyDescent="0.3">
      <c r="A4868" t="s">
        <v>4924</v>
      </c>
      <c r="B4868">
        <f>IF(ISNUMBER(SEARCH(Form!$C$11,Tabel2[[#This Row],[Coordinate Projection System]])),MAX($B$1:B4867)+1,0)</f>
        <v>4867</v>
      </c>
      <c r="C4868" t="str">
        <f t="shared" si="76"/>
        <v>WGS 72 / UTM zone 27N</v>
      </c>
    </row>
    <row r="4869" spans="1:3" x14ac:dyDescent="0.3">
      <c r="A4869" t="s">
        <v>4925</v>
      </c>
      <c r="B4869">
        <f>IF(ISNUMBER(SEARCH(Form!$C$11,Tabel2[[#This Row],[Coordinate Projection System]])),MAX($B$1:B4868)+1,0)</f>
        <v>4868</v>
      </c>
      <c r="C4869" t="str">
        <f t="shared" si="76"/>
        <v>WGS 72 / UTM zone 28N</v>
      </c>
    </row>
    <row r="4870" spans="1:3" x14ac:dyDescent="0.3">
      <c r="A4870" t="s">
        <v>4926</v>
      </c>
      <c r="B4870">
        <f>IF(ISNUMBER(SEARCH(Form!$C$11,Tabel2[[#This Row],[Coordinate Projection System]])),MAX($B$1:B4869)+1,0)</f>
        <v>4869</v>
      </c>
      <c r="C4870" t="str">
        <f t="shared" si="76"/>
        <v>WGS 72 / UTM zone 29N</v>
      </c>
    </row>
    <row r="4871" spans="1:3" x14ac:dyDescent="0.3">
      <c r="A4871" t="s">
        <v>4927</v>
      </c>
      <c r="B4871">
        <f>IF(ISNUMBER(SEARCH(Form!$C$11,Tabel2[[#This Row],[Coordinate Projection System]])),MAX($B$1:B4870)+1,0)</f>
        <v>4870</v>
      </c>
      <c r="C4871" t="str">
        <f t="shared" si="76"/>
        <v>WGS 72 / UTM zone 30N</v>
      </c>
    </row>
    <row r="4872" spans="1:3" x14ac:dyDescent="0.3">
      <c r="A4872" t="s">
        <v>4928</v>
      </c>
      <c r="B4872">
        <f>IF(ISNUMBER(SEARCH(Form!$C$11,Tabel2[[#This Row],[Coordinate Projection System]])),MAX($B$1:B4871)+1,0)</f>
        <v>4871</v>
      </c>
      <c r="C4872" t="str">
        <f t="shared" si="76"/>
        <v>WGS 72 / UTM zone 31N</v>
      </c>
    </row>
    <row r="4873" spans="1:3" x14ac:dyDescent="0.3">
      <c r="A4873" t="s">
        <v>4929</v>
      </c>
      <c r="B4873">
        <f>IF(ISNUMBER(SEARCH(Form!$C$11,Tabel2[[#This Row],[Coordinate Projection System]])),MAX($B$1:B4872)+1,0)</f>
        <v>4872</v>
      </c>
      <c r="C4873" t="str">
        <f t="shared" si="76"/>
        <v>WGS 72 / UTM zone 32N</v>
      </c>
    </row>
    <row r="4874" spans="1:3" x14ac:dyDescent="0.3">
      <c r="A4874" t="s">
        <v>4930</v>
      </c>
      <c r="B4874">
        <f>IF(ISNUMBER(SEARCH(Form!$C$11,Tabel2[[#This Row],[Coordinate Projection System]])),MAX($B$1:B4873)+1,0)</f>
        <v>4873</v>
      </c>
      <c r="C4874" t="str">
        <f t="shared" si="76"/>
        <v>WGS 72 / UTM zone 33N</v>
      </c>
    </row>
    <row r="4875" spans="1:3" x14ac:dyDescent="0.3">
      <c r="A4875" t="s">
        <v>4931</v>
      </c>
      <c r="B4875">
        <f>IF(ISNUMBER(SEARCH(Form!$C$11,Tabel2[[#This Row],[Coordinate Projection System]])),MAX($B$1:B4874)+1,0)</f>
        <v>4874</v>
      </c>
      <c r="C4875" t="str">
        <f t="shared" si="76"/>
        <v>WGS 72 / UTM zone 34N</v>
      </c>
    </row>
    <row r="4876" spans="1:3" x14ac:dyDescent="0.3">
      <c r="A4876" t="s">
        <v>4932</v>
      </c>
      <c r="B4876">
        <f>IF(ISNUMBER(SEARCH(Form!$C$11,Tabel2[[#This Row],[Coordinate Projection System]])),MAX($B$1:B4875)+1,0)</f>
        <v>4875</v>
      </c>
      <c r="C4876" t="str">
        <f t="shared" si="76"/>
        <v>WGS 72 / UTM zone 35N</v>
      </c>
    </row>
    <row r="4877" spans="1:3" x14ac:dyDescent="0.3">
      <c r="A4877" t="s">
        <v>4933</v>
      </c>
      <c r="B4877">
        <f>IF(ISNUMBER(SEARCH(Form!$C$11,Tabel2[[#This Row],[Coordinate Projection System]])),MAX($B$1:B4876)+1,0)</f>
        <v>4876</v>
      </c>
      <c r="C4877" t="str">
        <f t="shared" si="76"/>
        <v>WGS 72 / UTM zone 36N</v>
      </c>
    </row>
    <row r="4878" spans="1:3" x14ac:dyDescent="0.3">
      <c r="A4878" t="s">
        <v>4934</v>
      </c>
      <c r="B4878">
        <f>IF(ISNUMBER(SEARCH(Form!$C$11,Tabel2[[#This Row],[Coordinate Projection System]])),MAX($B$1:B4877)+1,0)</f>
        <v>4877</v>
      </c>
      <c r="C4878" t="str">
        <f t="shared" si="76"/>
        <v>WGS 72 / UTM zone 37N</v>
      </c>
    </row>
    <row r="4879" spans="1:3" x14ac:dyDescent="0.3">
      <c r="A4879" t="s">
        <v>4935</v>
      </c>
      <c r="B4879">
        <f>IF(ISNUMBER(SEARCH(Form!$C$11,Tabel2[[#This Row],[Coordinate Projection System]])),MAX($B$1:B4878)+1,0)</f>
        <v>4878</v>
      </c>
      <c r="C4879" t="str">
        <f t="shared" si="76"/>
        <v>WGS 72 / UTM zone 38N</v>
      </c>
    </row>
    <row r="4880" spans="1:3" x14ac:dyDescent="0.3">
      <c r="A4880" t="s">
        <v>4936</v>
      </c>
      <c r="B4880">
        <f>IF(ISNUMBER(SEARCH(Form!$C$11,Tabel2[[#This Row],[Coordinate Projection System]])),MAX($B$1:B4879)+1,0)</f>
        <v>4879</v>
      </c>
      <c r="C4880" t="str">
        <f t="shared" si="76"/>
        <v>WGS 72 / UTM zone 39N</v>
      </c>
    </row>
    <row r="4881" spans="1:3" x14ac:dyDescent="0.3">
      <c r="A4881" t="s">
        <v>4937</v>
      </c>
      <c r="B4881">
        <f>IF(ISNUMBER(SEARCH(Form!$C$11,Tabel2[[#This Row],[Coordinate Projection System]])),MAX($B$1:B4880)+1,0)</f>
        <v>4880</v>
      </c>
      <c r="C4881" t="str">
        <f t="shared" si="76"/>
        <v>WGS 72 / UTM zone 40N</v>
      </c>
    </row>
    <row r="4882" spans="1:3" x14ac:dyDescent="0.3">
      <c r="A4882" t="s">
        <v>4938</v>
      </c>
      <c r="B4882">
        <f>IF(ISNUMBER(SEARCH(Form!$C$11,Tabel2[[#This Row],[Coordinate Projection System]])),MAX($B$1:B4881)+1,0)</f>
        <v>4881</v>
      </c>
      <c r="C4882" t="str">
        <f t="shared" si="76"/>
        <v>WGS 72 / UTM zone 41N</v>
      </c>
    </row>
    <row r="4883" spans="1:3" x14ac:dyDescent="0.3">
      <c r="A4883" t="s">
        <v>4939</v>
      </c>
      <c r="B4883">
        <f>IF(ISNUMBER(SEARCH(Form!$C$11,Tabel2[[#This Row],[Coordinate Projection System]])),MAX($B$1:B4882)+1,0)</f>
        <v>4882</v>
      </c>
      <c r="C4883" t="str">
        <f t="shared" si="76"/>
        <v>WGS 72 / UTM zone 42N</v>
      </c>
    </row>
    <row r="4884" spans="1:3" x14ac:dyDescent="0.3">
      <c r="A4884" t="s">
        <v>4940</v>
      </c>
      <c r="B4884">
        <f>IF(ISNUMBER(SEARCH(Form!$C$11,Tabel2[[#This Row],[Coordinate Projection System]])),MAX($B$1:B4883)+1,0)</f>
        <v>4883</v>
      </c>
      <c r="C4884" t="str">
        <f t="shared" si="76"/>
        <v>WGS 72 / UTM zone 43N</v>
      </c>
    </row>
    <row r="4885" spans="1:3" x14ac:dyDescent="0.3">
      <c r="A4885" t="s">
        <v>4941</v>
      </c>
      <c r="B4885">
        <f>IF(ISNUMBER(SEARCH(Form!$C$11,Tabel2[[#This Row],[Coordinate Projection System]])),MAX($B$1:B4884)+1,0)</f>
        <v>4884</v>
      </c>
      <c r="C4885" t="str">
        <f t="shared" si="76"/>
        <v>WGS 72 / UTM zone 44N</v>
      </c>
    </row>
    <row r="4886" spans="1:3" x14ac:dyDescent="0.3">
      <c r="A4886" t="s">
        <v>4942</v>
      </c>
      <c r="B4886">
        <f>IF(ISNUMBER(SEARCH(Form!$C$11,Tabel2[[#This Row],[Coordinate Projection System]])),MAX($B$1:B4885)+1,0)</f>
        <v>4885</v>
      </c>
      <c r="C4886" t="str">
        <f t="shared" si="76"/>
        <v>WGS 72 / UTM zone 45N</v>
      </c>
    </row>
    <row r="4887" spans="1:3" x14ac:dyDescent="0.3">
      <c r="A4887" t="s">
        <v>4943</v>
      </c>
      <c r="B4887">
        <f>IF(ISNUMBER(SEARCH(Form!$C$11,Tabel2[[#This Row],[Coordinate Projection System]])),MAX($B$1:B4886)+1,0)</f>
        <v>4886</v>
      </c>
      <c r="C4887" t="str">
        <f t="shared" si="76"/>
        <v>WGS 72 / UTM zone 46N</v>
      </c>
    </row>
    <row r="4888" spans="1:3" x14ac:dyDescent="0.3">
      <c r="A4888" t="s">
        <v>4944</v>
      </c>
      <c r="B4888">
        <f>IF(ISNUMBER(SEARCH(Form!$C$11,Tabel2[[#This Row],[Coordinate Projection System]])),MAX($B$1:B4887)+1,0)</f>
        <v>4887</v>
      </c>
      <c r="C4888" t="str">
        <f t="shared" si="76"/>
        <v>WGS 72 / UTM zone 47N</v>
      </c>
    </row>
    <row r="4889" spans="1:3" x14ac:dyDescent="0.3">
      <c r="A4889" t="s">
        <v>4945</v>
      </c>
      <c r="B4889">
        <f>IF(ISNUMBER(SEARCH(Form!$C$11,Tabel2[[#This Row],[Coordinate Projection System]])),MAX($B$1:B4888)+1,0)</f>
        <v>4888</v>
      </c>
      <c r="C4889" t="str">
        <f t="shared" si="76"/>
        <v>WGS 72 / UTM zone 48N</v>
      </c>
    </row>
    <row r="4890" spans="1:3" x14ac:dyDescent="0.3">
      <c r="A4890" t="s">
        <v>4946</v>
      </c>
      <c r="B4890">
        <f>IF(ISNUMBER(SEARCH(Form!$C$11,Tabel2[[#This Row],[Coordinate Projection System]])),MAX($B$1:B4889)+1,0)</f>
        <v>4889</v>
      </c>
      <c r="C4890" t="str">
        <f t="shared" si="76"/>
        <v>WGS 72 / UTM zone 49N</v>
      </c>
    </row>
    <row r="4891" spans="1:3" x14ac:dyDescent="0.3">
      <c r="A4891" t="s">
        <v>4947</v>
      </c>
      <c r="B4891">
        <f>IF(ISNUMBER(SEARCH(Form!$C$11,Tabel2[[#This Row],[Coordinate Projection System]])),MAX($B$1:B4890)+1,0)</f>
        <v>4890</v>
      </c>
      <c r="C4891" t="str">
        <f t="shared" si="76"/>
        <v>WGS 72 / UTM zone 50N</v>
      </c>
    </row>
    <row r="4892" spans="1:3" x14ac:dyDescent="0.3">
      <c r="A4892" t="s">
        <v>4948</v>
      </c>
      <c r="B4892">
        <f>IF(ISNUMBER(SEARCH(Form!$C$11,Tabel2[[#This Row],[Coordinate Projection System]])),MAX($B$1:B4891)+1,0)</f>
        <v>4891</v>
      </c>
      <c r="C4892" t="str">
        <f t="shared" si="76"/>
        <v>WGS 72 / UTM zone 51N</v>
      </c>
    </row>
    <row r="4893" spans="1:3" x14ac:dyDescent="0.3">
      <c r="A4893" t="s">
        <v>4949</v>
      </c>
      <c r="B4893">
        <f>IF(ISNUMBER(SEARCH(Form!$C$11,Tabel2[[#This Row],[Coordinate Projection System]])),MAX($B$1:B4892)+1,0)</f>
        <v>4892</v>
      </c>
      <c r="C4893" t="str">
        <f t="shared" si="76"/>
        <v>WGS 72 / UTM zone 52N</v>
      </c>
    </row>
    <row r="4894" spans="1:3" x14ac:dyDescent="0.3">
      <c r="A4894" t="s">
        <v>4950</v>
      </c>
      <c r="B4894">
        <f>IF(ISNUMBER(SEARCH(Form!$C$11,Tabel2[[#This Row],[Coordinate Projection System]])),MAX($B$1:B4893)+1,0)</f>
        <v>4893</v>
      </c>
      <c r="C4894" t="str">
        <f t="shared" si="76"/>
        <v>WGS 72 / UTM zone 53N</v>
      </c>
    </row>
    <row r="4895" spans="1:3" x14ac:dyDescent="0.3">
      <c r="A4895" t="s">
        <v>4951</v>
      </c>
      <c r="B4895">
        <f>IF(ISNUMBER(SEARCH(Form!$C$11,Tabel2[[#This Row],[Coordinate Projection System]])),MAX($B$1:B4894)+1,0)</f>
        <v>4894</v>
      </c>
      <c r="C4895" t="str">
        <f t="shared" si="76"/>
        <v>WGS 72 / UTM zone 54N</v>
      </c>
    </row>
    <row r="4896" spans="1:3" x14ac:dyDescent="0.3">
      <c r="A4896" t="s">
        <v>4952</v>
      </c>
      <c r="B4896">
        <f>IF(ISNUMBER(SEARCH(Form!$C$11,Tabel2[[#This Row],[Coordinate Projection System]])),MAX($B$1:B4895)+1,0)</f>
        <v>4895</v>
      </c>
      <c r="C4896" t="str">
        <f t="shared" si="76"/>
        <v>WGS 72 / UTM zone 55N</v>
      </c>
    </row>
    <row r="4897" spans="1:3" x14ac:dyDescent="0.3">
      <c r="A4897" t="s">
        <v>4953</v>
      </c>
      <c r="B4897">
        <f>IF(ISNUMBER(SEARCH(Form!$C$11,Tabel2[[#This Row],[Coordinate Projection System]])),MAX($B$1:B4896)+1,0)</f>
        <v>4896</v>
      </c>
      <c r="C4897" t="str">
        <f t="shared" si="76"/>
        <v>WGS 72 / UTM zone 56N</v>
      </c>
    </row>
    <row r="4898" spans="1:3" x14ac:dyDescent="0.3">
      <c r="A4898" t="s">
        <v>4954</v>
      </c>
      <c r="B4898">
        <f>IF(ISNUMBER(SEARCH(Form!$C$11,Tabel2[[#This Row],[Coordinate Projection System]])),MAX($B$1:B4897)+1,0)</f>
        <v>4897</v>
      </c>
      <c r="C4898" t="str">
        <f t="shared" si="76"/>
        <v>WGS 72 / UTM zone 57N</v>
      </c>
    </row>
    <row r="4899" spans="1:3" x14ac:dyDescent="0.3">
      <c r="A4899" t="s">
        <v>4955</v>
      </c>
      <c r="B4899">
        <f>IF(ISNUMBER(SEARCH(Form!$C$11,Tabel2[[#This Row],[Coordinate Projection System]])),MAX($B$1:B4898)+1,0)</f>
        <v>4898</v>
      </c>
      <c r="C4899" t="str">
        <f t="shared" si="76"/>
        <v>WGS 72 / UTM zone 58N</v>
      </c>
    </row>
    <row r="4900" spans="1:3" x14ac:dyDescent="0.3">
      <c r="A4900" t="s">
        <v>4956</v>
      </c>
      <c r="B4900">
        <f>IF(ISNUMBER(SEARCH(Form!$C$11,Tabel2[[#This Row],[Coordinate Projection System]])),MAX($B$1:B4899)+1,0)</f>
        <v>4899</v>
      </c>
      <c r="C4900" t="str">
        <f t="shared" si="76"/>
        <v>WGS 72 / UTM zone 59N</v>
      </c>
    </row>
    <row r="4901" spans="1:3" x14ac:dyDescent="0.3">
      <c r="A4901" t="s">
        <v>4957</v>
      </c>
      <c r="B4901">
        <f>IF(ISNUMBER(SEARCH(Form!$C$11,Tabel2[[#This Row],[Coordinate Projection System]])),MAX($B$1:B4900)+1,0)</f>
        <v>4900</v>
      </c>
      <c r="C4901" t="str">
        <f t="shared" si="76"/>
        <v>WGS 72 / UTM zone 60N</v>
      </c>
    </row>
    <row r="4902" spans="1:3" x14ac:dyDescent="0.3">
      <c r="A4902" t="s">
        <v>4958</v>
      </c>
      <c r="B4902">
        <f>IF(ISNUMBER(SEARCH(Form!$C$11,Tabel2[[#This Row],[Coordinate Projection System]])),MAX($B$1:B4901)+1,0)</f>
        <v>4901</v>
      </c>
      <c r="C4902" t="str">
        <f t="shared" si="76"/>
        <v>WGS 72 / UTM zone 1S</v>
      </c>
    </row>
    <row r="4903" spans="1:3" x14ac:dyDescent="0.3">
      <c r="A4903" t="s">
        <v>4959</v>
      </c>
      <c r="B4903">
        <f>IF(ISNUMBER(SEARCH(Form!$C$11,Tabel2[[#This Row],[Coordinate Projection System]])),MAX($B$1:B4902)+1,0)</f>
        <v>4902</v>
      </c>
      <c r="C4903" t="str">
        <f t="shared" si="76"/>
        <v>WGS 72 / UTM zone 2S</v>
      </c>
    </row>
    <row r="4904" spans="1:3" x14ac:dyDescent="0.3">
      <c r="A4904" t="s">
        <v>4960</v>
      </c>
      <c r="B4904">
        <f>IF(ISNUMBER(SEARCH(Form!$C$11,Tabel2[[#This Row],[Coordinate Projection System]])),MAX($B$1:B4903)+1,0)</f>
        <v>4903</v>
      </c>
      <c r="C4904" t="str">
        <f t="shared" si="76"/>
        <v>WGS 72 / UTM zone 3S</v>
      </c>
    </row>
    <row r="4905" spans="1:3" x14ac:dyDescent="0.3">
      <c r="A4905" t="s">
        <v>4961</v>
      </c>
      <c r="B4905">
        <f>IF(ISNUMBER(SEARCH(Form!$C$11,Tabel2[[#This Row],[Coordinate Projection System]])),MAX($B$1:B4904)+1,0)</f>
        <v>4904</v>
      </c>
      <c r="C4905" t="str">
        <f t="shared" si="76"/>
        <v>WGS 72 / UTM zone 4S</v>
      </c>
    </row>
    <row r="4906" spans="1:3" x14ac:dyDescent="0.3">
      <c r="A4906" t="s">
        <v>4962</v>
      </c>
      <c r="B4906">
        <f>IF(ISNUMBER(SEARCH(Form!$C$11,Tabel2[[#This Row],[Coordinate Projection System]])),MAX($B$1:B4905)+1,0)</f>
        <v>4905</v>
      </c>
      <c r="C4906" t="str">
        <f t="shared" si="76"/>
        <v>WGS 72 / UTM zone 5S</v>
      </c>
    </row>
    <row r="4907" spans="1:3" x14ac:dyDescent="0.3">
      <c r="A4907" t="s">
        <v>4963</v>
      </c>
      <c r="B4907">
        <f>IF(ISNUMBER(SEARCH(Form!$C$11,Tabel2[[#This Row],[Coordinate Projection System]])),MAX($B$1:B4906)+1,0)</f>
        <v>4906</v>
      </c>
      <c r="C4907" t="str">
        <f t="shared" si="76"/>
        <v>WGS 72 / UTM zone 6S</v>
      </c>
    </row>
    <row r="4908" spans="1:3" x14ac:dyDescent="0.3">
      <c r="A4908" t="s">
        <v>4964</v>
      </c>
      <c r="B4908">
        <f>IF(ISNUMBER(SEARCH(Form!$C$11,Tabel2[[#This Row],[Coordinate Projection System]])),MAX($B$1:B4907)+1,0)</f>
        <v>4907</v>
      </c>
      <c r="C4908" t="str">
        <f t="shared" si="76"/>
        <v>WGS 72 / UTM zone 7S</v>
      </c>
    </row>
    <row r="4909" spans="1:3" x14ac:dyDescent="0.3">
      <c r="A4909" t="s">
        <v>4965</v>
      </c>
      <c r="B4909">
        <f>IF(ISNUMBER(SEARCH(Form!$C$11,Tabel2[[#This Row],[Coordinate Projection System]])),MAX($B$1:B4908)+1,0)</f>
        <v>4908</v>
      </c>
      <c r="C4909" t="str">
        <f t="shared" si="76"/>
        <v>WGS 72 / UTM zone 8S</v>
      </c>
    </row>
    <row r="4910" spans="1:3" x14ac:dyDescent="0.3">
      <c r="A4910" t="s">
        <v>4966</v>
      </c>
      <c r="B4910">
        <f>IF(ISNUMBER(SEARCH(Form!$C$11,Tabel2[[#This Row],[Coordinate Projection System]])),MAX($B$1:B4909)+1,0)</f>
        <v>4909</v>
      </c>
      <c r="C4910" t="str">
        <f t="shared" si="76"/>
        <v>WGS 72 / UTM zone 9S</v>
      </c>
    </row>
    <row r="4911" spans="1:3" x14ac:dyDescent="0.3">
      <c r="A4911" t="s">
        <v>4967</v>
      </c>
      <c r="B4911">
        <f>IF(ISNUMBER(SEARCH(Form!$C$11,Tabel2[[#This Row],[Coordinate Projection System]])),MAX($B$1:B4910)+1,0)</f>
        <v>4910</v>
      </c>
      <c r="C4911" t="str">
        <f t="shared" si="76"/>
        <v>WGS 72 / UTM zone 10S</v>
      </c>
    </row>
    <row r="4912" spans="1:3" x14ac:dyDescent="0.3">
      <c r="A4912" t="s">
        <v>4968</v>
      </c>
      <c r="B4912">
        <f>IF(ISNUMBER(SEARCH(Form!$C$11,Tabel2[[#This Row],[Coordinate Projection System]])),MAX($B$1:B4911)+1,0)</f>
        <v>4911</v>
      </c>
      <c r="C4912" t="str">
        <f t="shared" si="76"/>
        <v>WGS 72 / UTM zone 11S</v>
      </c>
    </row>
    <row r="4913" spans="1:3" x14ac:dyDescent="0.3">
      <c r="A4913" t="s">
        <v>4969</v>
      </c>
      <c r="B4913">
        <f>IF(ISNUMBER(SEARCH(Form!$C$11,Tabel2[[#This Row],[Coordinate Projection System]])),MAX($B$1:B4912)+1,0)</f>
        <v>4912</v>
      </c>
      <c r="C4913" t="str">
        <f t="shared" si="76"/>
        <v>WGS 72 / UTM zone 12S</v>
      </c>
    </row>
    <row r="4914" spans="1:3" x14ac:dyDescent="0.3">
      <c r="A4914" t="s">
        <v>4970</v>
      </c>
      <c r="B4914">
        <f>IF(ISNUMBER(SEARCH(Form!$C$11,Tabel2[[#This Row],[Coordinate Projection System]])),MAX($B$1:B4913)+1,0)</f>
        <v>4913</v>
      </c>
      <c r="C4914" t="str">
        <f t="shared" si="76"/>
        <v>WGS 72 / UTM zone 13S</v>
      </c>
    </row>
    <row r="4915" spans="1:3" x14ac:dyDescent="0.3">
      <c r="A4915" t="s">
        <v>4971</v>
      </c>
      <c r="B4915">
        <f>IF(ISNUMBER(SEARCH(Form!$C$11,Tabel2[[#This Row],[Coordinate Projection System]])),MAX($B$1:B4914)+1,0)</f>
        <v>4914</v>
      </c>
      <c r="C4915" t="str">
        <f t="shared" si="76"/>
        <v>WGS 72 / UTM zone 14S</v>
      </c>
    </row>
    <row r="4916" spans="1:3" x14ac:dyDescent="0.3">
      <c r="A4916" t="s">
        <v>4972</v>
      </c>
      <c r="B4916">
        <f>IF(ISNUMBER(SEARCH(Form!$C$11,Tabel2[[#This Row],[Coordinate Projection System]])),MAX($B$1:B4915)+1,0)</f>
        <v>4915</v>
      </c>
      <c r="C4916" t="str">
        <f t="shared" si="76"/>
        <v>WGS 72 / UTM zone 15S</v>
      </c>
    </row>
    <row r="4917" spans="1:3" x14ac:dyDescent="0.3">
      <c r="A4917" t="s">
        <v>4973</v>
      </c>
      <c r="B4917">
        <f>IF(ISNUMBER(SEARCH(Form!$C$11,Tabel2[[#This Row],[Coordinate Projection System]])),MAX($B$1:B4916)+1,0)</f>
        <v>4916</v>
      </c>
      <c r="C4917" t="str">
        <f t="shared" si="76"/>
        <v>WGS 72 / UTM zone 16S</v>
      </c>
    </row>
    <row r="4918" spans="1:3" x14ac:dyDescent="0.3">
      <c r="A4918" t="s">
        <v>4974</v>
      </c>
      <c r="B4918">
        <f>IF(ISNUMBER(SEARCH(Form!$C$11,Tabel2[[#This Row],[Coordinate Projection System]])),MAX($B$1:B4917)+1,0)</f>
        <v>4917</v>
      </c>
      <c r="C4918" t="str">
        <f t="shared" si="76"/>
        <v>WGS 72 / UTM zone 17S</v>
      </c>
    </row>
    <row r="4919" spans="1:3" x14ac:dyDescent="0.3">
      <c r="A4919" t="s">
        <v>4975</v>
      </c>
      <c r="B4919">
        <f>IF(ISNUMBER(SEARCH(Form!$C$11,Tabel2[[#This Row],[Coordinate Projection System]])),MAX($B$1:B4918)+1,0)</f>
        <v>4918</v>
      </c>
      <c r="C4919" t="str">
        <f t="shared" si="76"/>
        <v>WGS 72 / UTM zone 18S</v>
      </c>
    </row>
    <row r="4920" spans="1:3" x14ac:dyDescent="0.3">
      <c r="A4920" t="s">
        <v>4976</v>
      </c>
      <c r="B4920">
        <f>IF(ISNUMBER(SEARCH(Form!$C$11,Tabel2[[#This Row],[Coordinate Projection System]])),MAX($B$1:B4919)+1,0)</f>
        <v>4919</v>
      </c>
      <c r="C4920" t="str">
        <f t="shared" si="76"/>
        <v>WGS 72 / UTM zone 19S</v>
      </c>
    </row>
    <row r="4921" spans="1:3" x14ac:dyDescent="0.3">
      <c r="A4921" t="s">
        <v>4977</v>
      </c>
      <c r="B4921">
        <f>IF(ISNUMBER(SEARCH(Form!$C$11,Tabel2[[#This Row],[Coordinate Projection System]])),MAX($B$1:B4920)+1,0)</f>
        <v>4920</v>
      </c>
      <c r="C4921" t="str">
        <f t="shared" si="76"/>
        <v>WGS 72 / UTM zone 20S</v>
      </c>
    </row>
    <row r="4922" spans="1:3" x14ac:dyDescent="0.3">
      <c r="A4922" t="s">
        <v>4978</v>
      </c>
      <c r="B4922">
        <f>IF(ISNUMBER(SEARCH(Form!$C$11,Tabel2[[#This Row],[Coordinate Projection System]])),MAX($B$1:B4921)+1,0)</f>
        <v>4921</v>
      </c>
      <c r="C4922" t="str">
        <f t="shared" si="76"/>
        <v>WGS 72 / UTM zone 21S</v>
      </c>
    </row>
    <row r="4923" spans="1:3" x14ac:dyDescent="0.3">
      <c r="A4923" t="s">
        <v>4979</v>
      </c>
      <c r="B4923">
        <f>IF(ISNUMBER(SEARCH(Form!$C$11,Tabel2[[#This Row],[Coordinate Projection System]])),MAX($B$1:B4922)+1,0)</f>
        <v>4922</v>
      </c>
      <c r="C4923" t="str">
        <f t="shared" si="76"/>
        <v>WGS 72 / UTM zone 22S</v>
      </c>
    </row>
    <row r="4924" spans="1:3" x14ac:dyDescent="0.3">
      <c r="A4924" t="s">
        <v>4980</v>
      </c>
      <c r="B4924">
        <f>IF(ISNUMBER(SEARCH(Form!$C$11,Tabel2[[#This Row],[Coordinate Projection System]])),MAX($B$1:B4923)+1,0)</f>
        <v>4923</v>
      </c>
      <c r="C4924" t="str">
        <f t="shared" si="76"/>
        <v>WGS 72 / UTM zone 23S</v>
      </c>
    </row>
    <row r="4925" spans="1:3" x14ac:dyDescent="0.3">
      <c r="A4925" t="s">
        <v>4981</v>
      </c>
      <c r="B4925">
        <f>IF(ISNUMBER(SEARCH(Form!$C$11,Tabel2[[#This Row],[Coordinate Projection System]])),MAX($B$1:B4924)+1,0)</f>
        <v>4924</v>
      </c>
      <c r="C4925" t="str">
        <f t="shared" si="76"/>
        <v>WGS 72 / UTM zone 24S</v>
      </c>
    </row>
    <row r="4926" spans="1:3" x14ac:dyDescent="0.3">
      <c r="A4926" t="s">
        <v>4982</v>
      </c>
      <c r="B4926">
        <f>IF(ISNUMBER(SEARCH(Form!$C$11,Tabel2[[#This Row],[Coordinate Projection System]])),MAX($B$1:B4925)+1,0)</f>
        <v>4925</v>
      </c>
      <c r="C4926" t="str">
        <f t="shared" si="76"/>
        <v>WGS 72 / UTM zone 25S</v>
      </c>
    </row>
    <row r="4927" spans="1:3" x14ac:dyDescent="0.3">
      <c r="A4927" t="s">
        <v>4983</v>
      </c>
      <c r="B4927">
        <f>IF(ISNUMBER(SEARCH(Form!$C$11,Tabel2[[#This Row],[Coordinate Projection System]])),MAX($B$1:B4926)+1,0)</f>
        <v>4926</v>
      </c>
      <c r="C4927" t="str">
        <f t="shared" si="76"/>
        <v>WGS 72 / UTM zone 26S</v>
      </c>
    </row>
    <row r="4928" spans="1:3" x14ac:dyDescent="0.3">
      <c r="A4928" t="s">
        <v>4984</v>
      </c>
      <c r="B4928">
        <f>IF(ISNUMBER(SEARCH(Form!$C$11,Tabel2[[#This Row],[Coordinate Projection System]])),MAX($B$1:B4927)+1,0)</f>
        <v>4927</v>
      </c>
      <c r="C4928" t="str">
        <f t="shared" si="76"/>
        <v>WGS 72 / UTM zone 27S</v>
      </c>
    </row>
    <row r="4929" spans="1:3" x14ac:dyDescent="0.3">
      <c r="A4929" t="s">
        <v>4985</v>
      </c>
      <c r="B4929">
        <f>IF(ISNUMBER(SEARCH(Form!$C$11,Tabel2[[#This Row],[Coordinate Projection System]])),MAX($B$1:B4928)+1,0)</f>
        <v>4928</v>
      </c>
      <c r="C4929" t="str">
        <f t="shared" si="76"/>
        <v>WGS 72 / UTM zone 28S</v>
      </c>
    </row>
    <row r="4930" spans="1:3" x14ac:dyDescent="0.3">
      <c r="A4930" t="s">
        <v>4986</v>
      </c>
      <c r="B4930">
        <f>IF(ISNUMBER(SEARCH(Form!$C$11,Tabel2[[#This Row],[Coordinate Projection System]])),MAX($B$1:B4929)+1,0)</f>
        <v>4929</v>
      </c>
      <c r="C4930" t="str">
        <f t="shared" si="76"/>
        <v>WGS 72 / UTM zone 29S</v>
      </c>
    </row>
    <row r="4931" spans="1:3" x14ac:dyDescent="0.3">
      <c r="A4931" t="s">
        <v>4987</v>
      </c>
      <c r="B4931">
        <f>IF(ISNUMBER(SEARCH(Form!$C$11,Tabel2[[#This Row],[Coordinate Projection System]])),MAX($B$1:B4930)+1,0)</f>
        <v>4930</v>
      </c>
      <c r="C4931" t="str">
        <f t="shared" ref="C4931:C4994" si="77">_xlfn.IFNA(INDEX(A4931:A10442,MATCH(ROW(C4930),B4931:B10442,0)),"")</f>
        <v>WGS 72 / UTM zone 30S</v>
      </c>
    </row>
    <row r="4932" spans="1:3" x14ac:dyDescent="0.3">
      <c r="A4932" t="s">
        <v>4988</v>
      </c>
      <c r="B4932">
        <f>IF(ISNUMBER(SEARCH(Form!$C$11,Tabel2[[#This Row],[Coordinate Projection System]])),MAX($B$1:B4931)+1,0)</f>
        <v>4931</v>
      </c>
      <c r="C4932" t="str">
        <f t="shared" si="77"/>
        <v>WGS 72 / UTM zone 31S</v>
      </c>
    </row>
    <row r="4933" spans="1:3" x14ac:dyDescent="0.3">
      <c r="A4933" t="s">
        <v>4989</v>
      </c>
      <c r="B4933">
        <f>IF(ISNUMBER(SEARCH(Form!$C$11,Tabel2[[#This Row],[Coordinate Projection System]])),MAX($B$1:B4932)+1,0)</f>
        <v>4932</v>
      </c>
      <c r="C4933" t="str">
        <f t="shared" si="77"/>
        <v>WGS 72 / UTM zone 32S</v>
      </c>
    </row>
    <row r="4934" spans="1:3" x14ac:dyDescent="0.3">
      <c r="A4934" t="s">
        <v>4990</v>
      </c>
      <c r="B4934">
        <f>IF(ISNUMBER(SEARCH(Form!$C$11,Tabel2[[#This Row],[Coordinate Projection System]])),MAX($B$1:B4933)+1,0)</f>
        <v>4933</v>
      </c>
      <c r="C4934" t="str">
        <f t="shared" si="77"/>
        <v>WGS 72 / UTM zone 33S</v>
      </c>
    </row>
    <row r="4935" spans="1:3" x14ac:dyDescent="0.3">
      <c r="A4935" t="s">
        <v>4991</v>
      </c>
      <c r="B4935">
        <f>IF(ISNUMBER(SEARCH(Form!$C$11,Tabel2[[#This Row],[Coordinate Projection System]])),MAX($B$1:B4934)+1,0)</f>
        <v>4934</v>
      </c>
      <c r="C4935" t="str">
        <f t="shared" si="77"/>
        <v>WGS 72 / UTM zone 34S</v>
      </c>
    </row>
    <row r="4936" spans="1:3" x14ac:dyDescent="0.3">
      <c r="A4936" t="s">
        <v>4992</v>
      </c>
      <c r="B4936">
        <f>IF(ISNUMBER(SEARCH(Form!$C$11,Tabel2[[#This Row],[Coordinate Projection System]])),MAX($B$1:B4935)+1,0)</f>
        <v>4935</v>
      </c>
      <c r="C4936" t="str">
        <f t="shared" si="77"/>
        <v>WGS 72 / UTM zone 35S</v>
      </c>
    </row>
    <row r="4937" spans="1:3" x14ac:dyDescent="0.3">
      <c r="A4937" t="s">
        <v>4993</v>
      </c>
      <c r="B4937">
        <f>IF(ISNUMBER(SEARCH(Form!$C$11,Tabel2[[#This Row],[Coordinate Projection System]])),MAX($B$1:B4936)+1,0)</f>
        <v>4936</v>
      </c>
      <c r="C4937" t="str">
        <f t="shared" si="77"/>
        <v>WGS 72 / UTM zone 36S</v>
      </c>
    </row>
    <row r="4938" spans="1:3" x14ac:dyDescent="0.3">
      <c r="A4938" t="s">
        <v>4994</v>
      </c>
      <c r="B4938">
        <f>IF(ISNUMBER(SEARCH(Form!$C$11,Tabel2[[#This Row],[Coordinate Projection System]])),MAX($B$1:B4937)+1,0)</f>
        <v>4937</v>
      </c>
      <c r="C4938" t="str">
        <f t="shared" si="77"/>
        <v>WGS 72 / UTM zone 37S</v>
      </c>
    </row>
    <row r="4939" spans="1:3" x14ac:dyDescent="0.3">
      <c r="A4939" t="s">
        <v>4995</v>
      </c>
      <c r="B4939">
        <f>IF(ISNUMBER(SEARCH(Form!$C$11,Tabel2[[#This Row],[Coordinate Projection System]])),MAX($B$1:B4938)+1,0)</f>
        <v>4938</v>
      </c>
      <c r="C4939" t="str">
        <f t="shared" si="77"/>
        <v>WGS 72 / UTM zone 38S</v>
      </c>
    </row>
    <row r="4940" spans="1:3" x14ac:dyDescent="0.3">
      <c r="A4940" t="s">
        <v>4996</v>
      </c>
      <c r="B4940">
        <f>IF(ISNUMBER(SEARCH(Form!$C$11,Tabel2[[#This Row],[Coordinate Projection System]])),MAX($B$1:B4939)+1,0)</f>
        <v>4939</v>
      </c>
      <c r="C4940" t="str">
        <f t="shared" si="77"/>
        <v>WGS 72 / UTM zone 39S</v>
      </c>
    </row>
    <row r="4941" spans="1:3" x14ac:dyDescent="0.3">
      <c r="A4941" t="s">
        <v>4997</v>
      </c>
      <c r="B4941">
        <f>IF(ISNUMBER(SEARCH(Form!$C$11,Tabel2[[#This Row],[Coordinate Projection System]])),MAX($B$1:B4940)+1,0)</f>
        <v>4940</v>
      </c>
      <c r="C4941" t="str">
        <f t="shared" si="77"/>
        <v>WGS 72 / UTM zone 40S</v>
      </c>
    </row>
    <row r="4942" spans="1:3" x14ac:dyDescent="0.3">
      <c r="A4942" t="s">
        <v>4998</v>
      </c>
      <c r="B4942">
        <f>IF(ISNUMBER(SEARCH(Form!$C$11,Tabel2[[#This Row],[Coordinate Projection System]])),MAX($B$1:B4941)+1,0)</f>
        <v>4941</v>
      </c>
      <c r="C4942" t="str">
        <f t="shared" si="77"/>
        <v>WGS 72 / UTM zone 41S</v>
      </c>
    </row>
    <row r="4943" spans="1:3" x14ac:dyDescent="0.3">
      <c r="A4943" t="s">
        <v>4999</v>
      </c>
      <c r="B4943">
        <f>IF(ISNUMBER(SEARCH(Form!$C$11,Tabel2[[#This Row],[Coordinate Projection System]])),MAX($B$1:B4942)+1,0)</f>
        <v>4942</v>
      </c>
      <c r="C4943" t="str">
        <f t="shared" si="77"/>
        <v>WGS 72 / UTM zone 42S</v>
      </c>
    </row>
    <row r="4944" spans="1:3" x14ac:dyDescent="0.3">
      <c r="A4944" t="s">
        <v>5000</v>
      </c>
      <c r="B4944">
        <f>IF(ISNUMBER(SEARCH(Form!$C$11,Tabel2[[#This Row],[Coordinate Projection System]])),MAX($B$1:B4943)+1,0)</f>
        <v>4943</v>
      </c>
      <c r="C4944" t="str">
        <f t="shared" si="77"/>
        <v>WGS 72 / UTM zone 43S</v>
      </c>
    </row>
    <row r="4945" spans="1:3" x14ac:dyDescent="0.3">
      <c r="A4945" t="s">
        <v>5001</v>
      </c>
      <c r="B4945">
        <f>IF(ISNUMBER(SEARCH(Form!$C$11,Tabel2[[#This Row],[Coordinate Projection System]])),MAX($B$1:B4944)+1,0)</f>
        <v>4944</v>
      </c>
      <c r="C4945" t="str">
        <f t="shared" si="77"/>
        <v>WGS 72 / UTM zone 44S</v>
      </c>
    </row>
    <row r="4946" spans="1:3" x14ac:dyDescent="0.3">
      <c r="A4946" t="s">
        <v>5002</v>
      </c>
      <c r="B4946">
        <f>IF(ISNUMBER(SEARCH(Form!$C$11,Tabel2[[#This Row],[Coordinate Projection System]])),MAX($B$1:B4945)+1,0)</f>
        <v>4945</v>
      </c>
      <c r="C4946" t="str">
        <f t="shared" si="77"/>
        <v>WGS 72 / UTM zone 45S</v>
      </c>
    </row>
    <row r="4947" spans="1:3" x14ac:dyDescent="0.3">
      <c r="A4947" t="s">
        <v>5003</v>
      </c>
      <c r="B4947">
        <f>IF(ISNUMBER(SEARCH(Form!$C$11,Tabel2[[#This Row],[Coordinate Projection System]])),MAX($B$1:B4946)+1,0)</f>
        <v>4946</v>
      </c>
      <c r="C4947" t="str">
        <f t="shared" si="77"/>
        <v>WGS 72 / UTM zone 46S</v>
      </c>
    </row>
    <row r="4948" spans="1:3" x14ac:dyDescent="0.3">
      <c r="A4948" t="s">
        <v>5004</v>
      </c>
      <c r="B4948">
        <f>IF(ISNUMBER(SEARCH(Form!$C$11,Tabel2[[#This Row],[Coordinate Projection System]])),MAX($B$1:B4947)+1,0)</f>
        <v>4947</v>
      </c>
      <c r="C4948" t="str">
        <f t="shared" si="77"/>
        <v>WGS 72 / UTM zone 47S</v>
      </c>
    </row>
    <row r="4949" spans="1:3" x14ac:dyDescent="0.3">
      <c r="A4949" t="s">
        <v>5005</v>
      </c>
      <c r="B4949">
        <f>IF(ISNUMBER(SEARCH(Form!$C$11,Tabel2[[#This Row],[Coordinate Projection System]])),MAX($B$1:B4948)+1,0)</f>
        <v>4948</v>
      </c>
      <c r="C4949" t="str">
        <f t="shared" si="77"/>
        <v>WGS 72 / UTM zone 48S</v>
      </c>
    </row>
    <row r="4950" spans="1:3" x14ac:dyDescent="0.3">
      <c r="A4950" t="s">
        <v>5006</v>
      </c>
      <c r="B4950">
        <f>IF(ISNUMBER(SEARCH(Form!$C$11,Tabel2[[#This Row],[Coordinate Projection System]])),MAX($B$1:B4949)+1,0)</f>
        <v>4949</v>
      </c>
      <c r="C4950" t="str">
        <f t="shared" si="77"/>
        <v>WGS 72 / UTM zone 49S</v>
      </c>
    </row>
    <row r="4951" spans="1:3" x14ac:dyDescent="0.3">
      <c r="A4951" t="s">
        <v>5007</v>
      </c>
      <c r="B4951">
        <f>IF(ISNUMBER(SEARCH(Form!$C$11,Tabel2[[#This Row],[Coordinate Projection System]])),MAX($B$1:B4950)+1,0)</f>
        <v>4950</v>
      </c>
      <c r="C4951" t="str">
        <f t="shared" si="77"/>
        <v>WGS 72 / UTM zone 50S</v>
      </c>
    </row>
    <row r="4952" spans="1:3" x14ac:dyDescent="0.3">
      <c r="A4952" t="s">
        <v>5008</v>
      </c>
      <c r="B4952">
        <f>IF(ISNUMBER(SEARCH(Form!$C$11,Tabel2[[#This Row],[Coordinate Projection System]])),MAX($B$1:B4951)+1,0)</f>
        <v>4951</v>
      </c>
      <c r="C4952" t="str">
        <f t="shared" si="77"/>
        <v>WGS 72 / UTM zone 51S</v>
      </c>
    </row>
    <row r="4953" spans="1:3" x14ac:dyDescent="0.3">
      <c r="A4953" t="s">
        <v>5009</v>
      </c>
      <c r="B4953">
        <f>IF(ISNUMBER(SEARCH(Form!$C$11,Tabel2[[#This Row],[Coordinate Projection System]])),MAX($B$1:B4952)+1,0)</f>
        <v>4952</v>
      </c>
      <c r="C4953" t="str">
        <f t="shared" si="77"/>
        <v>WGS 72 / UTM zone 52S</v>
      </c>
    </row>
    <row r="4954" spans="1:3" x14ac:dyDescent="0.3">
      <c r="A4954" t="s">
        <v>5010</v>
      </c>
      <c r="B4954">
        <f>IF(ISNUMBER(SEARCH(Form!$C$11,Tabel2[[#This Row],[Coordinate Projection System]])),MAX($B$1:B4953)+1,0)</f>
        <v>4953</v>
      </c>
      <c r="C4954" t="str">
        <f t="shared" si="77"/>
        <v>WGS 72 / UTM zone 53S</v>
      </c>
    </row>
    <row r="4955" spans="1:3" x14ac:dyDescent="0.3">
      <c r="A4955" t="s">
        <v>5011</v>
      </c>
      <c r="B4955">
        <f>IF(ISNUMBER(SEARCH(Form!$C$11,Tabel2[[#This Row],[Coordinate Projection System]])),MAX($B$1:B4954)+1,0)</f>
        <v>4954</v>
      </c>
      <c r="C4955" t="str">
        <f t="shared" si="77"/>
        <v>WGS 72 / UTM zone 54S</v>
      </c>
    </row>
    <row r="4956" spans="1:3" x14ac:dyDescent="0.3">
      <c r="A4956" t="s">
        <v>5012</v>
      </c>
      <c r="B4956">
        <f>IF(ISNUMBER(SEARCH(Form!$C$11,Tabel2[[#This Row],[Coordinate Projection System]])),MAX($B$1:B4955)+1,0)</f>
        <v>4955</v>
      </c>
      <c r="C4956" t="str">
        <f t="shared" si="77"/>
        <v>WGS 72 / UTM zone 55S</v>
      </c>
    </row>
    <row r="4957" spans="1:3" x14ac:dyDescent="0.3">
      <c r="A4957" t="s">
        <v>5013</v>
      </c>
      <c r="B4957">
        <f>IF(ISNUMBER(SEARCH(Form!$C$11,Tabel2[[#This Row],[Coordinate Projection System]])),MAX($B$1:B4956)+1,0)</f>
        <v>4956</v>
      </c>
      <c r="C4957" t="str">
        <f t="shared" si="77"/>
        <v>WGS 72 / UTM zone 56S</v>
      </c>
    </row>
    <row r="4958" spans="1:3" x14ac:dyDescent="0.3">
      <c r="A4958" t="s">
        <v>5014</v>
      </c>
      <c r="B4958">
        <f>IF(ISNUMBER(SEARCH(Form!$C$11,Tabel2[[#This Row],[Coordinate Projection System]])),MAX($B$1:B4957)+1,0)</f>
        <v>4957</v>
      </c>
      <c r="C4958" t="str">
        <f t="shared" si="77"/>
        <v>WGS 72 / UTM zone 57S</v>
      </c>
    </row>
    <row r="4959" spans="1:3" x14ac:dyDescent="0.3">
      <c r="A4959" t="s">
        <v>5015</v>
      </c>
      <c r="B4959">
        <f>IF(ISNUMBER(SEARCH(Form!$C$11,Tabel2[[#This Row],[Coordinate Projection System]])),MAX($B$1:B4958)+1,0)</f>
        <v>4958</v>
      </c>
      <c r="C4959" t="str">
        <f t="shared" si="77"/>
        <v>WGS 72 / UTM zone 58S</v>
      </c>
    </row>
    <row r="4960" spans="1:3" x14ac:dyDescent="0.3">
      <c r="A4960" t="s">
        <v>5016</v>
      </c>
      <c r="B4960">
        <f>IF(ISNUMBER(SEARCH(Form!$C$11,Tabel2[[#This Row],[Coordinate Projection System]])),MAX($B$1:B4959)+1,0)</f>
        <v>4959</v>
      </c>
      <c r="C4960" t="str">
        <f t="shared" si="77"/>
        <v>WGS 72 / UTM zone 59S</v>
      </c>
    </row>
    <row r="4961" spans="1:3" x14ac:dyDescent="0.3">
      <c r="A4961" t="s">
        <v>5017</v>
      </c>
      <c r="B4961">
        <f>IF(ISNUMBER(SEARCH(Form!$C$11,Tabel2[[#This Row],[Coordinate Projection System]])),MAX($B$1:B4960)+1,0)</f>
        <v>4960</v>
      </c>
      <c r="C4961" t="str">
        <f t="shared" si="77"/>
        <v>WGS 72 / UTM zone 60S</v>
      </c>
    </row>
    <row r="4962" spans="1:3" x14ac:dyDescent="0.3">
      <c r="A4962" t="s">
        <v>5018</v>
      </c>
      <c r="B4962">
        <f>IF(ISNUMBER(SEARCH(Form!$C$11,Tabel2[[#This Row],[Coordinate Projection System]])),MAX($B$1:B4961)+1,0)</f>
        <v>4961</v>
      </c>
      <c r="C4962" t="str">
        <f t="shared" si="77"/>
        <v>WGS 72BE / UTM zone 1N</v>
      </c>
    </row>
    <row r="4963" spans="1:3" x14ac:dyDescent="0.3">
      <c r="A4963" t="s">
        <v>5019</v>
      </c>
      <c r="B4963">
        <f>IF(ISNUMBER(SEARCH(Form!$C$11,Tabel2[[#This Row],[Coordinate Projection System]])),MAX($B$1:B4962)+1,0)</f>
        <v>4962</v>
      </c>
      <c r="C4963" t="str">
        <f t="shared" si="77"/>
        <v>WGS 72BE / UTM zone 2N</v>
      </c>
    </row>
    <row r="4964" spans="1:3" x14ac:dyDescent="0.3">
      <c r="A4964" t="s">
        <v>5020</v>
      </c>
      <c r="B4964">
        <f>IF(ISNUMBER(SEARCH(Form!$C$11,Tabel2[[#This Row],[Coordinate Projection System]])),MAX($B$1:B4963)+1,0)</f>
        <v>4963</v>
      </c>
      <c r="C4964" t="str">
        <f t="shared" si="77"/>
        <v>WGS 72BE / UTM zone 3N</v>
      </c>
    </row>
    <row r="4965" spans="1:3" x14ac:dyDescent="0.3">
      <c r="A4965" t="s">
        <v>5021</v>
      </c>
      <c r="B4965">
        <f>IF(ISNUMBER(SEARCH(Form!$C$11,Tabel2[[#This Row],[Coordinate Projection System]])),MAX($B$1:B4964)+1,0)</f>
        <v>4964</v>
      </c>
      <c r="C4965" t="str">
        <f t="shared" si="77"/>
        <v>WGS 72BE / UTM zone 4N</v>
      </c>
    </row>
    <row r="4966" spans="1:3" x14ac:dyDescent="0.3">
      <c r="A4966" t="s">
        <v>5022</v>
      </c>
      <c r="B4966">
        <f>IF(ISNUMBER(SEARCH(Form!$C$11,Tabel2[[#This Row],[Coordinate Projection System]])),MAX($B$1:B4965)+1,0)</f>
        <v>4965</v>
      </c>
      <c r="C4966" t="str">
        <f t="shared" si="77"/>
        <v>WGS 72BE / UTM zone 5N</v>
      </c>
    </row>
    <row r="4967" spans="1:3" x14ac:dyDescent="0.3">
      <c r="A4967" t="s">
        <v>5023</v>
      </c>
      <c r="B4967">
        <f>IF(ISNUMBER(SEARCH(Form!$C$11,Tabel2[[#This Row],[Coordinate Projection System]])),MAX($B$1:B4966)+1,0)</f>
        <v>4966</v>
      </c>
      <c r="C4967" t="str">
        <f t="shared" si="77"/>
        <v>WGS 72BE / UTM zone 6N</v>
      </c>
    </row>
    <row r="4968" spans="1:3" x14ac:dyDescent="0.3">
      <c r="A4968" t="s">
        <v>5024</v>
      </c>
      <c r="B4968">
        <f>IF(ISNUMBER(SEARCH(Form!$C$11,Tabel2[[#This Row],[Coordinate Projection System]])),MAX($B$1:B4967)+1,0)</f>
        <v>4967</v>
      </c>
      <c r="C4968" t="str">
        <f t="shared" si="77"/>
        <v>WGS 72BE / UTM zone 7N</v>
      </c>
    </row>
    <row r="4969" spans="1:3" x14ac:dyDescent="0.3">
      <c r="A4969" t="s">
        <v>5025</v>
      </c>
      <c r="B4969">
        <f>IF(ISNUMBER(SEARCH(Form!$C$11,Tabel2[[#This Row],[Coordinate Projection System]])),MAX($B$1:B4968)+1,0)</f>
        <v>4968</v>
      </c>
      <c r="C4969" t="str">
        <f t="shared" si="77"/>
        <v>WGS 72BE / UTM zone 8N</v>
      </c>
    </row>
    <row r="4970" spans="1:3" x14ac:dyDescent="0.3">
      <c r="A4970" t="s">
        <v>5026</v>
      </c>
      <c r="B4970">
        <f>IF(ISNUMBER(SEARCH(Form!$C$11,Tabel2[[#This Row],[Coordinate Projection System]])),MAX($B$1:B4969)+1,0)</f>
        <v>4969</v>
      </c>
      <c r="C4970" t="str">
        <f t="shared" si="77"/>
        <v>WGS 72BE / UTM zone 9N</v>
      </c>
    </row>
    <row r="4971" spans="1:3" x14ac:dyDescent="0.3">
      <c r="A4971" t="s">
        <v>5027</v>
      </c>
      <c r="B4971">
        <f>IF(ISNUMBER(SEARCH(Form!$C$11,Tabel2[[#This Row],[Coordinate Projection System]])),MAX($B$1:B4970)+1,0)</f>
        <v>4970</v>
      </c>
      <c r="C4971" t="str">
        <f t="shared" si="77"/>
        <v>WGS 72BE / UTM zone 10N</v>
      </c>
    </row>
    <row r="4972" spans="1:3" x14ac:dyDescent="0.3">
      <c r="A4972" t="s">
        <v>5028</v>
      </c>
      <c r="B4972">
        <f>IF(ISNUMBER(SEARCH(Form!$C$11,Tabel2[[#This Row],[Coordinate Projection System]])),MAX($B$1:B4971)+1,0)</f>
        <v>4971</v>
      </c>
      <c r="C4972" t="str">
        <f t="shared" si="77"/>
        <v>WGS 72BE / UTM zone 11N</v>
      </c>
    </row>
    <row r="4973" spans="1:3" x14ac:dyDescent="0.3">
      <c r="A4973" t="s">
        <v>5029</v>
      </c>
      <c r="B4973">
        <f>IF(ISNUMBER(SEARCH(Form!$C$11,Tabel2[[#This Row],[Coordinate Projection System]])),MAX($B$1:B4972)+1,0)</f>
        <v>4972</v>
      </c>
      <c r="C4973" t="str">
        <f t="shared" si="77"/>
        <v>WGS 72BE / UTM zone 12N</v>
      </c>
    </row>
    <row r="4974" spans="1:3" x14ac:dyDescent="0.3">
      <c r="A4974" t="s">
        <v>5030</v>
      </c>
      <c r="B4974">
        <f>IF(ISNUMBER(SEARCH(Form!$C$11,Tabel2[[#This Row],[Coordinate Projection System]])),MAX($B$1:B4973)+1,0)</f>
        <v>4973</v>
      </c>
      <c r="C4974" t="str">
        <f t="shared" si="77"/>
        <v>WGS 72BE / UTM zone 13N</v>
      </c>
    </row>
    <row r="4975" spans="1:3" x14ac:dyDescent="0.3">
      <c r="A4975" t="s">
        <v>5031</v>
      </c>
      <c r="B4975">
        <f>IF(ISNUMBER(SEARCH(Form!$C$11,Tabel2[[#This Row],[Coordinate Projection System]])),MAX($B$1:B4974)+1,0)</f>
        <v>4974</v>
      </c>
      <c r="C4975" t="str">
        <f t="shared" si="77"/>
        <v>WGS 72BE / UTM zone 14N</v>
      </c>
    </row>
    <row r="4976" spans="1:3" x14ac:dyDescent="0.3">
      <c r="A4976" t="s">
        <v>5032</v>
      </c>
      <c r="B4976">
        <f>IF(ISNUMBER(SEARCH(Form!$C$11,Tabel2[[#This Row],[Coordinate Projection System]])),MAX($B$1:B4975)+1,0)</f>
        <v>4975</v>
      </c>
      <c r="C4976" t="str">
        <f t="shared" si="77"/>
        <v>WGS 72BE / UTM zone 15N</v>
      </c>
    </row>
    <row r="4977" spans="1:3" x14ac:dyDescent="0.3">
      <c r="A4977" t="s">
        <v>5033</v>
      </c>
      <c r="B4977">
        <f>IF(ISNUMBER(SEARCH(Form!$C$11,Tabel2[[#This Row],[Coordinate Projection System]])),MAX($B$1:B4976)+1,0)</f>
        <v>4976</v>
      </c>
      <c r="C4977" t="str">
        <f t="shared" si="77"/>
        <v>WGS 72BE / UTM zone 16N</v>
      </c>
    </row>
    <row r="4978" spans="1:3" x14ac:dyDescent="0.3">
      <c r="A4978" t="s">
        <v>5034</v>
      </c>
      <c r="B4978">
        <f>IF(ISNUMBER(SEARCH(Form!$C$11,Tabel2[[#This Row],[Coordinate Projection System]])),MAX($B$1:B4977)+1,0)</f>
        <v>4977</v>
      </c>
      <c r="C4978" t="str">
        <f t="shared" si="77"/>
        <v>WGS 72BE / UTM zone 17N</v>
      </c>
    </row>
    <row r="4979" spans="1:3" x14ac:dyDescent="0.3">
      <c r="A4979" t="s">
        <v>5035</v>
      </c>
      <c r="B4979">
        <f>IF(ISNUMBER(SEARCH(Form!$C$11,Tabel2[[#This Row],[Coordinate Projection System]])),MAX($B$1:B4978)+1,0)</f>
        <v>4978</v>
      </c>
      <c r="C4979" t="str">
        <f t="shared" si="77"/>
        <v>WGS 72BE / UTM zone 18N</v>
      </c>
    </row>
    <row r="4980" spans="1:3" x14ac:dyDescent="0.3">
      <c r="A4980" t="s">
        <v>5036</v>
      </c>
      <c r="B4980">
        <f>IF(ISNUMBER(SEARCH(Form!$C$11,Tabel2[[#This Row],[Coordinate Projection System]])),MAX($B$1:B4979)+1,0)</f>
        <v>4979</v>
      </c>
      <c r="C4980" t="str">
        <f t="shared" si="77"/>
        <v>WGS 72BE / UTM zone 19N</v>
      </c>
    </row>
    <row r="4981" spans="1:3" x14ac:dyDescent="0.3">
      <c r="A4981" t="s">
        <v>5037</v>
      </c>
      <c r="B4981">
        <f>IF(ISNUMBER(SEARCH(Form!$C$11,Tabel2[[#This Row],[Coordinate Projection System]])),MAX($B$1:B4980)+1,0)</f>
        <v>4980</v>
      </c>
      <c r="C4981" t="str">
        <f t="shared" si="77"/>
        <v>WGS 72BE / UTM zone 20N</v>
      </c>
    </row>
    <row r="4982" spans="1:3" x14ac:dyDescent="0.3">
      <c r="A4982" t="s">
        <v>5038</v>
      </c>
      <c r="B4982">
        <f>IF(ISNUMBER(SEARCH(Form!$C$11,Tabel2[[#This Row],[Coordinate Projection System]])),MAX($B$1:B4981)+1,0)</f>
        <v>4981</v>
      </c>
      <c r="C4982" t="str">
        <f t="shared" si="77"/>
        <v>WGS 72BE / UTM zone 21N</v>
      </c>
    </row>
    <row r="4983" spans="1:3" x14ac:dyDescent="0.3">
      <c r="A4983" t="s">
        <v>5039</v>
      </c>
      <c r="B4983">
        <f>IF(ISNUMBER(SEARCH(Form!$C$11,Tabel2[[#This Row],[Coordinate Projection System]])),MAX($B$1:B4982)+1,0)</f>
        <v>4982</v>
      </c>
      <c r="C4983" t="str">
        <f t="shared" si="77"/>
        <v>WGS 72BE / UTM zone 22N</v>
      </c>
    </row>
    <row r="4984" spans="1:3" x14ac:dyDescent="0.3">
      <c r="A4984" t="s">
        <v>5040</v>
      </c>
      <c r="B4984">
        <f>IF(ISNUMBER(SEARCH(Form!$C$11,Tabel2[[#This Row],[Coordinate Projection System]])),MAX($B$1:B4983)+1,0)</f>
        <v>4983</v>
      </c>
      <c r="C4984" t="str">
        <f t="shared" si="77"/>
        <v>WGS 72BE / UTM zone 23N</v>
      </c>
    </row>
    <row r="4985" spans="1:3" x14ac:dyDescent="0.3">
      <c r="A4985" t="s">
        <v>5041</v>
      </c>
      <c r="B4985">
        <f>IF(ISNUMBER(SEARCH(Form!$C$11,Tabel2[[#This Row],[Coordinate Projection System]])),MAX($B$1:B4984)+1,0)</f>
        <v>4984</v>
      </c>
      <c r="C4985" t="str">
        <f t="shared" si="77"/>
        <v>WGS 72BE / UTM zone 24N</v>
      </c>
    </row>
    <row r="4986" spans="1:3" x14ac:dyDescent="0.3">
      <c r="A4986" t="s">
        <v>5042</v>
      </c>
      <c r="B4986">
        <f>IF(ISNUMBER(SEARCH(Form!$C$11,Tabel2[[#This Row],[Coordinate Projection System]])),MAX($B$1:B4985)+1,0)</f>
        <v>4985</v>
      </c>
      <c r="C4986" t="str">
        <f t="shared" si="77"/>
        <v>WGS 72BE / UTM zone 25N</v>
      </c>
    </row>
    <row r="4987" spans="1:3" x14ac:dyDescent="0.3">
      <c r="A4987" t="s">
        <v>5043</v>
      </c>
      <c r="B4987">
        <f>IF(ISNUMBER(SEARCH(Form!$C$11,Tabel2[[#This Row],[Coordinate Projection System]])),MAX($B$1:B4986)+1,0)</f>
        <v>4986</v>
      </c>
      <c r="C4987" t="str">
        <f t="shared" si="77"/>
        <v>WGS 72BE / UTM zone 26N</v>
      </c>
    </row>
    <row r="4988" spans="1:3" x14ac:dyDescent="0.3">
      <c r="A4988" t="s">
        <v>5044</v>
      </c>
      <c r="B4988">
        <f>IF(ISNUMBER(SEARCH(Form!$C$11,Tabel2[[#This Row],[Coordinate Projection System]])),MAX($B$1:B4987)+1,0)</f>
        <v>4987</v>
      </c>
      <c r="C4988" t="str">
        <f t="shared" si="77"/>
        <v>WGS 72BE / UTM zone 27N</v>
      </c>
    </row>
    <row r="4989" spans="1:3" x14ac:dyDescent="0.3">
      <c r="A4989" t="s">
        <v>5045</v>
      </c>
      <c r="B4989">
        <f>IF(ISNUMBER(SEARCH(Form!$C$11,Tabel2[[#This Row],[Coordinate Projection System]])),MAX($B$1:B4988)+1,0)</f>
        <v>4988</v>
      </c>
      <c r="C4989" t="str">
        <f t="shared" si="77"/>
        <v>WGS 72BE / UTM zone 28N</v>
      </c>
    </row>
    <row r="4990" spans="1:3" x14ac:dyDescent="0.3">
      <c r="A4990" t="s">
        <v>5046</v>
      </c>
      <c r="B4990">
        <f>IF(ISNUMBER(SEARCH(Form!$C$11,Tabel2[[#This Row],[Coordinate Projection System]])),MAX($B$1:B4989)+1,0)</f>
        <v>4989</v>
      </c>
      <c r="C4990" t="str">
        <f t="shared" si="77"/>
        <v>WGS 72BE / UTM zone 29N</v>
      </c>
    </row>
    <row r="4991" spans="1:3" x14ac:dyDescent="0.3">
      <c r="A4991" t="s">
        <v>5047</v>
      </c>
      <c r="B4991">
        <f>IF(ISNUMBER(SEARCH(Form!$C$11,Tabel2[[#This Row],[Coordinate Projection System]])),MAX($B$1:B4990)+1,0)</f>
        <v>4990</v>
      </c>
      <c r="C4991" t="str">
        <f t="shared" si="77"/>
        <v>WGS 72BE / UTM zone 30N</v>
      </c>
    </row>
    <row r="4992" spans="1:3" x14ac:dyDescent="0.3">
      <c r="A4992" t="s">
        <v>5048</v>
      </c>
      <c r="B4992">
        <f>IF(ISNUMBER(SEARCH(Form!$C$11,Tabel2[[#This Row],[Coordinate Projection System]])),MAX($B$1:B4991)+1,0)</f>
        <v>4991</v>
      </c>
      <c r="C4992" t="str">
        <f t="shared" si="77"/>
        <v>WGS 72BE / UTM zone 31N</v>
      </c>
    </row>
    <row r="4993" spans="1:3" x14ac:dyDescent="0.3">
      <c r="A4993" t="s">
        <v>5049</v>
      </c>
      <c r="B4993">
        <f>IF(ISNUMBER(SEARCH(Form!$C$11,Tabel2[[#This Row],[Coordinate Projection System]])),MAX($B$1:B4992)+1,0)</f>
        <v>4992</v>
      </c>
      <c r="C4993" t="str">
        <f t="shared" si="77"/>
        <v>WGS 72BE / UTM zone 32N</v>
      </c>
    </row>
    <row r="4994" spans="1:3" x14ac:dyDescent="0.3">
      <c r="A4994" t="s">
        <v>5050</v>
      </c>
      <c r="B4994">
        <f>IF(ISNUMBER(SEARCH(Form!$C$11,Tabel2[[#This Row],[Coordinate Projection System]])),MAX($B$1:B4993)+1,0)</f>
        <v>4993</v>
      </c>
      <c r="C4994" t="str">
        <f t="shared" si="77"/>
        <v>WGS 72BE / UTM zone 33N</v>
      </c>
    </row>
    <row r="4995" spans="1:3" x14ac:dyDescent="0.3">
      <c r="A4995" t="s">
        <v>5051</v>
      </c>
      <c r="B4995">
        <f>IF(ISNUMBER(SEARCH(Form!$C$11,Tabel2[[#This Row],[Coordinate Projection System]])),MAX($B$1:B4994)+1,0)</f>
        <v>4994</v>
      </c>
      <c r="C4995" t="str">
        <f t="shared" ref="C4995:C5058" si="78">_xlfn.IFNA(INDEX(A4995:A10506,MATCH(ROW(C4994),B4995:B10506,0)),"")</f>
        <v>WGS 72BE / UTM zone 34N</v>
      </c>
    </row>
    <row r="4996" spans="1:3" x14ac:dyDescent="0.3">
      <c r="A4996" t="s">
        <v>5052</v>
      </c>
      <c r="B4996">
        <f>IF(ISNUMBER(SEARCH(Form!$C$11,Tabel2[[#This Row],[Coordinate Projection System]])),MAX($B$1:B4995)+1,0)</f>
        <v>4995</v>
      </c>
      <c r="C4996" t="str">
        <f t="shared" si="78"/>
        <v>WGS 72BE / UTM zone 35N</v>
      </c>
    </row>
    <row r="4997" spans="1:3" x14ac:dyDescent="0.3">
      <c r="A4997" t="s">
        <v>5053</v>
      </c>
      <c r="B4997">
        <f>IF(ISNUMBER(SEARCH(Form!$C$11,Tabel2[[#This Row],[Coordinate Projection System]])),MAX($B$1:B4996)+1,0)</f>
        <v>4996</v>
      </c>
      <c r="C4997" t="str">
        <f t="shared" si="78"/>
        <v>WGS 72BE / UTM zone 36N</v>
      </c>
    </row>
    <row r="4998" spans="1:3" x14ac:dyDescent="0.3">
      <c r="A4998" t="s">
        <v>5054</v>
      </c>
      <c r="B4998">
        <f>IF(ISNUMBER(SEARCH(Form!$C$11,Tabel2[[#This Row],[Coordinate Projection System]])),MAX($B$1:B4997)+1,0)</f>
        <v>4997</v>
      </c>
      <c r="C4998" t="str">
        <f t="shared" si="78"/>
        <v>WGS 72BE / UTM zone 37N</v>
      </c>
    </row>
    <row r="4999" spans="1:3" x14ac:dyDescent="0.3">
      <c r="A4999" t="s">
        <v>5055</v>
      </c>
      <c r="B4999">
        <f>IF(ISNUMBER(SEARCH(Form!$C$11,Tabel2[[#This Row],[Coordinate Projection System]])),MAX($B$1:B4998)+1,0)</f>
        <v>4998</v>
      </c>
      <c r="C4999" t="str">
        <f t="shared" si="78"/>
        <v>WGS 72BE / UTM zone 38N</v>
      </c>
    </row>
    <row r="5000" spans="1:3" x14ac:dyDescent="0.3">
      <c r="A5000" t="s">
        <v>5056</v>
      </c>
      <c r="B5000">
        <f>IF(ISNUMBER(SEARCH(Form!$C$11,Tabel2[[#This Row],[Coordinate Projection System]])),MAX($B$1:B4999)+1,0)</f>
        <v>4999</v>
      </c>
      <c r="C5000" t="str">
        <f t="shared" si="78"/>
        <v>WGS 72BE / UTM zone 39N</v>
      </c>
    </row>
    <row r="5001" spans="1:3" x14ac:dyDescent="0.3">
      <c r="A5001" t="s">
        <v>5057</v>
      </c>
      <c r="B5001">
        <f>IF(ISNUMBER(SEARCH(Form!$C$11,Tabel2[[#This Row],[Coordinate Projection System]])),MAX($B$1:B5000)+1,0)</f>
        <v>5000</v>
      </c>
      <c r="C5001" t="str">
        <f t="shared" si="78"/>
        <v>WGS 72BE / UTM zone 40N</v>
      </c>
    </row>
    <row r="5002" spans="1:3" x14ac:dyDescent="0.3">
      <c r="A5002" t="s">
        <v>5058</v>
      </c>
      <c r="B5002">
        <f>IF(ISNUMBER(SEARCH(Form!$C$11,Tabel2[[#This Row],[Coordinate Projection System]])),MAX($B$1:B5001)+1,0)</f>
        <v>5001</v>
      </c>
      <c r="C5002" t="str">
        <f t="shared" si="78"/>
        <v>WGS 72BE / UTM zone 41N</v>
      </c>
    </row>
    <row r="5003" spans="1:3" x14ac:dyDescent="0.3">
      <c r="A5003" t="s">
        <v>5059</v>
      </c>
      <c r="B5003">
        <f>IF(ISNUMBER(SEARCH(Form!$C$11,Tabel2[[#This Row],[Coordinate Projection System]])),MAX($B$1:B5002)+1,0)</f>
        <v>5002</v>
      </c>
      <c r="C5003" t="str">
        <f t="shared" si="78"/>
        <v>WGS 72BE / UTM zone 42N</v>
      </c>
    </row>
    <row r="5004" spans="1:3" x14ac:dyDescent="0.3">
      <c r="A5004" t="s">
        <v>5060</v>
      </c>
      <c r="B5004">
        <f>IF(ISNUMBER(SEARCH(Form!$C$11,Tabel2[[#This Row],[Coordinate Projection System]])),MAX($B$1:B5003)+1,0)</f>
        <v>5003</v>
      </c>
      <c r="C5004" t="str">
        <f t="shared" si="78"/>
        <v>WGS 72BE / UTM zone 43N</v>
      </c>
    </row>
    <row r="5005" spans="1:3" x14ac:dyDescent="0.3">
      <c r="A5005" t="s">
        <v>5061</v>
      </c>
      <c r="B5005">
        <f>IF(ISNUMBER(SEARCH(Form!$C$11,Tabel2[[#This Row],[Coordinate Projection System]])),MAX($B$1:B5004)+1,0)</f>
        <v>5004</v>
      </c>
      <c r="C5005" t="str">
        <f t="shared" si="78"/>
        <v>WGS 72BE / UTM zone 44N</v>
      </c>
    </row>
    <row r="5006" spans="1:3" x14ac:dyDescent="0.3">
      <c r="A5006" t="s">
        <v>5062</v>
      </c>
      <c r="B5006">
        <f>IF(ISNUMBER(SEARCH(Form!$C$11,Tabel2[[#This Row],[Coordinate Projection System]])),MAX($B$1:B5005)+1,0)</f>
        <v>5005</v>
      </c>
      <c r="C5006" t="str">
        <f t="shared" si="78"/>
        <v>WGS 72BE / UTM zone 45N</v>
      </c>
    </row>
    <row r="5007" spans="1:3" x14ac:dyDescent="0.3">
      <c r="A5007" t="s">
        <v>5063</v>
      </c>
      <c r="B5007">
        <f>IF(ISNUMBER(SEARCH(Form!$C$11,Tabel2[[#This Row],[Coordinate Projection System]])),MAX($B$1:B5006)+1,0)</f>
        <v>5006</v>
      </c>
      <c r="C5007" t="str">
        <f t="shared" si="78"/>
        <v>WGS 72BE / UTM zone 46N</v>
      </c>
    </row>
    <row r="5008" spans="1:3" x14ac:dyDescent="0.3">
      <c r="A5008" t="s">
        <v>5064</v>
      </c>
      <c r="B5008">
        <f>IF(ISNUMBER(SEARCH(Form!$C$11,Tabel2[[#This Row],[Coordinate Projection System]])),MAX($B$1:B5007)+1,0)</f>
        <v>5007</v>
      </c>
      <c r="C5008" t="str">
        <f t="shared" si="78"/>
        <v>WGS 72BE / UTM zone 47N</v>
      </c>
    </row>
    <row r="5009" spans="1:3" x14ac:dyDescent="0.3">
      <c r="A5009" t="s">
        <v>5065</v>
      </c>
      <c r="B5009">
        <f>IF(ISNUMBER(SEARCH(Form!$C$11,Tabel2[[#This Row],[Coordinate Projection System]])),MAX($B$1:B5008)+1,0)</f>
        <v>5008</v>
      </c>
      <c r="C5009" t="str">
        <f t="shared" si="78"/>
        <v>WGS 72BE / UTM zone 48N</v>
      </c>
    </row>
    <row r="5010" spans="1:3" x14ac:dyDescent="0.3">
      <c r="A5010" t="s">
        <v>5066</v>
      </c>
      <c r="B5010">
        <f>IF(ISNUMBER(SEARCH(Form!$C$11,Tabel2[[#This Row],[Coordinate Projection System]])),MAX($B$1:B5009)+1,0)</f>
        <v>5009</v>
      </c>
      <c r="C5010" t="str">
        <f t="shared" si="78"/>
        <v>WGS 72BE / UTM zone 49N</v>
      </c>
    </row>
    <row r="5011" spans="1:3" x14ac:dyDescent="0.3">
      <c r="A5011" t="s">
        <v>5067</v>
      </c>
      <c r="B5011">
        <f>IF(ISNUMBER(SEARCH(Form!$C$11,Tabel2[[#This Row],[Coordinate Projection System]])),MAX($B$1:B5010)+1,0)</f>
        <v>5010</v>
      </c>
      <c r="C5011" t="str">
        <f t="shared" si="78"/>
        <v>WGS 72BE / UTM zone 50N</v>
      </c>
    </row>
    <row r="5012" spans="1:3" x14ac:dyDescent="0.3">
      <c r="A5012" t="s">
        <v>5068</v>
      </c>
      <c r="B5012">
        <f>IF(ISNUMBER(SEARCH(Form!$C$11,Tabel2[[#This Row],[Coordinate Projection System]])),MAX($B$1:B5011)+1,0)</f>
        <v>5011</v>
      </c>
      <c r="C5012" t="str">
        <f t="shared" si="78"/>
        <v>WGS 72BE / UTM zone 51N</v>
      </c>
    </row>
    <row r="5013" spans="1:3" x14ac:dyDescent="0.3">
      <c r="A5013" t="s">
        <v>5069</v>
      </c>
      <c r="B5013">
        <f>IF(ISNUMBER(SEARCH(Form!$C$11,Tabel2[[#This Row],[Coordinate Projection System]])),MAX($B$1:B5012)+1,0)</f>
        <v>5012</v>
      </c>
      <c r="C5013" t="str">
        <f t="shared" si="78"/>
        <v>WGS 72BE / UTM zone 52N</v>
      </c>
    </row>
    <row r="5014" spans="1:3" x14ac:dyDescent="0.3">
      <c r="A5014" t="s">
        <v>5070</v>
      </c>
      <c r="B5014">
        <f>IF(ISNUMBER(SEARCH(Form!$C$11,Tabel2[[#This Row],[Coordinate Projection System]])),MAX($B$1:B5013)+1,0)</f>
        <v>5013</v>
      </c>
      <c r="C5014" t="str">
        <f t="shared" si="78"/>
        <v>WGS 72BE / UTM zone 53N</v>
      </c>
    </row>
    <row r="5015" spans="1:3" x14ac:dyDescent="0.3">
      <c r="A5015" t="s">
        <v>5071</v>
      </c>
      <c r="B5015">
        <f>IF(ISNUMBER(SEARCH(Form!$C$11,Tabel2[[#This Row],[Coordinate Projection System]])),MAX($B$1:B5014)+1,0)</f>
        <v>5014</v>
      </c>
      <c r="C5015" t="str">
        <f t="shared" si="78"/>
        <v>WGS 72BE / UTM zone 54N</v>
      </c>
    </row>
    <row r="5016" spans="1:3" x14ac:dyDescent="0.3">
      <c r="A5016" t="s">
        <v>5072</v>
      </c>
      <c r="B5016">
        <f>IF(ISNUMBER(SEARCH(Form!$C$11,Tabel2[[#This Row],[Coordinate Projection System]])),MAX($B$1:B5015)+1,0)</f>
        <v>5015</v>
      </c>
      <c r="C5016" t="str">
        <f t="shared" si="78"/>
        <v>WGS 72BE / UTM zone 55N</v>
      </c>
    </row>
    <row r="5017" spans="1:3" x14ac:dyDescent="0.3">
      <c r="A5017" t="s">
        <v>5073</v>
      </c>
      <c r="B5017">
        <f>IF(ISNUMBER(SEARCH(Form!$C$11,Tabel2[[#This Row],[Coordinate Projection System]])),MAX($B$1:B5016)+1,0)</f>
        <v>5016</v>
      </c>
      <c r="C5017" t="str">
        <f t="shared" si="78"/>
        <v>WGS 72BE / UTM zone 56N</v>
      </c>
    </row>
    <row r="5018" spans="1:3" x14ac:dyDescent="0.3">
      <c r="A5018" t="s">
        <v>5074</v>
      </c>
      <c r="B5018">
        <f>IF(ISNUMBER(SEARCH(Form!$C$11,Tabel2[[#This Row],[Coordinate Projection System]])),MAX($B$1:B5017)+1,0)</f>
        <v>5017</v>
      </c>
      <c r="C5018" t="str">
        <f t="shared" si="78"/>
        <v>WGS 72BE / UTM zone 57N</v>
      </c>
    </row>
    <row r="5019" spans="1:3" x14ac:dyDescent="0.3">
      <c r="A5019" t="s">
        <v>5075</v>
      </c>
      <c r="B5019">
        <f>IF(ISNUMBER(SEARCH(Form!$C$11,Tabel2[[#This Row],[Coordinate Projection System]])),MAX($B$1:B5018)+1,0)</f>
        <v>5018</v>
      </c>
      <c r="C5019" t="str">
        <f t="shared" si="78"/>
        <v>WGS 72BE / UTM zone 58N</v>
      </c>
    </row>
    <row r="5020" spans="1:3" x14ac:dyDescent="0.3">
      <c r="A5020" t="s">
        <v>5076</v>
      </c>
      <c r="B5020">
        <f>IF(ISNUMBER(SEARCH(Form!$C$11,Tabel2[[#This Row],[Coordinate Projection System]])),MAX($B$1:B5019)+1,0)</f>
        <v>5019</v>
      </c>
      <c r="C5020" t="str">
        <f t="shared" si="78"/>
        <v>WGS 72BE / UTM zone 59N</v>
      </c>
    </row>
    <row r="5021" spans="1:3" x14ac:dyDescent="0.3">
      <c r="A5021" t="s">
        <v>5077</v>
      </c>
      <c r="B5021">
        <f>IF(ISNUMBER(SEARCH(Form!$C$11,Tabel2[[#This Row],[Coordinate Projection System]])),MAX($B$1:B5020)+1,0)</f>
        <v>5020</v>
      </c>
      <c r="C5021" t="str">
        <f t="shared" si="78"/>
        <v>WGS 72BE / UTM zone 60N</v>
      </c>
    </row>
    <row r="5022" spans="1:3" x14ac:dyDescent="0.3">
      <c r="A5022" t="s">
        <v>5078</v>
      </c>
      <c r="B5022">
        <f>IF(ISNUMBER(SEARCH(Form!$C$11,Tabel2[[#This Row],[Coordinate Projection System]])),MAX($B$1:B5021)+1,0)</f>
        <v>5021</v>
      </c>
      <c r="C5022" t="str">
        <f t="shared" si="78"/>
        <v>WGS 72BE / UTM zone 1S</v>
      </c>
    </row>
    <row r="5023" spans="1:3" x14ac:dyDescent="0.3">
      <c r="A5023" t="s">
        <v>5079</v>
      </c>
      <c r="B5023">
        <f>IF(ISNUMBER(SEARCH(Form!$C$11,Tabel2[[#This Row],[Coordinate Projection System]])),MAX($B$1:B5022)+1,0)</f>
        <v>5022</v>
      </c>
      <c r="C5023" t="str">
        <f t="shared" si="78"/>
        <v>WGS 72BE / UTM zone 2S</v>
      </c>
    </row>
    <row r="5024" spans="1:3" x14ac:dyDescent="0.3">
      <c r="A5024" t="s">
        <v>5080</v>
      </c>
      <c r="B5024">
        <f>IF(ISNUMBER(SEARCH(Form!$C$11,Tabel2[[#This Row],[Coordinate Projection System]])),MAX($B$1:B5023)+1,0)</f>
        <v>5023</v>
      </c>
      <c r="C5024" t="str">
        <f t="shared" si="78"/>
        <v>WGS 72BE / UTM zone 3S</v>
      </c>
    </row>
    <row r="5025" spans="1:3" x14ac:dyDescent="0.3">
      <c r="A5025" t="s">
        <v>5081</v>
      </c>
      <c r="B5025">
        <f>IF(ISNUMBER(SEARCH(Form!$C$11,Tabel2[[#This Row],[Coordinate Projection System]])),MAX($B$1:B5024)+1,0)</f>
        <v>5024</v>
      </c>
      <c r="C5025" t="str">
        <f t="shared" si="78"/>
        <v>WGS 72BE / UTM zone 4S</v>
      </c>
    </row>
    <row r="5026" spans="1:3" x14ac:dyDescent="0.3">
      <c r="A5026" t="s">
        <v>5082</v>
      </c>
      <c r="B5026">
        <f>IF(ISNUMBER(SEARCH(Form!$C$11,Tabel2[[#This Row],[Coordinate Projection System]])),MAX($B$1:B5025)+1,0)</f>
        <v>5025</v>
      </c>
      <c r="C5026" t="str">
        <f t="shared" si="78"/>
        <v>WGS 72BE / UTM zone 5S</v>
      </c>
    </row>
    <row r="5027" spans="1:3" x14ac:dyDescent="0.3">
      <c r="A5027" t="s">
        <v>5083</v>
      </c>
      <c r="B5027">
        <f>IF(ISNUMBER(SEARCH(Form!$C$11,Tabel2[[#This Row],[Coordinate Projection System]])),MAX($B$1:B5026)+1,0)</f>
        <v>5026</v>
      </c>
      <c r="C5027" t="str">
        <f t="shared" si="78"/>
        <v>WGS 72BE / UTM zone 6S</v>
      </c>
    </row>
    <row r="5028" spans="1:3" x14ac:dyDescent="0.3">
      <c r="A5028" t="s">
        <v>5084</v>
      </c>
      <c r="B5028">
        <f>IF(ISNUMBER(SEARCH(Form!$C$11,Tabel2[[#This Row],[Coordinate Projection System]])),MAX($B$1:B5027)+1,0)</f>
        <v>5027</v>
      </c>
      <c r="C5028" t="str">
        <f t="shared" si="78"/>
        <v>WGS 72BE / UTM zone 7S</v>
      </c>
    </row>
    <row r="5029" spans="1:3" x14ac:dyDescent="0.3">
      <c r="A5029" t="s">
        <v>5085</v>
      </c>
      <c r="B5029">
        <f>IF(ISNUMBER(SEARCH(Form!$C$11,Tabel2[[#This Row],[Coordinate Projection System]])),MAX($B$1:B5028)+1,0)</f>
        <v>5028</v>
      </c>
      <c r="C5029" t="str">
        <f t="shared" si="78"/>
        <v>WGS 72BE / UTM zone 8S</v>
      </c>
    </row>
    <row r="5030" spans="1:3" x14ac:dyDescent="0.3">
      <c r="A5030" t="s">
        <v>5086</v>
      </c>
      <c r="B5030">
        <f>IF(ISNUMBER(SEARCH(Form!$C$11,Tabel2[[#This Row],[Coordinate Projection System]])),MAX($B$1:B5029)+1,0)</f>
        <v>5029</v>
      </c>
      <c r="C5030" t="str">
        <f t="shared" si="78"/>
        <v>WGS 72BE / UTM zone 9S</v>
      </c>
    </row>
    <row r="5031" spans="1:3" x14ac:dyDescent="0.3">
      <c r="A5031" t="s">
        <v>5087</v>
      </c>
      <c r="B5031">
        <f>IF(ISNUMBER(SEARCH(Form!$C$11,Tabel2[[#This Row],[Coordinate Projection System]])),MAX($B$1:B5030)+1,0)</f>
        <v>5030</v>
      </c>
      <c r="C5031" t="str">
        <f t="shared" si="78"/>
        <v>WGS 72BE / UTM zone 10S</v>
      </c>
    </row>
    <row r="5032" spans="1:3" x14ac:dyDescent="0.3">
      <c r="A5032" t="s">
        <v>5088</v>
      </c>
      <c r="B5032">
        <f>IF(ISNUMBER(SEARCH(Form!$C$11,Tabel2[[#This Row],[Coordinate Projection System]])),MAX($B$1:B5031)+1,0)</f>
        <v>5031</v>
      </c>
      <c r="C5032" t="str">
        <f t="shared" si="78"/>
        <v>WGS 72BE / UTM zone 11S</v>
      </c>
    </row>
    <row r="5033" spans="1:3" x14ac:dyDescent="0.3">
      <c r="A5033" t="s">
        <v>5089</v>
      </c>
      <c r="B5033">
        <f>IF(ISNUMBER(SEARCH(Form!$C$11,Tabel2[[#This Row],[Coordinate Projection System]])),MAX($B$1:B5032)+1,0)</f>
        <v>5032</v>
      </c>
      <c r="C5033" t="str">
        <f t="shared" si="78"/>
        <v>WGS 72BE / UTM zone 12S</v>
      </c>
    </row>
    <row r="5034" spans="1:3" x14ac:dyDescent="0.3">
      <c r="A5034" t="s">
        <v>5090</v>
      </c>
      <c r="B5034">
        <f>IF(ISNUMBER(SEARCH(Form!$C$11,Tabel2[[#This Row],[Coordinate Projection System]])),MAX($B$1:B5033)+1,0)</f>
        <v>5033</v>
      </c>
      <c r="C5034" t="str">
        <f t="shared" si="78"/>
        <v>WGS 72BE / UTM zone 13S</v>
      </c>
    </row>
    <row r="5035" spans="1:3" x14ac:dyDescent="0.3">
      <c r="A5035" t="s">
        <v>5091</v>
      </c>
      <c r="B5035">
        <f>IF(ISNUMBER(SEARCH(Form!$C$11,Tabel2[[#This Row],[Coordinate Projection System]])),MAX($B$1:B5034)+1,0)</f>
        <v>5034</v>
      </c>
      <c r="C5035" t="str">
        <f t="shared" si="78"/>
        <v>WGS 72BE / UTM zone 14S</v>
      </c>
    </row>
    <row r="5036" spans="1:3" x14ac:dyDescent="0.3">
      <c r="A5036" t="s">
        <v>5092</v>
      </c>
      <c r="B5036">
        <f>IF(ISNUMBER(SEARCH(Form!$C$11,Tabel2[[#This Row],[Coordinate Projection System]])),MAX($B$1:B5035)+1,0)</f>
        <v>5035</v>
      </c>
      <c r="C5036" t="str">
        <f t="shared" si="78"/>
        <v>WGS 72BE / UTM zone 15S</v>
      </c>
    </row>
    <row r="5037" spans="1:3" x14ac:dyDescent="0.3">
      <c r="A5037" t="s">
        <v>5093</v>
      </c>
      <c r="B5037">
        <f>IF(ISNUMBER(SEARCH(Form!$C$11,Tabel2[[#This Row],[Coordinate Projection System]])),MAX($B$1:B5036)+1,0)</f>
        <v>5036</v>
      </c>
      <c r="C5037" t="str">
        <f t="shared" si="78"/>
        <v>WGS 72BE / UTM zone 16S</v>
      </c>
    </row>
    <row r="5038" spans="1:3" x14ac:dyDescent="0.3">
      <c r="A5038" t="s">
        <v>5094</v>
      </c>
      <c r="B5038">
        <f>IF(ISNUMBER(SEARCH(Form!$C$11,Tabel2[[#This Row],[Coordinate Projection System]])),MAX($B$1:B5037)+1,0)</f>
        <v>5037</v>
      </c>
      <c r="C5038" t="str">
        <f t="shared" si="78"/>
        <v>WGS 72BE / UTM zone 17S</v>
      </c>
    </row>
    <row r="5039" spans="1:3" x14ac:dyDescent="0.3">
      <c r="A5039" t="s">
        <v>5095</v>
      </c>
      <c r="B5039">
        <f>IF(ISNUMBER(SEARCH(Form!$C$11,Tabel2[[#This Row],[Coordinate Projection System]])),MAX($B$1:B5038)+1,0)</f>
        <v>5038</v>
      </c>
      <c r="C5039" t="str">
        <f t="shared" si="78"/>
        <v>WGS 72BE / UTM zone 18S</v>
      </c>
    </row>
    <row r="5040" spans="1:3" x14ac:dyDescent="0.3">
      <c r="A5040" t="s">
        <v>5096</v>
      </c>
      <c r="B5040">
        <f>IF(ISNUMBER(SEARCH(Form!$C$11,Tabel2[[#This Row],[Coordinate Projection System]])),MAX($B$1:B5039)+1,0)</f>
        <v>5039</v>
      </c>
      <c r="C5040" t="str">
        <f t="shared" si="78"/>
        <v>WGS 72BE / UTM zone 19S</v>
      </c>
    </row>
    <row r="5041" spans="1:3" x14ac:dyDescent="0.3">
      <c r="A5041" t="s">
        <v>5097</v>
      </c>
      <c r="B5041">
        <f>IF(ISNUMBER(SEARCH(Form!$C$11,Tabel2[[#This Row],[Coordinate Projection System]])),MAX($B$1:B5040)+1,0)</f>
        <v>5040</v>
      </c>
      <c r="C5041" t="str">
        <f t="shared" si="78"/>
        <v>WGS 72BE / UTM zone 20S</v>
      </c>
    </row>
    <row r="5042" spans="1:3" x14ac:dyDescent="0.3">
      <c r="A5042" t="s">
        <v>5098</v>
      </c>
      <c r="B5042">
        <f>IF(ISNUMBER(SEARCH(Form!$C$11,Tabel2[[#This Row],[Coordinate Projection System]])),MAX($B$1:B5041)+1,0)</f>
        <v>5041</v>
      </c>
      <c r="C5042" t="str">
        <f t="shared" si="78"/>
        <v>WGS 72BE / UTM zone 21S</v>
      </c>
    </row>
    <row r="5043" spans="1:3" x14ac:dyDescent="0.3">
      <c r="A5043" t="s">
        <v>5099</v>
      </c>
      <c r="B5043">
        <f>IF(ISNUMBER(SEARCH(Form!$C$11,Tabel2[[#This Row],[Coordinate Projection System]])),MAX($B$1:B5042)+1,0)</f>
        <v>5042</v>
      </c>
      <c r="C5043" t="str">
        <f t="shared" si="78"/>
        <v>WGS 72BE / UTM zone 22S</v>
      </c>
    </row>
    <row r="5044" spans="1:3" x14ac:dyDescent="0.3">
      <c r="A5044" t="s">
        <v>5100</v>
      </c>
      <c r="B5044">
        <f>IF(ISNUMBER(SEARCH(Form!$C$11,Tabel2[[#This Row],[Coordinate Projection System]])),MAX($B$1:B5043)+1,0)</f>
        <v>5043</v>
      </c>
      <c r="C5044" t="str">
        <f t="shared" si="78"/>
        <v>WGS 72BE / UTM zone 23S</v>
      </c>
    </row>
    <row r="5045" spans="1:3" x14ac:dyDescent="0.3">
      <c r="A5045" t="s">
        <v>5101</v>
      </c>
      <c r="B5045">
        <f>IF(ISNUMBER(SEARCH(Form!$C$11,Tabel2[[#This Row],[Coordinate Projection System]])),MAX($B$1:B5044)+1,0)</f>
        <v>5044</v>
      </c>
      <c r="C5045" t="str">
        <f t="shared" si="78"/>
        <v>WGS 72BE / UTM zone 24S</v>
      </c>
    </row>
    <row r="5046" spans="1:3" x14ac:dyDescent="0.3">
      <c r="A5046" t="s">
        <v>5102</v>
      </c>
      <c r="B5046">
        <f>IF(ISNUMBER(SEARCH(Form!$C$11,Tabel2[[#This Row],[Coordinate Projection System]])),MAX($B$1:B5045)+1,0)</f>
        <v>5045</v>
      </c>
      <c r="C5046" t="str">
        <f t="shared" si="78"/>
        <v>WGS 72BE / UTM zone 25S</v>
      </c>
    </row>
    <row r="5047" spans="1:3" x14ac:dyDescent="0.3">
      <c r="A5047" t="s">
        <v>5103</v>
      </c>
      <c r="B5047">
        <f>IF(ISNUMBER(SEARCH(Form!$C$11,Tabel2[[#This Row],[Coordinate Projection System]])),MAX($B$1:B5046)+1,0)</f>
        <v>5046</v>
      </c>
      <c r="C5047" t="str">
        <f t="shared" si="78"/>
        <v>WGS 72BE / UTM zone 26S</v>
      </c>
    </row>
    <row r="5048" spans="1:3" x14ac:dyDescent="0.3">
      <c r="A5048" t="s">
        <v>5104</v>
      </c>
      <c r="B5048">
        <f>IF(ISNUMBER(SEARCH(Form!$C$11,Tabel2[[#This Row],[Coordinate Projection System]])),MAX($B$1:B5047)+1,0)</f>
        <v>5047</v>
      </c>
      <c r="C5048" t="str">
        <f t="shared" si="78"/>
        <v>WGS 72BE / UTM zone 27S</v>
      </c>
    </row>
    <row r="5049" spans="1:3" x14ac:dyDescent="0.3">
      <c r="A5049" t="s">
        <v>5105</v>
      </c>
      <c r="B5049">
        <f>IF(ISNUMBER(SEARCH(Form!$C$11,Tabel2[[#This Row],[Coordinate Projection System]])),MAX($B$1:B5048)+1,0)</f>
        <v>5048</v>
      </c>
      <c r="C5049" t="str">
        <f t="shared" si="78"/>
        <v>WGS 72BE / UTM zone 28S</v>
      </c>
    </row>
    <row r="5050" spans="1:3" x14ac:dyDescent="0.3">
      <c r="A5050" t="s">
        <v>5106</v>
      </c>
      <c r="B5050">
        <f>IF(ISNUMBER(SEARCH(Form!$C$11,Tabel2[[#This Row],[Coordinate Projection System]])),MAX($B$1:B5049)+1,0)</f>
        <v>5049</v>
      </c>
      <c r="C5050" t="str">
        <f t="shared" si="78"/>
        <v>WGS 72BE / UTM zone 29S</v>
      </c>
    </row>
    <row r="5051" spans="1:3" x14ac:dyDescent="0.3">
      <c r="A5051" t="s">
        <v>5107</v>
      </c>
      <c r="B5051">
        <f>IF(ISNUMBER(SEARCH(Form!$C$11,Tabel2[[#This Row],[Coordinate Projection System]])),MAX($B$1:B5050)+1,0)</f>
        <v>5050</v>
      </c>
      <c r="C5051" t="str">
        <f t="shared" si="78"/>
        <v>WGS 72BE / UTM zone 30S</v>
      </c>
    </row>
    <row r="5052" spans="1:3" x14ac:dyDescent="0.3">
      <c r="A5052" t="s">
        <v>5108</v>
      </c>
      <c r="B5052">
        <f>IF(ISNUMBER(SEARCH(Form!$C$11,Tabel2[[#This Row],[Coordinate Projection System]])),MAX($B$1:B5051)+1,0)</f>
        <v>5051</v>
      </c>
      <c r="C5052" t="str">
        <f t="shared" si="78"/>
        <v>WGS 72BE / UTM zone 31S</v>
      </c>
    </row>
    <row r="5053" spans="1:3" x14ac:dyDescent="0.3">
      <c r="A5053" t="s">
        <v>5109</v>
      </c>
      <c r="B5053">
        <f>IF(ISNUMBER(SEARCH(Form!$C$11,Tabel2[[#This Row],[Coordinate Projection System]])),MAX($B$1:B5052)+1,0)</f>
        <v>5052</v>
      </c>
      <c r="C5053" t="str">
        <f t="shared" si="78"/>
        <v>WGS 72BE / UTM zone 32S</v>
      </c>
    </row>
    <row r="5054" spans="1:3" x14ac:dyDescent="0.3">
      <c r="A5054" t="s">
        <v>5110</v>
      </c>
      <c r="B5054">
        <f>IF(ISNUMBER(SEARCH(Form!$C$11,Tabel2[[#This Row],[Coordinate Projection System]])),MAX($B$1:B5053)+1,0)</f>
        <v>5053</v>
      </c>
      <c r="C5054" t="str">
        <f t="shared" si="78"/>
        <v>WGS 72BE / UTM zone 33S</v>
      </c>
    </row>
    <row r="5055" spans="1:3" x14ac:dyDescent="0.3">
      <c r="A5055" t="s">
        <v>5111</v>
      </c>
      <c r="B5055">
        <f>IF(ISNUMBER(SEARCH(Form!$C$11,Tabel2[[#This Row],[Coordinate Projection System]])),MAX($B$1:B5054)+1,0)</f>
        <v>5054</v>
      </c>
      <c r="C5055" t="str">
        <f t="shared" si="78"/>
        <v>WGS 72BE / UTM zone 34S</v>
      </c>
    </row>
    <row r="5056" spans="1:3" x14ac:dyDescent="0.3">
      <c r="A5056" t="s">
        <v>5112</v>
      </c>
      <c r="B5056">
        <f>IF(ISNUMBER(SEARCH(Form!$C$11,Tabel2[[#This Row],[Coordinate Projection System]])),MAX($B$1:B5055)+1,0)</f>
        <v>5055</v>
      </c>
      <c r="C5056" t="str">
        <f t="shared" si="78"/>
        <v>WGS 72BE / UTM zone 35S</v>
      </c>
    </row>
    <row r="5057" spans="1:3" x14ac:dyDescent="0.3">
      <c r="A5057" t="s">
        <v>5113</v>
      </c>
      <c r="B5057">
        <f>IF(ISNUMBER(SEARCH(Form!$C$11,Tabel2[[#This Row],[Coordinate Projection System]])),MAX($B$1:B5056)+1,0)</f>
        <v>5056</v>
      </c>
      <c r="C5057" t="str">
        <f t="shared" si="78"/>
        <v>WGS 72BE / UTM zone 36S</v>
      </c>
    </row>
    <row r="5058" spans="1:3" x14ac:dyDescent="0.3">
      <c r="A5058" t="s">
        <v>5114</v>
      </c>
      <c r="B5058">
        <f>IF(ISNUMBER(SEARCH(Form!$C$11,Tabel2[[#This Row],[Coordinate Projection System]])),MAX($B$1:B5057)+1,0)</f>
        <v>5057</v>
      </c>
      <c r="C5058" t="str">
        <f t="shared" si="78"/>
        <v>WGS 72BE / UTM zone 37S</v>
      </c>
    </row>
    <row r="5059" spans="1:3" x14ac:dyDescent="0.3">
      <c r="A5059" t="s">
        <v>5115</v>
      </c>
      <c r="B5059">
        <f>IF(ISNUMBER(SEARCH(Form!$C$11,Tabel2[[#This Row],[Coordinate Projection System]])),MAX($B$1:B5058)+1,0)</f>
        <v>5058</v>
      </c>
      <c r="C5059" t="str">
        <f t="shared" ref="C5059:C5122" si="79">_xlfn.IFNA(INDEX(A5059:A10570,MATCH(ROW(C5058),B5059:B10570,0)),"")</f>
        <v>WGS 72BE / UTM zone 38S</v>
      </c>
    </row>
    <row r="5060" spans="1:3" x14ac:dyDescent="0.3">
      <c r="A5060" t="s">
        <v>5116</v>
      </c>
      <c r="B5060">
        <f>IF(ISNUMBER(SEARCH(Form!$C$11,Tabel2[[#This Row],[Coordinate Projection System]])),MAX($B$1:B5059)+1,0)</f>
        <v>5059</v>
      </c>
      <c r="C5060" t="str">
        <f t="shared" si="79"/>
        <v>WGS 72BE / UTM zone 39S</v>
      </c>
    </row>
    <row r="5061" spans="1:3" x14ac:dyDescent="0.3">
      <c r="A5061" t="s">
        <v>5117</v>
      </c>
      <c r="B5061">
        <f>IF(ISNUMBER(SEARCH(Form!$C$11,Tabel2[[#This Row],[Coordinate Projection System]])),MAX($B$1:B5060)+1,0)</f>
        <v>5060</v>
      </c>
      <c r="C5061" t="str">
        <f t="shared" si="79"/>
        <v>WGS 72BE / UTM zone 40S</v>
      </c>
    </row>
    <row r="5062" spans="1:3" x14ac:dyDescent="0.3">
      <c r="A5062" t="s">
        <v>5118</v>
      </c>
      <c r="B5062">
        <f>IF(ISNUMBER(SEARCH(Form!$C$11,Tabel2[[#This Row],[Coordinate Projection System]])),MAX($B$1:B5061)+1,0)</f>
        <v>5061</v>
      </c>
      <c r="C5062" t="str">
        <f t="shared" si="79"/>
        <v>WGS 72BE / UTM zone 41S</v>
      </c>
    </row>
    <row r="5063" spans="1:3" x14ac:dyDescent="0.3">
      <c r="A5063" t="s">
        <v>5119</v>
      </c>
      <c r="B5063">
        <f>IF(ISNUMBER(SEARCH(Form!$C$11,Tabel2[[#This Row],[Coordinate Projection System]])),MAX($B$1:B5062)+1,0)</f>
        <v>5062</v>
      </c>
      <c r="C5063" t="str">
        <f t="shared" si="79"/>
        <v>WGS 72BE / UTM zone 42S</v>
      </c>
    </row>
    <row r="5064" spans="1:3" x14ac:dyDescent="0.3">
      <c r="A5064" t="s">
        <v>5120</v>
      </c>
      <c r="B5064">
        <f>IF(ISNUMBER(SEARCH(Form!$C$11,Tabel2[[#This Row],[Coordinate Projection System]])),MAX($B$1:B5063)+1,0)</f>
        <v>5063</v>
      </c>
      <c r="C5064" t="str">
        <f t="shared" si="79"/>
        <v>WGS 72BE / UTM zone 43S</v>
      </c>
    </row>
    <row r="5065" spans="1:3" x14ac:dyDescent="0.3">
      <c r="A5065" t="s">
        <v>5121</v>
      </c>
      <c r="B5065">
        <f>IF(ISNUMBER(SEARCH(Form!$C$11,Tabel2[[#This Row],[Coordinate Projection System]])),MAX($B$1:B5064)+1,0)</f>
        <v>5064</v>
      </c>
      <c r="C5065" t="str">
        <f t="shared" si="79"/>
        <v>WGS 72BE / UTM zone 44S</v>
      </c>
    </row>
    <row r="5066" spans="1:3" x14ac:dyDescent="0.3">
      <c r="A5066" t="s">
        <v>5122</v>
      </c>
      <c r="B5066">
        <f>IF(ISNUMBER(SEARCH(Form!$C$11,Tabel2[[#This Row],[Coordinate Projection System]])),MAX($B$1:B5065)+1,0)</f>
        <v>5065</v>
      </c>
      <c r="C5066" t="str">
        <f t="shared" si="79"/>
        <v>WGS 72BE / UTM zone 45S</v>
      </c>
    </row>
    <row r="5067" spans="1:3" x14ac:dyDescent="0.3">
      <c r="A5067" t="s">
        <v>5123</v>
      </c>
      <c r="B5067">
        <f>IF(ISNUMBER(SEARCH(Form!$C$11,Tabel2[[#This Row],[Coordinate Projection System]])),MAX($B$1:B5066)+1,0)</f>
        <v>5066</v>
      </c>
      <c r="C5067" t="str">
        <f t="shared" si="79"/>
        <v>WGS 72BE / UTM zone 46S</v>
      </c>
    </row>
    <row r="5068" spans="1:3" x14ac:dyDescent="0.3">
      <c r="A5068" t="s">
        <v>5124</v>
      </c>
      <c r="B5068">
        <f>IF(ISNUMBER(SEARCH(Form!$C$11,Tabel2[[#This Row],[Coordinate Projection System]])),MAX($B$1:B5067)+1,0)</f>
        <v>5067</v>
      </c>
      <c r="C5068" t="str">
        <f t="shared" si="79"/>
        <v>WGS 72BE / UTM zone 47S</v>
      </c>
    </row>
    <row r="5069" spans="1:3" x14ac:dyDescent="0.3">
      <c r="A5069" t="s">
        <v>5125</v>
      </c>
      <c r="B5069">
        <f>IF(ISNUMBER(SEARCH(Form!$C$11,Tabel2[[#This Row],[Coordinate Projection System]])),MAX($B$1:B5068)+1,0)</f>
        <v>5068</v>
      </c>
      <c r="C5069" t="str">
        <f t="shared" si="79"/>
        <v>WGS 72BE / UTM zone 48S</v>
      </c>
    </row>
    <row r="5070" spans="1:3" x14ac:dyDescent="0.3">
      <c r="A5070" t="s">
        <v>5126</v>
      </c>
      <c r="B5070">
        <f>IF(ISNUMBER(SEARCH(Form!$C$11,Tabel2[[#This Row],[Coordinate Projection System]])),MAX($B$1:B5069)+1,0)</f>
        <v>5069</v>
      </c>
      <c r="C5070" t="str">
        <f t="shared" si="79"/>
        <v>WGS 72BE / UTM zone 49S</v>
      </c>
    </row>
    <row r="5071" spans="1:3" x14ac:dyDescent="0.3">
      <c r="A5071" t="s">
        <v>5127</v>
      </c>
      <c r="B5071">
        <f>IF(ISNUMBER(SEARCH(Form!$C$11,Tabel2[[#This Row],[Coordinate Projection System]])),MAX($B$1:B5070)+1,0)</f>
        <v>5070</v>
      </c>
      <c r="C5071" t="str">
        <f t="shared" si="79"/>
        <v>WGS 72BE / UTM zone 50S</v>
      </c>
    </row>
    <row r="5072" spans="1:3" x14ac:dyDescent="0.3">
      <c r="A5072" t="s">
        <v>5128</v>
      </c>
      <c r="B5072">
        <f>IF(ISNUMBER(SEARCH(Form!$C$11,Tabel2[[#This Row],[Coordinate Projection System]])),MAX($B$1:B5071)+1,0)</f>
        <v>5071</v>
      </c>
      <c r="C5072" t="str">
        <f t="shared" si="79"/>
        <v>WGS 72BE / UTM zone 51S</v>
      </c>
    </row>
    <row r="5073" spans="1:3" x14ac:dyDescent="0.3">
      <c r="A5073" t="s">
        <v>5129</v>
      </c>
      <c r="B5073">
        <f>IF(ISNUMBER(SEARCH(Form!$C$11,Tabel2[[#This Row],[Coordinate Projection System]])),MAX($B$1:B5072)+1,0)</f>
        <v>5072</v>
      </c>
      <c r="C5073" t="str">
        <f t="shared" si="79"/>
        <v>WGS 72BE / UTM zone 52S</v>
      </c>
    </row>
    <row r="5074" spans="1:3" x14ac:dyDescent="0.3">
      <c r="A5074" t="s">
        <v>5130</v>
      </c>
      <c r="B5074">
        <f>IF(ISNUMBER(SEARCH(Form!$C$11,Tabel2[[#This Row],[Coordinate Projection System]])),MAX($B$1:B5073)+1,0)</f>
        <v>5073</v>
      </c>
      <c r="C5074" t="str">
        <f t="shared" si="79"/>
        <v>WGS 72BE / UTM zone 53S</v>
      </c>
    </row>
    <row r="5075" spans="1:3" x14ac:dyDescent="0.3">
      <c r="A5075" t="s">
        <v>5131</v>
      </c>
      <c r="B5075">
        <f>IF(ISNUMBER(SEARCH(Form!$C$11,Tabel2[[#This Row],[Coordinate Projection System]])),MAX($B$1:B5074)+1,0)</f>
        <v>5074</v>
      </c>
      <c r="C5075" t="str">
        <f t="shared" si="79"/>
        <v>WGS 72BE / UTM zone 54S</v>
      </c>
    </row>
    <row r="5076" spans="1:3" x14ac:dyDescent="0.3">
      <c r="A5076" t="s">
        <v>5132</v>
      </c>
      <c r="B5076">
        <f>IF(ISNUMBER(SEARCH(Form!$C$11,Tabel2[[#This Row],[Coordinate Projection System]])),MAX($B$1:B5075)+1,0)</f>
        <v>5075</v>
      </c>
      <c r="C5076" t="str">
        <f t="shared" si="79"/>
        <v>WGS 72BE / UTM zone 55S</v>
      </c>
    </row>
    <row r="5077" spans="1:3" x14ac:dyDescent="0.3">
      <c r="A5077" t="s">
        <v>5133</v>
      </c>
      <c r="B5077">
        <f>IF(ISNUMBER(SEARCH(Form!$C$11,Tabel2[[#This Row],[Coordinate Projection System]])),MAX($B$1:B5076)+1,0)</f>
        <v>5076</v>
      </c>
      <c r="C5077" t="str">
        <f t="shared" si="79"/>
        <v>WGS 72BE / UTM zone 56S</v>
      </c>
    </row>
    <row r="5078" spans="1:3" x14ac:dyDescent="0.3">
      <c r="A5078" t="s">
        <v>5134</v>
      </c>
      <c r="B5078">
        <f>IF(ISNUMBER(SEARCH(Form!$C$11,Tabel2[[#This Row],[Coordinate Projection System]])),MAX($B$1:B5077)+1,0)</f>
        <v>5077</v>
      </c>
      <c r="C5078" t="str">
        <f t="shared" si="79"/>
        <v>WGS 72BE / UTM zone 57S</v>
      </c>
    </row>
    <row r="5079" spans="1:3" x14ac:dyDescent="0.3">
      <c r="A5079" t="s">
        <v>5135</v>
      </c>
      <c r="B5079">
        <f>IF(ISNUMBER(SEARCH(Form!$C$11,Tabel2[[#This Row],[Coordinate Projection System]])),MAX($B$1:B5078)+1,0)</f>
        <v>5078</v>
      </c>
      <c r="C5079" t="str">
        <f t="shared" si="79"/>
        <v>WGS 72BE / UTM zone 58S</v>
      </c>
    </row>
    <row r="5080" spans="1:3" x14ac:dyDescent="0.3">
      <c r="A5080" t="s">
        <v>5136</v>
      </c>
      <c r="B5080">
        <f>IF(ISNUMBER(SEARCH(Form!$C$11,Tabel2[[#This Row],[Coordinate Projection System]])),MAX($B$1:B5079)+1,0)</f>
        <v>5079</v>
      </c>
      <c r="C5080" t="str">
        <f t="shared" si="79"/>
        <v>WGS 72BE / UTM zone 59S</v>
      </c>
    </row>
    <row r="5081" spans="1:3" x14ac:dyDescent="0.3">
      <c r="A5081" t="s">
        <v>5137</v>
      </c>
      <c r="B5081">
        <f>IF(ISNUMBER(SEARCH(Form!$C$11,Tabel2[[#This Row],[Coordinate Projection System]])),MAX($B$1:B5080)+1,0)</f>
        <v>5080</v>
      </c>
      <c r="C5081" t="str">
        <f t="shared" si="79"/>
        <v>WGS 72BE / UTM zone 60S</v>
      </c>
    </row>
    <row r="5082" spans="1:3" x14ac:dyDescent="0.3">
      <c r="A5082" t="s">
        <v>5138</v>
      </c>
      <c r="B5082">
        <f>IF(ISNUMBER(SEARCH(Form!$C$11,Tabel2[[#This Row],[Coordinate Projection System]])),MAX($B$1:B5081)+1,0)</f>
        <v>5081</v>
      </c>
      <c r="C5082" t="str">
        <f t="shared" si="79"/>
        <v>WGS 84 / UTM grid system (northern hemisphere)Unable to translate coordinate system EPSG:32600 into PROJ.4 format.</v>
      </c>
    </row>
    <row r="5083" spans="1:3" x14ac:dyDescent="0.3">
      <c r="A5083" t="s">
        <v>5139</v>
      </c>
      <c r="B5083">
        <f>IF(ISNUMBER(SEARCH(Form!$C$11,Tabel2[[#This Row],[Coordinate Projection System]])),MAX($B$1:B5082)+1,0)</f>
        <v>5082</v>
      </c>
      <c r="C5083" t="str">
        <f t="shared" si="79"/>
        <v>WGS 84 / UTM zone 1N</v>
      </c>
    </row>
    <row r="5084" spans="1:3" x14ac:dyDescent="0.3">
      <c r="A5084" t="s">
        <v>5140</v>
      </c>
      <c r="B5084">
        <f>IF(ISNUMBER(SEARCH(Form!$C$11,Tabel2[[#This Row],[Coordinate Projection System]])),MAX($B$1:B5083)+1,0)</f>
        <v>5083</v>
      </c>
      <c r="C5084" t="str">
        <f t="shared" si="79"/>
        <v>WGS 84 / UTM zone 2N</v>
      </c>
    </row>
    <row r="5085" spans="1:3" x14ac:dyDescent="0.3">
      <c r="A5085" t="s">
        <v>5141</v>
      </c>
      <c r="B5085">
        <f>IF(ISNUMBER(SEARCH(Form!$C$11,Tabel2[[#This Row],[Coordinate Projection System]])),MAX($B$1:B5084)+1,0)</f>
        <v>5084</v>
      </c>
      <c r="C5085" t="str">
        <f t="shared" si="79"/>
        <v>WGS 84 / UTM zone 3N</v>
      </c>
    </row>
    <row r="5086" spans="1:3" x14ac:dyDescent="0.3">
      <c r="A5086" t="s">
        <v>5142</v>
      </c>
      <c r="B5086">
        <f>IF(ISNUMBER(SEARCH(Form!$C$11,Tabel2[[#This Row],[Coordinate Projection System]])),MAX($B$1:B5085)+1,0)</f>
        <v>5085</v>
      </c>
      <c r="C5086" t="str">
        <f t="shared" si="79"/>
        <v>WGS 84 / UTM zone 4N</v>
      </c>
    </row>
    <row r="5087" spans="1:3" x14ac:dyDescent="0.3">
      <c r="A5087" t="s">
        <v>5143</v>
      </c>
      <c r="B5087">
        <f>IF(ISNUMBER(SEARCH(Form!$C$11,Tabel2[[#This Row],[Coordinate Projection System]])),MAX($B$1:B5086)+1,0)</f>
        <v>5086</v>
      </c>
      <c r="C5087" t="str">
        <f t="shared" si="79"/>
        <v>WGS 84 / UTM zone 5N</v>
      </c>
    </row>
    <row r="5088" spans="1:3" x14ac:dyDescent="0.3">
      <c r="A5088" t="s">
        <v>5144</v>
      </c>
      <c r="B5088">
        <f>IF(ISNUMBER(SEARCH(Form!$C$11,Tabel2[[#This Row],[Coordinate Projection System]])),MAX($B$1:B5087)+1,0)</f>
        <v>5087</v>
      </c>
      <c r="C5088" t="str">
        <f t="shared" si="79"/>
        <v>WGS 84 / UTM zone 6N</v>
      </c>
    </row>
    <row r="5089" spans="1:3" x14ac:dyDescent="0.3">
      <c r="A5089" t="s">
        <v>5145</v>
      </c>
      <c r="B5089">
        <f>IF(ISNUMBER(SEARCH(Form!$C$11,Tabel2[[#This Row],[Coordinate Projection System]])),MAX($B$1:B5088)+1,0)</f>
        <v>5088</v>
      </c>
      <c r="C5089" t="str">
        <f t="shared" si="79"/>
        <v>WGS 84 / UTM zone 7N</v>
      </c>
    </row>
    <row r="5090" spans="1:3" x14ac:dyDescent="0.3">
      <c r="A5090" t="s">
        <v>5146</v>
      </c>
      <c r="B5090">
        <f>IF(ISNUMBER(SEARCH(Form!$C$11,Tabel2[[#This Row],[Coordinate Projection System]])),MAX($B$1:B5089)+1,0)</f>
        <v>5089</v>
      </c>
      <c r="C5090" t="str">
        <f t="shared" si="79"/>
        <v>WGS 84 / UTM zone 8N</v>
      </c>
    </row>
    <row r="5091" spans="1:3" x14ac:dyDescent="0.3">
      <c r="A5091" t="s">
        <v>5147</v>
      </c>
      <c r="B5091">
        <f>IF(ISNUMBER(SEARCH(Form!$C$11,Tabel2[[#This Row],[Coordinate Projection System]])),MAX($B$1:B5090)+1,0)</f>
        <v>5090</v>
      </c>
      <c r="C5091" t="str">
        <f t="shared" si="79"/>
        <v>WGS 84 / UTM zone 9N</v>
      </c>
    </row>
    <row r="5092" spans="1:3" x14ac:dyDescent="0.3">
      <c r="A5092" t="s">
        <v>5148</v>
      </c>
      <c r="B5092">
        <f>IF(ISNUMBER(SEARCH(Form!$C$11,Tabel2[[#This Row],[Coordinate Projection System]])),MAX($B$1:B5091)+1,0)</f>
        <v>5091</v>
      </c>
      <c r="C5092" t="str">
        <f t="shared" si="79"/>
        <v>WGS 84 / UTM zone 10N</v>
      </c>
    </row>
    <row r="5093" spans="1:3" x14ac:dyDescent="0.3">
      <c r="A5093" t="s">
        <v>5149</v>
      </c>
      <c r="B5093">
        <f>IF(ISNUMBER(SEARCH(Form!$C$11,Tabel2[[#This Row],[Coordinate Projection System]])),MAX($B$1:B5092)+1,0)</f>
        <v>5092</v>
      </c>
      <c r="C5093" t="str">
        <f t="shared" si="79"/>
        <v>WGS 84 / UTM zone 11N</v>
      </c>
    </row>
    <row r="5094" spans="1:3" x14ac:dyDescent="0.3">
      <c r="A5094" t="s">
        <v>5150</v>
      </c>
      <c r="B5094">
        <f>IF(ISNUMBER(SEARCH(Form!$C$11,Tabel2[[#This Row],[Coordinate Projection System]])),MAX($B$1:B5093)+1,0)</f>
        <v>5093</v>
      </c>
      <c r="C5094" t="str">
        <f t="shared" si="79"/>
        <v>WGS 84 / UTM zone 12N</v>
      </c>
    </row>
    <row r="5095" spans="1:3" x14ac:dyDescent="0.3">
      <c r="A5095" t="s">
        <v>5151</v>
      </c>
      <c r="B5095">
        <f>IF(ISNUMBER(SEARCH(Form!$C$11,Tabel2[[#This Row],[Coordinate Projection System]])),MAX($B$1:B5094)+1,0)</f>
        <v>5094</v>
      </c>
      <c r="C5095" t="str">
        <f t="shared" si="79"/>
        <v>WGS 84 / UTM zone 13N</v>
      </c>
    </row>
    <row r="5096" spans="1:3" x14ac:dyDescent="0.3">
      <c r="A5096" t="s">
        <v>5152</v>
      </c>
      <c r="B5096">
        <f>IF(ISNUMBER(SEARCH(Form!$C$11,Tabel2[[#This Row],[Coordinate Projection System]])),MAX($B$1:B5095)+1,0)</f>
        <v>5095</v>
      </c>
      <c r="C5096" t="str">
        <f t="shared" si="79"/>
        <v>WGS 84 / UTM zone 14N</v>
      </c>
    </row>
    <row r="5097" spans="1:3" x14ac:dyDescent="0.3">
      <c r="A5097" t="s">
        <v>5153</v>
      </c>
      <c r="B5097">
        <f>IF(ISNUMBER(SEARCH(Form!$C$11,Tabel2[[#This Row],[Coordinate Projection System]])),MAX($B$1:B5096)+1,0)</f>
        <v>5096</v>
      </c>
      <c r="C5097" t="str">
        <f t="shared" si="79"/>
        <v>WGS 84 / UTM zone 15N</v>
      </c>
    </row>
    <row r="5098" spans="1:3" x14ac:dyDescent="0.3">
      <c r="A5098" t="s">
        <v>5154</v>
      </c>
      <c r="B5098">
        <f>IF(ISNUMBER(SEARCH(Form!$C$11,Tabel2[[#This Row],[Coordinate Projection System]])),MAX($B$1:B5097)+1,0)</f>
        <v>5097</v>
      </c>
      <c r="C5098" t="str">
        <f t="shared" si="79"/>
        <v>WGS 84 / UTM zone 16N</v>
      </c>
    </row>
    <row r="5099" spans="1:3" x14ac:dyDescent="0.3">
      <c r="A5099" t="s">
        <v>5155</v>
      </c>
      <c r="B5099">
        <f>IF(ISNUMBER(SEARCH(Form!$C$11,Tabel2[[#This Row],[Coordinate Projection System]])),MAX($B$1:B5098)+1,0)</f>
        <v>5098</v>
      </c>
      <c r="C5099" t="str">
        <f t="shared" si="79"/>
        <v>WGS 84 / UTM zone 17N</v>
      </c>
    </row>
    <row r="5100" spans="1:3" x14ac:dyDescent="0.3">
      <c r="A5100" t="s">
        <v>5156</v>
      </c>
      <c r="B5100">
        <f>IF(ISNUMBER(SEARCH(Form!$C$11,Tabel2[[#This Row],[Coordinate Projection System]])),MAX($B$1:B5099)+1,0)</f>
        <v>5099</v>
      </c>
      <c r="C5100" t="str">
        <f t="shared" si="79"/>
        <v>WGS 84 / UTM zone 18N</v>
      </c>
    </row>
    <row r="5101" spans="1:3" x14ac:dyDescent="0.3">
      <c r="A5101" t="s">
        <v>5157</v>
      </c>
      <c r="B5101">
        <f>IF(ISNUMBER(SEARCH(Form!$C$11,Tabel2[[#This Row],[Coordinate Projection System]])),MAX($B$1:B5100)+1,0)</f>
        <v>5100</v>
      </c>
      <c r="C5101" t="str">
        <f t="shared" si="79"/>
        <v>WGS 84 / UTM zone 19N</v>
      </c>
    </row>
    <row r="5102" spans="1:3" x14ac:dyDescent="0.3">
      <c r="A5102" t="s">
        <v>5158</v>
      </c>
      <c r="B5102">
        <f>IF(ISNUMBER(SEARCH(Form!$C$11,Tabel2[[#This Row],[Coordinate Projection System]])),MAX($B$1:B5101)+1,0)</f>
        <v>5101</v>
      </c>
      <c r="C5102" t="str">
        <f t="shared" si="79"/>
        <v>WGS 84 / UTM zone 20N</v>
      </c>
    </row>
    <row r="5103" spans="1:3" x14ac:dyDescent="0.3">
      <c r="A5103" t="s">
        <v>5159</v>
      </c>
      <c r="B5103">
        <f>IF(ISNUMBER(SEARCH(Form!$C$11,Tabel2[[#This Row],[Coordinate Projection System]])),MAX($B$1:B5102)+1,0)</f>
        <v>5102</v>
      </c>
      <c r="C5103" t="str">
        <f t="shared" si="79"/>
        <v>WGS 84 / UTM zone 21N</v>
      </c>
    </row>
    <row r="5104" spans="1:3" x14ac:dyDescent="0.3">
      <c r="A5104" t="s">
        <v>5160</v>
      </c>
      <c r="B5104">
        <f>IF(ISNUMBER(SEARCH(Form!$C$11,Tabel2[[#This Row],[Coordinate Projection System]])),MAX($B$1:B5103)+1,0)</f>
        <v>5103</v>
      </c>
      <c r="C5104" t="str">
        <f t="shared" si="79"/>
        <v>WGS 84 / UTM zone 22N</v>
      </c>
    </row>
    <row r="5105" spans="1:3" x14ac:dyDescent="0.3">
      <c r="A5105" t="s">
        <v>5161</v>
      </c>
      <c r="B5105">
        <f>IF(ISNUMBER(SEARCH(Form!$C$11,Tabel2[[#This Row],[Coordinate Projection System]])),MAX($B$1:B5104)+1,0)</f>
        <v>5104</v>
      </c>
      <c r="C5105" t="str">
        <f t="shared" si="79"/>
        <v>WGS 84 / UTM zone 23N</v>
      </c>
    </row>
    <row r="5106" spans="1:3" x14ac:dyDescent="0.3">
      <c r="A5106" t="s">
        <v>5162</v>
      </c>
      <c r="B5106">
        <f>IF(ISNUMBER(SEARCH(Form!$C$11,Tabel2[[#This Row],[Coordinate Projection System]])),MAX($B$1:B5105)+1,0)</f>
        <v>5105</v>
      </c>
      <c r="C5106" t="str">
        <f t="shared" si="79"/>
        <v>WGS 84 / UTM zone 24N</v>
      </c>
    </row>
    <row r="5107" spans="1:3" x14ac:dyDescent="0.3">
      <c r="A5107" t="s">
        <v>5163</v>
      </c>
      <c r="B5107">
        <f>IF(ISNUMBER(SEARCH(Form!$C$11,Tabel2[[#This Row],[Coordinate Projection System]])),MAX($B$1:B5106)+1,0)</f>
        <v>5106</v>
      </c>
      <c r="C5107" t="str">
        <f t="shared" si="79"/>
        <v>WGS 84 / UTM zone 25N</v>
      </c>
    </row>
    <row r="5108" spans="1:3" x14ac:dyDescent="0.3">
      <c r="A5108" t="s">
        <v>5164</v>
      </c>
      <c r="B5108">
        <f>IF(ISNUMBER(SEARCH(Form!$C$11,Tabel2[[#This Row],[Coordinate Projection System]])),MAX($B$1:B5107)+1,0)</f>
        <v>5107</v>
      </c>
      <c r="C5108" t="str">
        <f t="shared" si="79"/>
        <v>WGS 84 / UTM zone 26N</v>
      </c>
    </row>
    <row r="5109" spans="1:3" x14ac:dyDescent="0.3">
      <c r="A5109" t="s">
        <v>5165</v>
      </c>
      <c r="B5109">
        <f>IF(ISNUMBER(SEARCH(Form!$C$11,Tabel2[[#This Row],[Coordinate Projection System]])),MAX($B$1:B5108)+1,0)</f>
        <v>5108</v>
      </c>
      <c r="C5109" t="str">
        <f t="shared" si="79"/>
        <v>WGS 84 / UTM zone 27N</v>
      </c>
    </row>
    <row r="5110" spans="1:3" x14ac:dyDescent="0.3">
      <c r="A5110" t="s">
        <v>5166</v>
      </c>
      <c r="B5110">
        <f>IF(ISNUMBER(SEARCH(Form!$C$11,Tabel2[[#This Row],[Coordinate Projection System]])),MAX($B$1:B5109)+1,0)</f>
        <v>5109</v>
      </c>
      <c r="C5110" t="str">
        <f t="shared" si="79"/>
        <v>WGS 84 / UTM zone 28N</v>
      </c>
    </row>
    <row r="5111" spans="1:3" x14ac:dyDescent="0.3">
      <c r="A5111" t="s">
        <v>5167</v>
      </c>
      <c r="B5111">
        <f>IF(ISNUMBER(SEARCH(Form!$C$11,Tabel2[[#This Row],[Coordinate Projection System]])),MAX($B$1:B5110)+1,0)</f>
        <v>5110</v>
      </c>
      <c r="C5111" t="str">
        <f t="shared" si="79"/>
        <v>WGS 84 / UTM zone 29N</v>
      </c>
    </row>
    <row r="5112" spans="1:3" x14ac:dyDescent="0.3">
      <c r="A5112" t="s">
        <v>5168</v>
      </c>
      <c r="B5112">
        <f>IF(ISNUMBER(SEARCH(Form!$C$11,Tabel2[[#This Row],[Coordinate Projection System]])),MAX($B$1:B5111)+1,0)</f>
        <v>5111</v>
      </c>
      <c r="C5112" t="str">
        <f t="shared" si="79"/>
        <v>WGS 84 / UTM zone 30N</v>
      </c>
    </row>
    <row r="5113" spans="1:3" x14ac:dyDescent="0.3">
      <c r="A5113" t="s">
        <v>5169</v>
      </c>
      <c r="B5113">
        <f>IF(ISNUMBER(SEARCH(Form!$C$11,Tabel2[[#This Row],[Coordinate Projection System]])),MAX($B$1:B5112)+1,0)</f>
        <v>5112</v>
      </c>
      <c r="C5113" t="str">
        <f t="shared" si="79"/>
        <v>WGS 84 / UTM zone 31N</v>
      </c>
    </row>
    <row r="5114" spans="1:3" x14ac:dyDescent="0.3">
      <c r="A5114" t="s">
        <v>5170</v>
      </c>
      <c r="B5114">
        <f>IF(ISNUMBER(SEARCH(Form!$C$11,Tabel2[[#This Row],[Coordinate Projection System]])),MAX($B$1:B5113)+1,0)</f>
        <v>5113</v>
      </c>
      <c r="C5114" t="str">
        <f t="shared" si="79"/>
        <v>WGS 84 / UTM zone 32N</v>
      </c>
    </row>
    <row r="5115" spans="1:3" x14ac:dyDescent="0.3">
      <c r="A5115" t="s">
        <v>5171</v>
      </c>
      <c r="B5115">
        <f>IF(ISNUMBER(SEARCH(Form!$C$11,Tabel2[[#This Row],[Coordinate Projection System]])),MAX($B$1:B5114)+1,0)</f>
        <v>5114</v>
      </c>
      <c r="C5115" t="str">
        <f t="shared" si="79"/>
        <v>WGS 84 / UTM zone 33N</v>
      </c>
    </row>
    <row r="5116" spans="1:3" x14ac:dyDescent="0.3">
      <c r="A5116" t="s">
        <v>5172</v>
      </c>
      <c r="B5116">
        <f>IF(ISNUMBER(SEARCH(Form!$C$11,Tabel2[[#This Row],[Coordinate Projection System]])),MAX($B$1:B5115)+1,0)</f>
        <v>5115</v>
      </c>
      <c r="C5116" t="str">
        <f t="shared" si="79"/>
        <v>WGS 84 / UTM zone 34N</v>
      </c>
    </row>
    <row r="5117" spans="1:3" x14ac:dyDescent="0.3">
      <c r="A5117" t="s">
        <v>5173</v>
      </c>
      <c r="B5117">
        <f>IF(ISNUMBER(SEARCH(Form!$C$11,Tabel2[[#This Row],[Coordinate Projection System]])),MAX($B$1:B5116)+1,0)</f>
        <v>5116</v>
      </c>
      <c r="C5117" t="str">
        <f t="shared" si="79"/>
        <v>WGS 84 / UTM zone 35N</v>
      </c>
    </row>
    <row r="5118" spans="1:3" x14ac:dyDescent="0.3">
      <c r="A5118" t="s">
        <v>5174</v>
      </c>
      <c r="B5118">
        <f>IF(ISNUMBER(SEARCH(Form!$C$11,Tabel2[[#This Row],[Coordinate Projection System]])),MAX($B$1:B5117)+1,0)</f>
        <v>5117</v>
      </c>
      <c r="C5118" t="str">
        <f t="shared" si="79"/>
        <v>WGS 84 / UTM zone 36N</v>
      </c>
    </row>
    <row r="5119" spans="1:3" x14ac:dyDescent="0.3">
      <c r="A5119" t="s">
        <v>5175</v>
      </c>
      <c r="B5119">
        <f>IF(ISNUMBER(SEARCH(Form!$C$11,Tabel2[[#This Row],[Coordinate Projection System]])),MAX($B$1:B5118)+1,0)</f>
        <v>5118</v>
      </c>
      <c r="C5119" t="str">
        <f t="shared" si="79"/>
        <v>WGS 84 / UTM zone 37N</v>
      </c>
    </row>
    <row r="5120" spans="1:3" x14ac:dyDescent="0.3">
      <c r="A5120" t="s">
        <v>5176</v>
      </c>
      <c r="B5120">
        <f>IF(ISNUMBER(SEARCH(Form!$C$11,Tabel2[[#This Row],[Coordinate Projection System]])),MAX($B$1:B5119)+1,0)</f>
        <v>5119</v>
      </c>
      <c r="C5120" t="str">
        <f t="shared" si="79"/>
        <v>WGS 84 / UTM zone 38N</v>
      </c>
    </row>
    <row r="5121" spans="1:3" x14ac:dyDescent="0.3">
      <c r="A5121" t="s">
        <v>5177</v>
      </c>
      <c r="B5121">
        <f>IF(ISNUMBER(SEARCH(Form!$C$11,Tabel2[[#This Row],[Coordinate Projection System]])),MAX($B$1:B5120)+1,0)</f>
        <v>5120</v>
      </c>
      <c r="C5121" t="str">
        <f t="shared" si="79"/>
        <v>WGS 84 / UTM zone 39N</v>
      </c>
    </row>
    <row r="5122" spans="1:3" x14ac:dyDescent="0.3">
      <c r="A5122" t="s">
        <v>5178</v>
      </c>
      <c r="B5122">
        <f>IF(ISNUMBER(SEARCH(Form!$C$11,Tabel2[[#This Row],[Coordinate Projection System]])),MAX($B$1:B5121)+1,0)</f>
        <v>5121</v>
      </c>
      <c r="C5122" t="str">
        <f t="shared" si="79"/>
        <v>WGS 84 / UTM zone 40N</v>
      </c>
    </row>
    <row r="5123" spans="1:3" x14ac:dyDescent="0.3">
      <c r="A5123" t="s">
        <v>5179</v>
      </c>
      <c r="B5123">
        <f>IF(ISNUMBER(SEARCH(Form!$C$11,Tabel2[[#This Row],[Coordinate Projection System]])),MAX($B$1:B5122)+1,0)</f>
        <v>5122</v>
      </c>
      <c r="C5123" t="str">
        <f t="shared" ref="C5123:C5186" si="80">_xlfn.IFNA(INDEX(A5123:A10634,MATCH(ROW(C5122),B5123:B10634,0)),"")</f>
        <v>WGS 84 / UTM zone 41N</v>
      </c>
    </row>
    <row r="5124" spans="1:3" x14ac:dyDescent="0.3">
      <c r="A5124" t="s">
        <v>5180</v>
      </c>
      <c r="B5124">
        <f>IF(ISNUMBER(SEARCH(Form!$C$11,Tabel2[[#This Row],[Coordinate Projection System]])),MAX($B$1:B5123)+1,0)</f>
        <v>5123</v>
      </c>
      <c r="C5124" t="str">
        <f t="shared" si="80"/>
        <v>WGS 84 / UTM zone 42N</v>
      </c>
    </row>
    <row r="5125" spans="1:3" x14ac:dyDescent="0.3">
      <c r="A5125" t="s">
        <v>5181</v>
      </c>
      <c r="B5125">
        <f>IF(ISNUMBER(SEARCH(Form!$C$11,Tabel2[[#This Row],[Coordinate Projection System]])),MAX($B$1:B5124)+1,0)</f>
        <v>5124</v>
      </c>
      <c r="C5125" t="str">
        <f t="shared" si="80"/>
        <v>WGS 84 / UTM zone 43N</v>
      </c>
    </row>
    <row r="5126" spans="1:3" x14ac:dyDescent="0.3">
      <c r="A5126" t="s">
        <v>5182</v>
      </c>
      <c r="B5126">
        <f>IF(ISNUMBER(SEARCH(Form!$C$11,Tabel2[[#This Row],[Coordinate Projection System]])),MAX($B$1:B5125)+1,0)</f>
        <v>5125</v>
      </c>
      <c r="C5126" t="str">
        <f t="shared" si="80"/>
        <v>WGS 84 / UTM zone 44N</v>
      </c>
    </row>
    <row r="5127" spans="1:3" x14ac:dyDescent="0.3">
      <c r="A5127" t="s">
        <v>5183</v>
      </c>
      <c r="B5127">
        <f>IF(ISNUMBER(SEARCH(Form!$C$11,Tabel2[[#This Row],[Coordinate Projection System]])),MAX($B$1:B5126)+1,0)</f>
        <v>5126</v>
      </c>
      <c r="C5127" t="str">
        <f t="shared" si="80"/>
        <v>WGS 84 / UTM zone 45N</v>
      </c>
    </row>
    <row r="5128" spans="1:3" x14ac:dyDescent="0.3">
      <c r="A5128" t="s">
        <v>5184</v>
      </c>
      <c r="B5128">
        <f>IF(ISNUMBER(SEARCH(Form!$C$11,Tabel2[[#This Row],[Coordinate Projection System]])),MAX($B$1:B5127)+1,0)</f>
        <v>5127</v>
      </c>
      <c r="C5128" t="str">
        <f t="shared" si="80"/>
        <v>WGS 84 / UTM zone 46N</v>
      </c>
    </row>
    <row r="5129" spans="1:3" x14ac:dyDescent="0.3">
      <c r="A5129" t="s">
        <v>5185</v>
      </c>
      <c r="B5129">
        <f>IF(ISNUMBER(SEARCH(Form!$C$11,Tabel2[[#This Row],[Coordinate Projection System]])),MAX($B$1:B5128)+1,0)</f>
        <v>5128</v>
      </c>
      <c r="C5129" t="str">
        <f t="shared" si="80"/>
        <v>WGS 84 / UTM zone 47N</v>
      </c>
    </row>
    <row r="5130" spans="1:3" x14ac:dyDescent="0.3">
      <c r="A5130" t="s">
        <v>5186</v>
      </c>
      <c r="B5130">
        <f>IF(ISNUMBER(SEARCH(Form!$C$11,Tabel2[[#This Row],[Coordinate Projection System]])),MAX($B$1:B5129)+1,0)</f>
        <v>5129</v>
      </c>
      <c r="C5130" t="str">
        <f t="shared" si="80"/>
        <v>WGS 84 / UTM zone 48N</v>
      </c>
    </row>
    <row r="5131" spans="1:3" x14ac:dyDescent="0.3">
      <c r="A5131" t="s">
        <v>5187</v>
      </c>
      <c r="B5131">
        <f>IF(ISNUMBER(SEARCH(Form!$C$11,Tabel2[[#This Row],[Coordinate Projection System]])),MAX($B$1:B5130)+1,0)</f>
        <v>5130</v>
      </c>
      <c r="C5131" t="str">
        <f t="shared" si="80"/>
        <v>WGS 84 / UTM zone 49N</v>
      </c>
    </row>
    <row r="5132" spans="1:3" x14ac:dyDescent="0.3">
      <c r="A5132" t="s">
        <v>5188</v>
      </c>
      <c r="B5132">
        <f>IF(ISNUMBER(SEARCH(Form!$C$11,Tabel2[[#This Row],[Coordinate Projection System]])),MAX($B$1:B5131)+1,0)</f>
        <v>5131</v>
      </c>
      <c r="C5132" t="str">
        <f t="shared" si="80"/>
        <v>WGS 84 / UTM zone 50N</v>
      </c>
    </row>
    <row r="5133" spans="1:3" x14ac:dyDescent="0.3">
      <c r="A5133" t="s">
        <v>5189</v>
      </c>
      <c r="B5133">
        <f>IF(ISNUMBER(SEARCH(Form!$C$11,Tabel2[[#This Row],[Coordinate Projection System]])),MAX($B$1:B5132)+1,0)</f>
        <v>5132</v>
      </c>
      <c r="C5133" t="str">
        <f t="shared" si="80"/>
        <v>WGS 84 / UTM zone 51N</v>
      </c>
    </row>
    <row r="5134" spans="1:3" x14ac:dyDescent="0.3">
      <c r="A5134" t="s">
        <v>5190</v>
      </c>
      <c r="B5134">
        <f>IF(ISNUMBER(SEARCH(Form!$C$11,Tabel2[[#This Row],[Coordinate Projection System]])),MAX($B$1:B5133)+1,0)</f>
        <v>5133</v>
      </c>
      <c r="C5134" t="str">
        <f t="shared" si="80"/>
        <v>WGS 84 / UTM zone 52N</v>
      </c>
    </row>
    <row r="5135" spans="1:3" x14ac:dyDescent="0.3">
      <c r="A5135" t="s">
        <v>5191</v>
      </c>
      <c r="B5135">
        <f>IF(ISNUMBER(SEARCH(Form!$C$11,Tabel2[[#This Row],[Coordinate Projection System]])),MAX($B$1:B5134)+1,0)</f>
        <v>5134</v>
      </c>
      <c r="C5135" t="str">
        <f t="shared" si="80"/>
        <v>WGS 84 / UTM zone 53N</v>
      </c>
    </row>
    <row r="5136" spans="1:3" x14ac:dyDescent="0.3">
      <c r="A5136" t="s">
        <v>5192</v>
      </c>
      <c r="B5136">
        <f>IF(ISNUMBER(SEARCH(Form!$C$11,Tabel2[[#This Row],[Coordinate Projection System]])),MAX($B$1:B5135)+1,0)</f>
        <v>5135</v>
      </c>
      <c r="C5136" t="str">
        <f t="shared" si="80"/>
        <v>WGS 84 / UTM zone 54N</v>
      </c>
    </row>
    <row r="5137" spans="1:3" x14ac:dyDescent="0.3">
      <c r="A5137" t="s">
        <v>5193</v>
      </c>
      <c r="B5137">
        <f>IF(ISNUMBER(SEARCH(Form!$C$11,Tabel2[[#This Row],[Coordinate Projection System]])),MAX($B$1:B5136)+1,0)</f>
        <v>5136</v>
      </c>
      <c r="C5137" t="str">
        <f t="shared" si="80"/>
        <v>WGS 84 / UTM zone 55N</v>
      </c>
    </row>
    <row r="5138" spans="1:3" x14ac:dyDescent="0.3">
      <c r="A5138" t="s">
        <v>5194</v>
      </c>
      <c r="B5138">
        <f>IF(ISNUMBER(SEARCH(Form!$C$11,Tabel2[[#This Row],[Coordinate Projection System]])),MAX($B$1:B5137)+1,0)</f>
        <v>5137</v>
      </c>
      <c r="C5138" t="str">
        <f t="shared" si="80"/>
        <v>WGS 84 / UTM zone 56N</v>
      </c>
    </row>
    <row r="5139" spans="1:3" x14ac:dyDescent="0.3">
      <c r="A5139" t="s">
        <v>5195</v>
      </c>
      <c r="B5139">
        <f>IF(ISNUMBER(SEARCH(Form!$C$11,Tabel2[[#This Row],[Coordinate Projection System]])),MAX($B$1:B5138)+1,0)</f>
        <v>5138</v>
      </c>
      <c r="C5139" t="str">
        <f t="shared" si="80"/>
        <v>WGS 84 / UTM zone 57N</v>
      </c>
    </row>
    <row r="5140" spans="1:3" x14ac:dyDescent="0.3">
      <c r="A5140" t="s">
        <v>5196</v>
      </c>
      <c r="B5140">
        <f>IF(ISNUMBER(SEARCH(Form!$C$11,Tabel2[[#This Row],[Coordinate Projection System]])),MAX($B$1:B5139)+1,0)</f>
        <v>5139</v>
      </c>
      <c r="C5140" t="str">
        <f t="shared" si="80"/>
        <v>WGS 84 / UTM zone 58N</v>
      </c>
    </row>
    <row r="5141" spans="1:3" x14ac:dyDescent="0.3">
      <c r="A5141" t="s">
        <v>5197</v>
      </c>
      <c r="B5141">
        <f>IF(ISNUMBER(SEARCH(Form!$C$11,Tabel2[[#This Row],[Coordinate Projection System]])),MAX($B$1:B5140)+1,0)</f>
        <v>5140</v>
      </c>
      <c r="C5141" t="str">
        <f t="shared" si="80"/>
        <v>WGS 84 / UTM zone 59N</v>
      </c>
    </row>
    <row r="5142" spans="1:3" x14ac:dyDescent="0.3">
      <c r="A5142" t="s">
        <v>5198</v>
      </c>
      <c r="B5142">
        <f>IF(ISNUMBER(SEARCH(Form!$C$11,Tabel2[[#This Row],[Coordinate Projection System]])),MAX($B$1:B5141)+1,0)</f>
        <v>5141</v>
      </c>
      <c r="C5142" t="str">
        <f t="shared" si="80"/>
        <v>WGS 84 / UTM zone 60N</v>
      </c>
    </row>
    <row r="5143" spans="1:3" x14ac:dyDescent="0.3">
      <c r="A5143" t="s">
        <v>5199</v>
      </c>
      <c r="B5143">
        <f>IF(ISNUMBER(SEARCH(Form!$C$11,Tabel2[[#This Row],[Coordinate Projection System]])),MAX($B$1:B5142)+1,0)</f>
        <v>5142</v>
      </c>
      <c r="C5143" t="str">
        <f t="shared" si="80"/>
        <v>WGS 84 / UPS North (N,E)</v>
      </c>
    </row>
    <row r="5144" spans="1:3" x14ac:dyDescent="0.3">
      <c r="A5144" t="s">
        <v>5200</v>
      </c>
      <c r="B5144">
        <f>IF(ISNUMBER(SEARCH(Form!$C$11,Tabel2[[#This Row],[Coordinate Projection System]])),MAX($B$1:B5143)+1,0)</f>
        <v>5143</v>
      </c>
      <c r="C5144" t="str">
        <f t="shared" si="80"/>
        <v>WGS 84 / Plate Carree (deprecated)</v>
      </c>
    </row>
    <row r="5145" spans="1:3" x14ac:dyDescent="0.3">
      <c r="A5145" t="s">
        <v>5201</v>
      </c>
      <c r="B5145">
        <f>IF(ISNUMBER(SEARCH(Form!$C$11,Tabel2[[#This Row],[Coordinate Projection System]])),MAX($B$1:B5144)+1,0)</f>
        <v>5144</v>
      </c>
      <c r="C5145" t="str">
        <f t="shared" si="80"/>
        <v>WGS 84 / World Equidistant Cylindrical (deprecated)</v>
      </c>
    </row>
    <row r="5146" spans="1:3" x14ac:dyDescent="0.3">
      <c r="A5146" t="s">
        <v>5202</v>
      </c>
      <c r="B5146">
        <f>IF(ISNUMBER(SEARCH(Form!$C$11,Tabel2[[#This Row],[Coordinate Projection System]])),MAX($B$1:B5145)+1,0)</f>
        <v>5145</v>
      </c>
      <c r="C5146" t="str">
        <f t="shared" si="80"/>
        <v>WGS 84 / BLM 14N (ftUS)</v>
      </c>
    </row>
    <row r="5147" spans="1:3" x14ac:dyDescent="0.3">
      <c r="A5147" t="s">
        <v>5203</v>
      </c>
      <c r="B5147">
        <f>IF(ISNUMBER(SEARCH(Form!$C$11,Tabel2[[#This Row],[Coordinate Projection System]])),MAX($B$1:B5146)+1,0)</f>
        <v>5146</v>
      </c>
      <c r="C5147" t="str">
        <f t="shared" si="80"/>
        <v>WGS 84 / BLM 15N (ftUS)</v>
      </c>
    </row>
    <row r="5148" spans="1:3" x14ac:dyDescent="0.3">
      <c r="A5148" t="s">
        <v>5204</v>
      </c>
      <c r="B5148">
        <f>IF(ISNUMBER(SEARCH(Form!$C$11,Tabel2[[#This Row],[Coordinate Projection System]])),MAX($B$1:B5147)+1,0)</f>
        <v>5147</v>
      </c>
      <c r="C5148" t="str">
        <f t="shared" si="80"/>
        <v>WGS 84 / BLM 16N (ftUS)</v>
      </c>
    </row>
    <row r="5149" spans="1:3" x14ac:dyDescent="0.3">
      <c r="A5149" t="s">
        <v>5205</v>
      </c>
      <c r="B5149">
        <f>IF(ISNUMBER(SEARCH(Form!$C$11,Tabel2[[#This Row],[Coordinate Projection System]])),MAX($B$1:B5148)+1,0)</f>
        <v>5148</v>
      </c>
      <c r="C5149" t="str">
        <f t="shared" si="80"/>
        <v>WGS 84 / BLM 17N (ftUS)</v>
      </c>
    </row>
    <row r="5150" spans="1:3" x14ac:dyDescent="0.3">
      <c r="A5150" t="s">
        <v>5206</v>
      </c>
      <c r="B5150">
        <f>IF(ISNUMBER(SEARCH(Form!$C$11,Tabel2[[#This Row],[Coordinate Projection System]])),MAX($B$1:B5149)+1,0)</f>
        <v>5149</v>
      </c>
      <c r="C5150" t="str">
        <f t="shared" si="80"/>
        <v>WGS 84 / UTM grid system (southern hemisphere)Unable to translate coordinate system EPSG:32700 into PROJ.4 format.</v>
      </c>
    </row>
    <row r="5151" spans="1:3" x14ac:dyDescent="0.3">
      <c r="A5151" t="s">
        <v>5207</v>
      </c>
      <c r="B5151">
        <f>IF(ISNUMBER(SEARCH(Form!$C$11,Tabel2[[#This Row],[Coordinate Projection System]])),MAX($B$1:B5150)+1,0)</f>
        <v>5150</v>
      </c>
      <c r="C5151" t="str">
        <f t="shared" si="80"/>
        <v>WGS 84 / UTM zone 1S</v>
      </c>
    </row>
    <row r="5152" spans="1:3" x14ac:dyDescent="0.3">
      <c r="A5152" t="s">
        <v>5208</v>
      </c>
      <c r="B5152">
        <f>IF(ISNUMBER(SEARCH(Form!$C$11,Tabel2[[#This Row],[Coordinate Projection System]])),MAX($B$1:B5151)+1,0)</f>
        <v>5151</v>
      </c>
      <c r="C5152" t="str">
        <f t="shared" si="80"/>
        <v>WGS 84 / UTM zone 2S</v>
      </c>
    </row>
    <row r="5153" spans="1:3" x14ac:dyDescent="0.3">
      <c r="A5153" t="s">
        <v>5209</v>
      </c>
      <c r="B5153">
        <f>IF(ISNUMBER(SEARCH(Form!$C$11,Tabel2[[#This Row],[Coordinate Projection System]])),MAX($B$1:B5152)+1,0)</f>
        <v>5152</v>
      </c>
      <c r="C5153" t="str">
        <f t="shared" si="80"/>
        <v>WGS 84 / UTM zone 3S</v>
      </c>
    </row>
    <row r="5154" spans="1:3" x14ac:dyDescent="0.3">
      <c r="A5154" t="s">
        <v>5210</v>
      </c>
      <c r="B5154">
        <f>IF(ISNUMBER(SEARCH(Form!$C$11,Tabel2[[#This Row],[Coordinate Projection System]])),MAX($B$1:B5153)+1,0)</f>
        <v>5153</v>
      </c>
      <c r="C5154" t="str">
        <f t="shared" si="80"/>
        <v>WGS 84 / UTM zone 4S</v>
      </c>
    </row>
    <row r="5155" spans="1:3" x14ac:dyDescent="0.3">
      <c r="A5155" t="s">
        <v>5211</v>
      </c>
      <c r="B5155">
        <f>IF(ISNUMBER(SEARCH(Form!$C$11,Tabel2[[#This Row],[Coordinate Projection System]])),MAX($B$1:B5154)+1,0)</f>
        <v>5154</v>
      </c>
      <c r="C5155" t="str">
        <f t="shared" si="80"/>
        <v>WGS 84 / UTM zone 5S</v>
      </c>
    </row>
    <row r="5156" spans="1:3" x14ac:dyDescent="0.3">
      <c r="A5156" t="s">
        <v>5212</v>
      </c>
      <c r="B5156">
        <f>IF(ISNUMBER(SEARCH(Form!$C$11,Tabel2[[#This Row],[Coordinate Projection System]])),MAX($B$1:B5155)+1,0)</f>
        <v>5155</v>
      </c>
      <c r="C5156" t="str">
        <f t="shared" si="80"/>
        <v>WGS 84 / UTM zone 6S</v>
      </c>
    </row>
    <row r="5157" spans="1:3" x14ac:dyDescent="0.3">
      <c r="A5157" t="s">
        <v>5213</v>
      </c>
      <c r="B5157">
        <f>IF(ISNUMBER(SEARCH(Form!$C$11,Tabel2[[#This Row],[Coordinate Projection System]])),MAX($B$1:B5156)+1,0)</f>
        <v>5156</v>
      </c>
      <c r="C5157" t="str">
        <f t="shared" si="80"/>
        <v>WGS 84 / UTM zone 7S</v>
      </c>
    </row>
    <row r="5158" spans="1:3" x14ac:dyDescent="0.3">
      <c r="A5158" t="s">
        <v>5214</v>
      </c>
      <c r="B5158">
        <f>IF(ISNUMBER(SEARCH(Form!$C$11,Tabel2[[#This Row],[Coordinate Projection System]])),MAX($B$1:B5157)+1,0)</f>
        <v>5157</v>
      </c>
      <c r="C5158" t="str">
        <f t="shared" si="80"/>
        <v>WGS 84 / UTM zone 8S</v>
      </c>
    </row>
    <row r="5159" spans="1:3" x14ac:dyDescent="0.3">
      <c r="A5159" t="s">
        <v>5215</v>
      </c>
      <c r="B5159">
        <f>IF(ISNUMBER(SEARCH(Form!$C$11,Tabel2[[#This Row],[Coordinate Projection System]])),MAX($B$1:B5158)+1,0)</f>
        <v>5158</v>
      </c>
      <c r="C5159" t="str">
        <f t="shared" si="80"/>
        <v>WGS 84 / UTM zone 9S</v>
      </c>
    </row>
    <row r="5160" spans="1:3" x14ac:dyDescent="0.3">
      <c r="A5160" t="s">
        <v>5216</v>
      </c>
      <c r="B5160">
        <f>IF(ISNUMBER(SEARCH(Form!$C$11,Tabel2[[#This Row],[Coordinate Projection System]])),MAX($B$1:B5159)+1,0)</f>
        <v>5159</v>
      </c>
      <c r="C5160" t="str">
        <f t="shared" si="80"/>
        <v>WGS 84 / UTM zone 10S</v>
      </c>
    </row>
    <row r="5161" spans="1:3" x14ac:dyDescent="0.3">
      <c r="A5161" t="s">
        <v>5217</v>
      </c>
      <c r="B5161">
        <f>IF(ISNUMBER(SEARCH(Form!$C$11,Tabel2[[#This Row],[Coordinate Projection System]])),MAX($B$1:B5160)+1,0)</f>
        <v>5160</v>
      </c>
      <c r="C5161" t="str">
        <f t="shared" si="80"/>
        <v>WGS 84 / UTM zone 11S</v>
      </c>
    </row>
    <row r="5162" spans="1:3" x14ac:dyDescent="0.3">
      <c r="A5162" t="s">
        <v>5218</v>
      </c>
      <c r="B5162">
        <f>IF(ISNUMBER(SEARCH(Form!$C$11,Tabel2[[#This Row],[Coordinate Projection System]])),MAX($B$1:B5161)+1,0)</f>
        <v>5161</v>
      </c>
      <c r="C5162" t="str">
        <f t="shared" si="80"/>
        <v>WGS 84 / UTM zone 12S</v>
      </c>
    </row>
    <row r="5163" spans="1:3" x14ac:dyDescent="0.3">
      <c r="A5163" t="s">
        <v>5219</v>
      </c>
      <c r="B5163">
        <f>IF(ISNUMBER(SEARCH(Form!$C$11,Tabel2[[#This Row],[Coordinate Projection System]])),MAX($B$1:B5162)+1,0)</f>
        <v>5162</v>
      </c>
      <c r="C5163" t="str">
        <f t="shared" si="80"/>
        <v>WGS 84 / UTM zone 13S</v>
      </c>
    </row>
    <row r="5164" spans="1:3" x14ac:dyDescent="0.3">
      <c r="A5164" t="s">
        <v>5220</v>
      </c>
      <c r="B5164">
        <f>IF(ISNUMBER(SEARCH(Form!$C$11,Tabel2[[#This Row],[Coordinate Projection System]])),MAX($B$1:B5163)+1,0)</f>
        <v>5163</v>
      </c>
      <c r="C5164" t="str">
        <f t="shared" si="80"/>
        <v>WGS 84 / UTM zone 14S</v>
      </c>
    </row>
    <row r="5165" spans="1:3" x14ac:dyDescent="0.3">
      <c r="A5165" t="s">
        <v>5221</v>
      </c>
      <c r="B5165">
        <f>IF(ISNUMBER(SEARCH(Form!$C$11,Tabel2[[#This Row],[Coordinate Projection System]])),MAX($B$1:B5164)+1,0)</f>
        <v>5164</v>
      </c>
      <c r="C5165" t="str">
        <f t="shared" si="80"/>
        <v>WGS 84 / UTM zone 15S</v>
      </c>
    </row>
    <row r="5166" spans="1:3" x14ac:dyDescent="0.3">
      <c r="A5166" t="s">
        <v>5222</v>
      </c>
      <c r="B5166">
        <f>IF(ISNUMBER(SEARCH(Form!$C$11,Tabel2[[#This Row],[Coordinate Projection System]])),MAX($B$1:B5165)+1,0)</f>
        <v>5165</v>
      </c>
      <c r="C5166" t="str">
        <f t="shared" si="80"/>
        <v>WGS 84 / UTM zone 16S</v>
      </c>
    </row>
    <row r="5167" spans="1:3" x14ac:dyDescent="0.3">
      <c r="A5167" t="s">
        <v>5223</v>
      </c>
      <c r="B5167">
        <f>IF(ISNUMBER(SEARCH(Form!$C$11,Tabel2[[#This Row],[Coordinate Projection System]])),MAX($B$1:B5166)+1,0)</f>
        <v>5166</v>
      </c>
      <c r="C5167" t="str">
        <f t="shared" si="80"/>
        <v>WGS 84 / UTM zone 17S</v>
      </c>
    </row>
    <row r="5168" spans="1:3" x14ac:dyDescent="0.3">
      <c r="A5168" t="s">
        <v>5224</v>
      </c>
      <c r="B5168">
        <f>IF(ISNUMBER(SEARCH(Form!$C$11,Tabel2[[#This Row],[Coordinate Projection System]])),MAX($B$1:B5167)+1,0)</f>
        <v>5167</v>
      </c>
      <c r="C5168" t="str">
        <f t="shared" si="80"/>
        <v>WGS 84 / UTM zone 18S</v>
      </c>
    </row>
    <row r="5169" spans="1:3" x14ac:dyDescent="0.3">
      <c r="A5169" t="s">
        <v>5225</v>
      </c>
      <c r="B5169">
        <f>IF(ISNUMBER(SEARCH(Form!$C$11,Tabel2[[#This Row],[Coordinate Projection System]])),MAX($B$1:B5168)+1,0)</f>
        <v>5168</v>
      </c>
      <c r="C5169" t="str">
        <f t="shared" si="80"/>
        <v>WGS 84 / UTM zone 19S</v>
      </c>
    </row>
    <row r="5170" spans="1:3" x14ac:dyDescent="0.3">
      <c r="A5170" t="s">
        <v>5226</v>
      </c>
      <c r="B5170">
        <f>IF(ISNUMBER(SEARCH(Form!$C$11,Tabel2[[#This Row],[Coordinate Projection System]])),MAX($B$1:B5169)+1,0)</f>
        <v>5169</v>
      </c>
      <c r="C5170" t="str">
        <f t="shared" si="80"/>
        <v>WGS 84 / UTM zone 20S</v>
      </c>
    </row>
    <row r="5171" spans="1:3" x14ac:dyDescent="0.3">
      <c r="A5171" t="s">
        <v>5227</v>
      </c>
      <c r="B5171">
        <f>IF(ISNUMBER(SEARCH(Form!$C$11,Tabel2[[#This Row],[Coordinate Projection System]])),MAX($B$1:B5170)+1,0)</f>
        <v>5170</v>
      </c>
      <c r="C5171" t="str">
        <f t="shared" si="80"/>
        <v>WGS 84 / UTM zone 21S</v>
      </c>
    </row>
    <row r="5172" spans="1:3" x14ac:dyDescent="0.3">
      <c r="A5172" t="s">
        <v>5228</v>
      </c>
      <c r="B5172">
        <f>IF(ISNUMBER(SEARCH(Form!$C$11,Tabel2[[#This Row],[Coordinate Projection System]])),MAX($B$1:B5171)+1,0)</f>
        <v>5171</v>
      </c>
      <c r="C5172" t="str">
        <f t="shared" si="80"/>
        <v>WGS 84 / UTM zone 22S</v>
      </c>
    </row>
    <row r="5173" spans="1:3" x14ac:dyDescent="0.3">
      <c r="A5173" t="s">
        <v>5229</v>
      </c>
      <c r="B5173">
        <f>IF(ISNUMBER(SEARCH(Form!$C$11,Tabel2[[#This Row],[Coordinate Projection System]])),MAX($B$1:B5172)+1,0)</f>
        <v>5172</v>
      </c>
      <c r="C5173" t="str">
        <f t="shared" si="80"/>
        <v>WGS 84 / UTM zone 23S</v>
      </c>
    </row>
    <row r="5174" spans="1:3" x14ac:dyDescent="0.3">
      <c r="A5174" t="s">
        <v>5230</v>
      </c>
      <c r="B5174">
        <f>IF(ISNUMBER(SEARCH(Form!$C$11,Tabel2[[#This Row],[Coordinate Projection System]])),MAX($B$1:B5173)+1,0)</f>
        <v>5173</v>
      </c>
      <c r="C5174" t="str">
        <f t="shared" si="80"/>
        <v>WGS 84 / UTM zone 24S</v>
      </c>
    </row>
    <row r="5175" spans="1:3" x14ac:dyDescent="0.3">
      <c r="A5175" t="s">
        <v>5231</v>
      </c>
      <c r="B5175">
        <f>IF(ISNUMBER(SEARCH(Form!$C$11,Tabel2[[#This Row],[Coordinate Projection System]])),MAX($B$1:B5174)+1,0)</f>
        <v>5174</v>
      </c>
      <c r="C5175" t="str">
        <f t="shared" si="80"/>
        <v>WGS 84 / UTM zone 25S</v>
      </c>
    </row>
    <row r="5176" spans="1:3" x14ac:dyDescent="0.3">
      <c r="A5176" t="s">
        <v>5232</v>
      </c>
      <c r="B5176">
        <f>IF(ISNUMBER(SEARCH(Form!$C$11,Tabel2[[#This Row],[Coordinate Projection System]])),MAX($B$1:B5175)+1,0)</f>
        <v>5175</v>
      </c>
      <c r="C5176" t="str">
        <f t="shared" si="80"/>
        <v>WGS 84 / UTM zone 26S</v>
      </c>
    </row>
    <row r="5177" spans="1:3" x14ac:dyDescent="0.3">
      <c r="A5177" t="s">
        <v>5233</v>
      </c>
      <c r="B5177">
        <f>IF(ISNUMBER(SEARCH(Form!$C$11,Tabel2[[#This Row],[Coordinate Projection System]])),MAX($B$1:B5176)+1,0)</f>
        <v>5176</v>
      </c>
      <c r="C5177" t="str">
        <f t="shared" si="80"/>
        <v>WGS 84 / UTM zone 27S</v>
      </c>
    </row>
    <row r="5178" spans="1:3" x14ac:dyDescent="0.3">
      <c r="A5178" t="s">
        <v>5234</v>
      </c>
      <c r="B5178">
        <f>IF(ISNUMBER(SEARCH(Form!$C$11,Tabel2[[#This Row],[Coordinate Projection System]])),MAX($B$1:B5177)+1,0)</f>
        <v>5177</v>
      </c>
      <c r="C5178" t="str">
        <f t="shared" si="80"/>
        <v>WGS 84 / UTM zone 28S</v>
      </c>
    </row>
    <row r="5179" spans="1:3" x14ac:dyDescent="0.3">
      <c r="A5179" t="s">
        <v>5235</v>
      </c>
      <c r="B5179">
        <f>IF(ISNUMBER(SEARCH(Form!$C$11,Tabel2[[#This Row],[Coordinate Projection System]])),MAX($B$1:B5178)+1,0)</f>
        <v>5178</v>
      </c>
      <c r="C5179" t="str">
        <f t="shared" si="80"/>
        <v>WGS 84 / UTM zone 29S</v>
      </c>
    </row>
    <row r="5180" spans="1:3" x14ac:dyDescent="0.3">
      <c r="A5180" t="s">
        <v>5236</v>
      </c>
      <c r="B5180">
        <f>IF(ISNUMBER(SEARCH(Form!$C$11,Tabel2[[#This Row],[Coordinate Projection System]])),MAX($B$1:B5179)+1,0)</f>
        <v>5179</v>
      </c>
      <c r="C5180" t="str">
        <f t="shared" si="80"/>
        <v>WGS 84 / UTM zone 30S</v>
      </c>
    </row>
    <row r="5181" spans="1:3" x14ac:dyDescent="0.3">
      <c r="A5181" t="s">
        <v>5237</v>
      </c>
      <c r="B5181">
        <f>IF(ISNUMBER(SEARCH(Form!$C$11,Tabel2[[#This Row],[Coordinate Projection System]])),MAX($B$1:B5180)+1,0)</f>
        <v>5180</v>
      </c>
      <c r="C5181" t="str">
        <f t="shared" si="80"/>
        <v>WGS 84 / UTM zone 31S</v>
      </c>
    </row>
    <row r="5182" spans="1:3" x14ac:dyDescent="0.3">
      <c r="A5182" t="s">
        <v>5238</v>
      </c>
      <c r="B5182">
        <f>IF(ISNUMBER(SEARCH(Form!$C$11,Tabel2[[#This Row],[Coordinate Projection System]])),MAX($B$1:B5181)+1,0)</f>
        <v>5181</v>
      </c>
      <c r="C5182" t="str">
        <f t="shared" si="80"/>
        <v>WGS 84 / UTM zone 32S</v>
      </c>
    </row>
    <row r="5183" spans="1:3" x14ac:dyDescent="0.3">
      <c r="A5183" t="s">
        <v>5239</v>
      </c>
      <c r="B5183">
        <f>IF(ISNUMBER(SEARCH(Form!$C$11,Tabel2[[#This Row],[Coordinate Projection System]])),MAX($B$1:B5182)+1,0)</f>
        <v>5182</v>
      </c>
      <c r="C5183" t="str">
        <f t="shared" si="80"/>
        <v>WGS 84 / UTM zone 33S</v>
      </c>
    </row>
    <row r="5184" spans="1:3" x14ac:dyDescent="0.3">
      <c r="A5184" t="s">
        <v>5240</v>
      </c>
      <c r="B5184">
        <f>IF(ISNUMBER(SEARCH(Form!$C$11,Tabel2[[#This Row],[Coordinate Projection System]])),MAX($B$1:B5183)+1,0)</f>
        <v>5183</v>
      </c>
      <c r="C5184" t="str">
        <f t="shared" si="80"/>
        <v>WGS 84 / UTM zone 34S</v>
      </c>
    </row>
    <row r="5185" spans="1:3" x14ac:dyDescent="0.3">
      <c r="A5185" t="s">
        <v>5241</v>
      </c>
      <c r="B5185">
        <f>IF(ISNUMBER(SEARCH(Form!$C$11,Tabel2[[#This Row],[Coordinate Projection System]])),MAX($B$1:B5184)+1,0)</f>
        <v>5184</v>
      </c>
      <c r="C5185" t="str">
        <f t="shared" si="80"/>
        <v>WGS 84 / UTM zone 35S</v>
      </c>
    </row>
    <row r="5186" spans="1:3" x14ac:dyDescent="0.3">
      <c r="A5186" t="s">
        <v>5242</v>
      </c>
      <c r="B5186">
        <f>IF(ISNUMBER(SEARCH(Form!$C$11,Tabel2[[#This Row],[Coordinate Projection System]])),MAX($B$1:B5185)+1,0)</f>
        <v>5185</v>
      </c>
      <c r="C5186" t="str">
        <f t="shared" si="80"/>
        <v>WGS 84 / UTM zone 36S</v>
      </c>
    </row>
    <row r="5187" spans="1:3" x14ac:dyDescent="0.3">
      <c r="A5187" t="s">
        <v>5243</v>
      </c>
      <c r="B5187">
        <f>IF(ISNUMBER(SEARCH(Form!$C$11,Tabel2[[#This Row],[Coordinate Projection System]])),MAX($B$1:B5186)+1,0)</f>
        <v>5186</v>
      </c>
      <c r="C5187" t="str">
        <f t="shared" ref="C5187:C5250" si="81">_xlfn.IFNA(INDEX(A5187:A10698,MATCH(ROW(C5186),B5187:B10698,0)),"")</f>
        <v>WGS 84 / UTM zone 37S</v>
      </c>
    </row>
    <row r="5188" spans="1:3" x14ac:dyDescent="0.3">
      <c r="A5188" t="s">
        <v>5244</v>
      </c>
      <c r="B5188">
        <f>IF(ISNUMBER(SEARCH(Form!$C$11,Tabel2[[#This Row],[Coordinate Projection System]])),MAX($B$1:B5187)+1,0)</f>
        <v>5187</v>
      </c>
      <c r="C5188" t="str">
        <f t="shared" si="81"/>
        <v>WGS 84 / UTM zone 38S</v>
      </c>
    </row>
    <row r="5189" spans="1:3" x14ac:dyDescent="0.3">
      <c r="A5189" t="s">
        <v>5245</v>
      </c>
      <c r="B5189">
        <f>IF(ISNUMBER(SEARCH(Form!$C$11,Tabel2[[#This Row],[Coordinate Projection System]])),MAX($B$1:B5188)+1,0)</f>
        <v>5188</v>
      </c>
      <c r="C5189" t="str">
        <f t="shared" si="81"/>
        <v>WGS 84 / UTM zone 39S</v>
      </c>
    </row>
    <row r="5190" spans="1:3" x14ac:dyDescent="0.3">
      <c r="A5190" t="s">
        <v>5246</v>
      </c>
      <c r="B5190">
        <f>IF(ISNUMBER(SEARCH(Form!$C$11,Tabel2[[#This Row],[Coordinate Projection System]])),MAX($B$1:B5189)+1,0)</f>
        <v>5189</v>
      </c>
      <c r="C5190" t="str">
        <f t="shared" si="81"/>
        <v>WGS 84 / UTM zone 40S</v>
      </c>
    </row>
    <row r="5191" spans="1:3" x14ac:dyDescent="0.3">
      <c r="A5191" t="s">
        <v>5247</v>
      </c>
      <c r="B5191">
        <f>IF(ISNUMBER(SEARCH(Form!$C$11,Tabel2[[#This Row],[Coordinate Projection System]])),MAX($B$1:B5190)+1,0)</f>
        <v>5190</v>
      </c>
      <c r="C5191" t="str">
        <f t="shared" si="81"/>
        <v>WGS 84 / UTM zone 41S</v>
      </c>
    </row>
    <row r="5192" spans="1:3" x14ac:dyDescent="0.3">
      <c r="A5192" t="s">
        <v>5248</v>
      </c>
      <c r="B5192">
        <f>IF(ISNUMBER(SEARCH(Form!$C$11,Tabel2[[#This Row],[Coordinate Projection System]])),MAX($B$1:B5191)+1,0)</f>
        <v>5191</v>
      </c>
      <c r="C5192" t="str">
        <f t="shared" si="81"/>
        <v>WGS 84 / UTM zone 42S</v>
      </c>
    </row>
    <row r="5193" spans="1:3" x14ac:dyDescent="0.3">
      <c r="A5193" t="s">
        <v>5249</v>
      </c>
      <c r="B5193">
        <f>IF(ISNUMBER(SEARCH(Form!$C$11,Tabel2[[#This Row],[Coordinate Projection System]])),MAX($B$1:B5192)+1,0)</f>
        <v>5192</v>
      </c>
      <c r="C5193" t="str">
        <f t="shared" si="81"/>
        <v>WGS 84 / UTM zone 43S</v>
      </c>
    </row>
    <row r="5194" spans="1:3" x14ac:dyDescent="0.3">
      <c r="A5194" t="s">
        <v>5250</v>
      </c>
      <c r="B5194">
        <f>IF(ISNUMBER(SEARCH(Form!$C$11,Tabel2[[#This Row],[Coordinate Projection System]])),MAX($B$1:B5193)+1,0)</f>
        <v>5193</v>
      </c>
      <c r="C5194" t="str">
        <f t="shared" si="81"/>
        <v>WGS 84 / UTM zone 44S</v>
      </c>
    </row>
    <row r="5195" spans="1:3" x14ac:dyDescent="0.3">
      <c r="A5195" t="s">
        <v>5251</v>
      </c>
      <c r="B5195">
        <f>IF(ISNUMBER(SEARCH(Form!$C$11,Tabel2[[#This Row],[Coordinate Projection System]])),MAX($B$1:B5194)+1,0)</f>
        <v>5194</v>
      </c>
      <c r="C5195" t="str">
        <f t="shared" si="81"/>
        <v>WGS 84 / UTM zone 45S</v>
      </c>
    </row>
    <row r="5196" spans="1:3" x14ac:dyDescent="0.3">
      <c r="A5196" t="s">
        <v>5252</v>
      </c>
      <c r="B5196">
        <f>IF(ISNUMBER(SEARCH(Form!$C$11,Tabel2[[#This Row],[Coordinate Projection System]])),MAX($B$1:B5195)+1,0)</f>
        <v>5195</v>
      </c>
      <c r="C5196" t="str">
        <f t="shared" si="81"/>
        <v>WGS 84 / UTM zone 46S</v>
      </c>
    </row>
    <row r="5197" spans="1:3" x14ac:dyDescent="0.3">
      <c r="A5197" t="s">
        <v>5253</v>
      </c>
      <c r="B5197">
        <f>IF(ISNUMBER(SEARCH(Form!$C$11,Tabel2[[#This Row],[Coordinate Projection System]])),MAX($B$1:B5196)+1,0)</f>
        <v>5196</v>
      </c>
      <c r="C5197" t="str">
        <f t="shared" si="81"/>
        <v>WGS 84 / UTM zone 47S</v>
      </c>
    </row>
    <row r="5198" spans="1:3" x14ac:dyDescent="0.3">
      <c r="A5198" t="s">
        <v>5254</v>
      </c>
      <c r="B5198">
        <f>IF(ISNUMBER(SEARCH(Form!$C$11,Tabel2[[#This Row],[Coordinate Projection System]])),MAX($B$1:B5197)+1,0)</f>
        <v>5197</v>
      </c>
      <c r="C5198" t="str">
        <f t="shared" si="81"/>
        <v>WGS 84 / UTM zone 48S</v>
      </c>
    </row>
    <row r="5199" spans="1:3" x14ac:dyDescent="0.3">
      <c r="A5199" t="s">
        <v>5255</v>
      </c>
      <c r="B5199">
        <f>IF(ISNUMBER(SEARCH(Form!$C$11,Tabel2[[#This Row],[Coordinate Projection System]])),MAX($B$1:B5198)+1,0)</f>
        <v>5198</v>
      </c>
      <c r="C5199" t="str">
        <f t="shared" si="81"/>
        <v>WGS 84 / UTM zone 49S</v>
      </c>
    </row>
    <row r="5200" spans="1:3" x14ac:dyDescent="0.3">
      <c r="A5200" t="s">
        <v>5256</v>
      </c>
      <c r="B5200">
        <f>IF(ISNUMBER(SEARCH(Form!$C$11,Tabel2[[#This Row],[Coordinate Projection System]])),MAX($B$1:B5199)+1,0)</f>
        <v>5199</v>
      </c>
      <c r="C5200" t="str">
        <f t="shared" si="81"/>
        <v>WGS 84 / UTM zone 50S</v>
      </c>
    </row>
    <row r="5201" spans="1:3" x14ac:dyDescent="0.3">
      <c r="A5201" t="s">
        <v>5257</v>
      </c>
      <c r="B5201">
        <f>IF(ISNUMBER(SEARCH(Form!$C$11,Tabel2[[#This Row],[Coordinate Projection System]])),MAX($B$1:B5200)+1,0)</f>
        <v>5200</v>
      </c>
      <c r="C5201" t="str">
        <f t="shared" si="81"/>
        <v>WGS 84 / UTM zone 51S</v>
      </c>
    </row>
    <row r="5202" spans="1:3" x14ac:dyDescent="0.3">
      <c r="A5202" t="s">
        <v>5258</v>
      </c>
      <c r="B5202">
        <f>IF(ISNUMBER(SEARCH(Form!$C$11,Tabel2[[#This Row],[Coordinate Projection System]])),MAX($B$1:B5201)+1,0)</f>
        <v>5201</v>
      </c>
      <c r="C5202" t="str">
        <f t="shared" si="81"/>
        <v>WGS 84 / UTM zone 52S</v>
      </c>
    </row>
    <row r="5203" spans="1:3" x14ac:dyDescent="0.3">
      <c r="A5203" t="s">
        <v>5259</v>
      </c>
      <c r="B5203">
        <f>IF(ISNUMBER(SEARCH(Form!$C$11,Tabel2[[#This Row],[Coordinate Projection System]])),MAX($B$1:B5202)+1,0)</f>
        <v>5202</v>
      </c>
      <c r="C5203" t="str">
        <f t="shared" si="81"/>
        <v>WGS 84 / UTM zone 53S</v>
      </c>
    </row>
    <row r="5204" spans="1:3" x14ac:dyDescent="0.3">
      <c r="A5204" t="s">
        <v>5260</v>
      </c>
      <c r="B5204">
        <f>IF(ISNUMBER(SEARCH(Form!$C$11,Tabel2[[#This Row],[Coordinate Projection System]])),MAX($B$1:B5203)+1,0)</f>
        <v>5203</v>
      </c>
      <c r="C5204" t="str">
        <f t="shared" si="81"/>
        <v>WGS 84 / UTM zone 54S</v>
      </c>
    </row>
    <row r="5205" spans="1:3" x14ac:dyDescent="0.3">
      <c r="A5205" t="s">
        <v>5261</v>
      </c>
      <c r="B5205">
        <f>IF(ISNUMBER(SEARCH(Form!$C$11,Tabel2[[#This Row],[Coordinate Projection System]])),MAX($B$1:B5204)+1,0)</f>
        <v>5204</v>
      </c>
      <c r="C5205" t="str">
        <f t="shared" si="81"/>
        <v>WGS 84 / UTM zone 55S</v>
      </c>
    </row>
    <row r="5206" spans="1:3" x14ac:dyDescent="0.3">
      <c r="A5206" t="s">
        <v>5262</v>
      </c>
      <c r="B5206">
        <f>IF(ISNUMBER(SEARCH(Form!$C$11,Tabel2[[#This Row],[Coordinate Projection System]])),MAX($B$1:B5205)+1,0)</f>
        <v>5205</v>
      </c>
      <c r="C5206" t="str">
        <f t="shared" si="81"/>
        <v>WGS 84 / UTM zone 56S</v>
      </c>
    </row>
    <row r="5207" spans="1:3" x14ac:dyDescent="0.3">
      <c r="A5207" t="s">
        <v>5263</v>
      </c>
      <c r="B5207">
        <f>IF(ISNUMBER(SEARCH(Form!$C$11,Tabel2[[#This Row],[Coordinate Projection System]])),MAX($B$1:B5206)+1,0)</f>
        <v>5206</v>
      </c>
      <c r="C5207" t="str">
        <f t="shared" si="81"/>
        <v>WGS 84 / UTM zone 57S</v>
      </c>
    </row>
    <row r="5208" spans="1:3" x14ac:dyDescent="0.3">
      <c r="A5208" t="s">
        <v>5264</v>
      </c>
      <c r="B5208">
        <f>IF(ISNUMBER(SEARCH(Form!$C$11,Tabel2[[#This Row],[Coordinate Projection System]])),MAX($B$1:B5207)+1,0)</f>
        <v>5207</v>
      </c>
      <c r="C5208" t="str">
        <f t="shared" si="81"/>
        <v>WGS 84 / UTM zone 58S</v>
      </c>
    </row>
    <row r="5209" spans="1:3" x14ac:dyDescent="0.3">
      <c r="A5209" t="s">
        <v>5265</v>
      </c>
      <c r="B5209">
        <f>IF(ISNUMBER(SEARCH(Form!$C$11,Tabel2[[#This Row],[Coordinate Projection System]])),MAX($B$1:B5208)+1,0)</f>
        <v>5208</v>
      </c>
      <c r="C5209" t="str">
        <f t="shared" si="81"/>
        <v>WGS 84 / UTM zone 59S</v>
      </c>
    </row>
    <row r="5210" spans="1:3" x14ac:dyDescent="0.3">
      <c r="A5210" t="s">
        <v>5266</v>
      </c>
      <c r="B5210">
        <f>IF(ISNUMBER(SEARCH(Form!$C$11,Tabel2[[#This Row],[Coordinate Projection System]])),MAX($B$1:B5209)+1,0)</f>
        <v>5209</v>
      </c>
      <c r="C5210" t="str">
        <f t="shared" si="81"/>
        <v>WGS 84 / UTM zone 60S</v>
      </c>
    </row>
    <row r="5211" spans="1:3" x14ac:dyDescent="0.3">
      <c r="A5211" t="s">
        <v>5267</v>
      </c>
      <c r="B5211">
        <f>IF(ISNUMBER(SEARCH(Form!$C$11,Tabel2[[#This Row],[Coordinate Projection System]])),MAX($B$1:B5210)+1,0)</f>
        <v>5210</v>
      </c>
      <c r="C5211" t="str">
        <f t="shared" si="81"/>
        <v>WGS 84 / UPS South (N,E)</v>
      </c>
    </row>
    <row r="5212" spans="1:3" x14ac:dyDescent="0.3">
      <c r="A5212" t="s">
        <v>5268</v>
      </c>
      <c r="B5212">
        <f>IF(ISNUMBER(SEARCH(Form!$C$11,Tabel2[[#This Row],[Coordinate Projection System]])),MAX($B$1:B5211)+1,0)</f>
        <v>5211</v>
      </c>
      <c r="C5212" t="str">
        <f t="shared" si="81"/>
        <v>WGS 84 / TM 36 SE</v>
      </c>
    </row>
    <row r="5213" spans="1:3" x14ac:dyDescent="0.3">
      <c r="A5213" t="s">
        <v>73</v>
      </c>
      <c r="B5213">
        <f>IF(ISNUMBER(SEARCH(Form!$C$11,Tabel2[[#This Row],[Coordinate Projection System]])),MAX($B$1:B5212)+1,0)</f>
        <v>5212</v>
      </c>
      <c r="C5213" t="str">
        <f t="shared" si="81"/>
        <v>TWD97</v>
      </c>
    </row>
    <row r="5214" spans="1:3" x14ac:dyDescent="0.3">
      <c r="A5214" t="s">
        <v>74</v>
      </c>
      <c r="B5214">
        <f>IF(ISNUMBER(SEARCH(Form!$C$11,Tabel2[[#This Row],[Coordinate Projection System]])),MAX($B$1:B5213)+1,0)</f>
        <v>5213</v>
      </c>
      <c r="C5214" t="str">
        <f t="shared" si="81"/>
        <v>IGRS</v>
      </c>
    </row>
    <row r="5215" spans="1:3" x14ac:dyDescent="0.3">
      <c r="A5215" t="s">
        <v>97</v>
      </c>
      <c r="B5215">
        <f>IF(ISNUMBER(SEARCH(Form!$C$11,Tabel2[[#This Row],[Coordinate Projection System]])),MAX($B$1:B5214)+1,0)</f>
        <v>5214</v>
      </c>
      <c r="C5215" t="str">
        <f t="shared" si="81"/>
        <v>MOLDREF99</v>
      </c>
    </row>
    <row r="5216" spans="1:3" x14ac:dyDescent="0.3">
      <c r="A5216" t="s">
        <v>115</v>
      </c>
      <c r="B5216">
        <f>IF(ISNUMBER(SEARCH(Form!$C$11,Tabel2[[#This Row],[Coordinate Projection System]])),MAX($B$1:B5215)+1,0)</f>
        <v>5215</v>
      </c>
      <c r="C5216" t="str">
        <f t="shared" si="81"/>
        <v>RGRDC 2005</v>
      </c>
    </row>
    <row r="5217" spans="1:3" x14ac:dyDescent="0.3">
      <c r="A5217" t="s">
        <v>121</v>
      </c>
      <c r="B5217">
        <f>IF(ISNUMBER(SEARCH(Form!$C$11,Tabel2[[#This Row],[Coordinate Projection System]])),MAX($B$1:B5216)+1,0)</f>
        <v>5216</v>
      </c>
      <c r="C5217" t="str">
        <f t="shared" si="81"/>
        <v>SREF98</v>
      </c>
    </row>
    <row r="5218" spans="1:3" x14ac:dyDescent="0.3">
      <c r="A5218" t="s">
        <v>122</v>
      </c>
      <c r="B5218">
        <f>IF(ISNUMBER(SEARCH(Form!$C$11,Tabel2[[#This Row],[Coordinate Projection System]])),MAX($B$1:B5217)+1,0)</f>
        <v>5217</v>
      </c>
      <c r="C5218" t="str">
        <f t="shared" si="81"/>
        <v>REGCAN95</v>
      </c>
    </row>
    <row r="5219" spans="1:3" x14ac:dyDescent="0.3">
      <c r="A5219" t="s">
        <v>5269</v>
      </c>
      <c r="B5219">
        <f>IF(ISNUMBER(SEARCH(Form!$C$11,Tabel2[[#This Row],[Coordinate Projection System]])),MAX($B$1:B5218)+1,0)</f>
        <v>5218</v>
      </c>
      <c r="C5219" t="str">
        <f t="shared" si="81"/>
        <v>WGS 84 (geocentric)</v>
      </c>
    </row>
    <row r="5220" spans="1:3" x14ac:dyDescent="0.3">
      <c r="A5220" t="s">
        <v>5270</v>
      </c>
      <c r="B5220">
        <f>IF(ISNUMBER(SEARCH(Form!$C$11,Tabel2[[#This Row],[Coordinate Projection System]])),MAX($B$1:B5219)+1,0)</f>
        <v>5219</v>
      </c>
      <c r="C5220" t="str">
        <f t="shared" si="81"/>
        <v>ITRF88 (geocentric)</v>
      </c>
    </row>
    <row r="5221" spans="1:3" x14ac:dyDescent="0.3">
      <c r="A5221" t="s">
        <v>5271</v>
      </c>
      <c r="B5221">
        <f>IF(ISNUMBER(SEARCH(Form!$C$11,Tabel2[[#This Row],[Coordinate Projection System]])),MAX($B$1:B5220)+1,0)</f>
        <v>5220</v>
      </c>
      <c r="C5221" t="str">
        <f t="shared" si="81"/>
        <v>ITRF89 (geocentric)</v>
      </c>
    </row>
    <row r="5222" spans="1:3" x14ac:dyDescent="0.3">
      <c r="A5222" t="s">
        <v>5272</v>
      </c>
      <c r="B5222">
        <f>IF(ISNUMBER(SEARCH(Form!$C$11,Tabel2[[#This Row],[Coordinate Projection System]])),MAX($B$1:B5221)+1,0)</f>
        <v>5221</v>
      </c>
      <c r="C5222" t="str">
        <f t="shared" si="81"/>
        <v>ITRF90 (geocentric)</v>
      </c>
    </row>
    <row r="5223" spans="1:3" x14ac:dyDescent="0.3">
      <c r="A5223" t="s">
        <v>5273</v>
      </c>
      <c r="B5223">
        <f>IF(ISNUMBER(SEARCH(Form!$C$11,Tabel2[[#This Row],[Coordinate Projection System]])),MAX($B$1:B5222)+1,0)</f>
        <v>5222</v>
      </c>
      <c r="C5223" t="str">
        <f t="shared" si="81"/>
        <v>ITRF91 (geocentric)</v>
      </c>
    </row>
    <row r="5224" spans="1:3" x14ac:dyDescent="0.3">
      <c r="A5224" t="s">
        <v>5274</v>
      </c>
      <c r="B5224">
        <f>IF(ISNUMBER(SEARCH(Form!$C$11,Tabel2[[#This Row],[Coordinate Projection System]])),MAX($B$1:B5223)+1,0)</f>
        <v>5223</v>
      </c>
      <c r="C5224" t="str">
        <f t="shared" si="81"/>
        <v>ITRF92 (geocentric)</v>
      </c>
    </row>
    <row r="5225" spans="1:3" x14ac:dyDescent="0.3">
      <c r="A5225" t="s">
        <v>5275</v>
      </c>
      <c r="B5225">
        <f>IF(ISNUMBER(SEARCH(Form!$C$11,Tabel2[[#This Row],[Coordinate Projection System]])),MAX($B$1:B5224)+1,0)</f>
        <v>5224</v>
      </c>
      <c r="C5225" t="str">
        <f t="shared" si="81"/>
        <v>ITRF93 (geocentric)</v>
      </c>
    </row>
    <row r="5226" spans="1:3" x14ac:dyDescent="0.3">
      <c r="A5226" t="s">
        <v>5276</v>
      </c>
      <c r="B5226">
        <f>IF(ISNUMBER(SEARCH(Form!$C$11,Tabel2[[#This Row],[Coordinate Projection System]])),MAX($B$1:B5225)+1,0)</f>
        <v>5225</v>
      </c>
      <c r="C5226" t="str">
        <f t="shared" si="81"/>
        <v>ITRF94 (geocentric)</v>
      </c>
    </row>
    <row r="5227" spans="1:3" x14ac:dyDescent="0.3">
      <c r="A5227" t="s">
        <v>5277</v>
      </c>
      <c r="B5227">
        <f>IF(ISNUMBER(SEARCH(Form!$C$11,Tabel2[[#This Row],[Coordinate Projection System]])),MAX($B$1:B5226)+1,0)</f>
        <v>5226</v>
      </c>
      <c r="C5227" t="str">
        <f t="shared" si="81"/>
        <v>ITRF96 (geocentric)</v>
      </c>
    </row>
    <row r="5228" spans="1:3" x14ac:dyDescent="0.3">
      <c r="A5228" t="s">
        <v>5278</v>
      </c>
      <c r="B5228">
        <f>IF(ISNUMBER(SEARCH(Form!$C$11,Tabel2[[#This Row],[Coordinate Projection System]])),MAX($B$1:B5227)+1,0)</f>
        <v>5227</v>
      </c>
      <c r="C5228" t="str">
        <f t="shared" si="81"/>
        <v>ITRF97 (geocentric)</v>
      </c>
    </row>
    <row r="5229" spans="1:3" x14ac:dyDescent="0.3">
      <c r="A5229" t="s">
        <v>5279</v>
      </c>
      <c r="B5229">
        <f>IF(ISNUMBER(SEARCH(Form!$C$11,Tabel2[[#This Row],[Coordinate Projection System]])),MAX($B$1:B5228)+1,0)</f>
        <v>5228</v>
      </c>
      <c r="C5229" t="str">
        <f t="shared" si="81"/>
        <v>Australian Antarctic (geocentric)</v>
      </c>
    </row>
    <row r="5230" spans="1:3" x14ac:dyDescent="0.3">
      <c r="A5230" t="s">
        <v>5280</v>
      </c>
      <c r="B5230">
        <f>IF(ISNUMBER(SEARCH(Form!$C$11,Tabel2[[#This Row],[Coordinate Projection System]])),MAX($B$1:B5229)+1,0)</f>
        <v>5229</v>
      </c>
      <c r="C5230" t="str">
        <f t="shared" si="81"/>
        <v>EST97 (geocentric)</v>
      </c>
    </row>
    <row r="5231" spans="1:3" x14ac:dyDescent="0.3">
      <c r="A5231" t="s">
        <v>5281</v>
      </c>
      <c r="B5231">
        <f>IF(ISNUMBER(SEARCH(Form!$C$11,Tabel2[[#This Row],[Coordinate Projection System]])),MAX($B$1:B5230)+1,0)</f>
        <v>5230</v>
      </c>
      <c r="C5231" t="str">
        <f t="shared" si="81"/>
        <v>CHTRF95 (geocentric)</v>
      </c>
    </row>
    <row r="5232" spans="1:3" x14ac:dyDescent="0.3">
      <c r="A5232" t="s">
        <v>5282</v>
      </c>
      <c r="B5232">
        <f>IF(ISNUMBER(SEARCH(Form!$C$11,Tabel2[[#This Row],[Coordinate Projection System]])),MAX($B$1:B5231)+1,0)</f>
        <v>5231</v>
      </c>
      <c r="C5232" t="str">
        <f t="shared" si="81"/>
        <v>ETRS89 (geocentric)</v>
      </c>
    </row>
    <row r="5233" spans="1:3" x14ac:dyDescent="0.3">
      <c r="A5233" t="s">
        <v>5283</v>
      </c>
      <c r="B5233">
        <f>IF(ISNUMBER(SEARCH(Form!$C$11,Tabel2[[#This Row],[Coordinate Projection System]])),MAX($B$1:B5232)+1,0)</f>
        <v>5232</v>
      </c>
      <c r="C5233" t="str">
        <f t="shared" si="81"/>
        <v>GDA94 (geocentric)</v>
      </c>
    </row>
    <row r="5234" spans="1:3" x14ac:dyDescent="0.3">
      <c r="A5234" t="s">
        <v>5284</v>
      </c>
      <c r="B5234">
        <f>IF(ISNUMBER(SEARCH(Form!$C$11,Tabel2[[#This Row],[Coordinate Projection System]])),MAX($B$1:B5233)+1,0)</f>
        <v>5233</v>
      </c>
      <c r="C5234" t="str">
        <f t="shared" si="81"/>
        <v>Hartebeesthoek94 (geocentric)</v>
      </c>
    </row>
    <row r="5235" spans="1:3" x14ac:dyDescent="0.3">
      <c r="A5235" t="s">
        <v>5285</v>
      </c>
      <c r="B5235">
        <f>IF(ISNUMBER(SEARCH(Form!$C$11,Tabel2[[#This Row],[Coordinate Projection System]])),MAX($B$1:B5234)+1,0)</f>
        <v>5234</v>
      </c>
      <c r="C5235" t="str">
        <f t="shared" si="81"/>
        <v>IRENET95 (geocentric)</v>
      </c>
    </row>
    <row r="5236" spans="1:3" x14ac:dyDescent="0.3">
      <c r="A5236" t="s">
        <v>5286</v>
      </c>
      <c r="B5236">
        <f>IF(ISNUMBER(SEARCH(Form!$C$11,Tabel2[[#This Row],[Coordinate Projection System]])),MAX($B$1:B5235)+1,0)</f>
        <v>5235</v>
      </c>
      <c r="C5236" t="str">
        <f t="shared" si="81"/>
        <v>JGD2000 (geocentric)</v>
      </c>
    </row>
    <row r="5237" spans="1:3" x14ac:dyDescent="0.3">
      <c r="A5237" t="s">
        <v>5287</v>
      </c>
      <c r="B5237">
        <f>IF(ISNUMBER(SEARCH(Form!$C$11,Tabel2[[#This Row],[Coordinate Projection System]])),MAX($B$1:B5236)+1,0)</f>
        <v>5236</v>
      </c>
      <c r="C5237" t="str">
        <f t="shared" si="81"/>
        <v>LKS94 (ETRS89) (geocentric)</v>
      </c>
    </row>
    <row r="5238" spans="1:3" x14ac:dyDescent="0.3">
      <c r="A5238" t="s">
        <v>5288</v>
      </c>
      <c r="B5238">
        <f>IF(ISNUMBER(SEARCH(Form!$C$11,Tabel2[[#This Row],[Coordinate Projection System]])),MAX($B$1:B5237)+1,0)</f>
        <v>5237</v>
      </c>
      <c r="C5238" t="str">
        <f t="shared" si="81"/>
        <v>Moznet (geocentric)</v>
      </c>
    </row>
    <row r="5239" spans="1:3" x14ac:dyDescent="0.3">
      <c r="A5239" t="s">
        <v>5289</v>
      </c>
      <c r="B5239">
        <f>IF(ISNUMBER(SEARCH(Form!$C$11,Tabel2[[#This Row],[Coordinate Projection System]])),MAX($B$1:B5238)+1,0)</f>
        <v>5238</v>
      </c>
      <c r="C5239" t="str">
        <f t="shared" si="81"/>
        <v>NAD83(CSRS) (geocentric)</v>
      </c>
    </row>
    <row r="5240" spans="1:3" x14ac:dyDescent="0.3">
      <c r="A5240" t="s">
        <v>5290</v>
      </c>
      <c r="B5240">
        <f>IF(ISNUMBER(SEARCH(Form!$C$11,Tabel2[[#This Row],[Coordinate Projection System]])),MAX($B$1:B5239)+1,0)</f>
        <v>5239</v>
      </c>
      <c r="C5240" t="str">
        <f t="shared" si="81"/>
        <v>NAD83(HARN) (geocentric)</v>
      </c>
    </row>
    <row r="5241" spans="1:3" x14ac:dyDescent="0.3">
      <c r="A5241" t="s">
        <v>5291</v>
      </c>
      <c r="B5241">
        <f>IF(ISNUMBER(SEARCH(Form!$C$11,Tabel2[[#This Row],[Coordinate Projection System]])),MAX($B$1:B5240)+1,0)</f>
        <v>5240</v>
      </c>
      <c r="C5241" t="str">
        <f t="shared" si="81"/>
        <v>NZGD2000 (geocentric)</v>
      </c>
    </row>
    <row r="5242" spans="1:3" x14ac:dyDescent="0.3">
      <c r="A5242" t="s">
        <v>5292</v>
      </c>
      <c r="B5242">
        <f>IF(ISNUMBER(SEARCH(Form!$C$11,Tabel2[[#This Row],[Coordinate Projection System]])),MAX($B$1:B5241)+1,0)</f>
        <v>5241</v>
      </c>
      <c r="C5242" t="str">
        <f t="shared" si="81"/>
        <v>POSGAR 98 (geocentric)</v>
      </c>
    </row>
    <row r="5243" spans="1:3" x14ac:dyDescent="0.3">
      <c r="A5243" t="s">
        <v>5293</v>
      </c>
      <c r="B5243">
        <f>IF(ISNUMBER(SEARCH(Form!$C$11,Tabel2[[#This Row],[Coordinate Projection System]])),MAX($B$1:B5242)+1,0)</f>
        <v>5242</v>
      </c>
      <c r="C5243" t="str">
        <f t="shared" si="81"/>
        <v>REGVEN (geocentric)</v>
      </c>
    </row>
    <row r="5244" spans="1:3" x14ac:dyDescent="0.3">
      <c r="A5244" t="s">
        <v>5294</v>
      </c>
      <c r="B5244">
        <f>IF(ISNUMBER(SEARCH(Form!$C$11,Tabel2[[#This Row],[Coordinate Projection System]])),MAX($B$1:B5243)+1,0)</f>
        <v>5243</v>
      </c>
      <c r="C5244" t="str">
        <f t="shared" si="81"/>
        <v>RGF93 (geocentric)</v>
      </c>
    </row>
    <row r="5245" spans="1:3" x14ac:dyDescent="0.3">
      <c r="A5245" t="s">
        <v>5295</v>
      </c>
      <c r="B5245">
        <f>IF(ISNUMBER(SEARCH(Form!$C$11,Tabel2[[#This Row],[Coordinate Projection System]])),MAX($B$1:B5244)+1,0)</f>
        <v>5244</v>
      </c>
      <c r="C5245" t="str">
        <f t="shared" si="81"/>
        <v>RGFG95 (geocentric)</v>
      </c>
    </row>
    <row r="5246" spans="1:3" x14ac:dyDescent="0.3">
      <c r="A5246" t="s">
        <v>5296</v>
      </c>
      <c r="B5246">
        <f>IF(ISNUMBER(SEARCH(Form!$C$11,Tabel2[[#This Row],[Coordinate Projection System]])),MAX($B$1:B5245)+1,0)</f>
        <v>5245</v>
      </c>
      <c r="C5246" t="str">
        <f t="shared" si="81"/>
        <v>RGR92 (geocentric)</v>
      </c>
    </row>
    <row r="5247" spans="1:3" x14ac:dyDescent="0.3">
      <c r="A5247" t="s">
        <v>5297</v>
      </c>
      <c r="B5247">
        <f>IF(ISNUMBER(SEARCH(Form!$C$11,Tabel2[[#This Row],[Coordinate Projection System]])),MAX($B$1:B5246)+1,0)</f>
        <v>5246</v>
      </c>
      <c r="C5247" t="str">
        <f t="shared" si="81"/>
        <v>SIRGAS (geocentric)</v>
      </c>
    </row>
    <row r="5248" spans="1:3" x14ac:dyDescent="0.3">
      <c r="A5248" t="s">
        <v>5298</v>
      </c>
      <c r="B5248">
        <f>IF(ISNUMBER(SEARCH(Form!$C$11,Tabel2[[#This Row],[Coordinate Projection System]])),MAX($B$1:B5247)+1,0)</f>
        <v>5247</v>
      </c>
      <c r="C5248" t="str">
        <f t="shared" si="81"/>
        <v>SWEREF99 (geocentric)</v>
      </c>
    </row>
    <row r="5249" spans="1:3" x14ac:dyDescent="0.3">
      <c r="A5249" t="s">
        <v>5299</v>
      </c>
      <c r="B5249">
        <f>IF(ISNUMBER(SEARCH(Form!$C$11,Tabel2[[#This Row],[Coordinate Projection System]])),MAX($B$1:B5248)+1,0)</f>
        <v>5248</v>
      </c>
      <c r="C5249" t="str">
        <f t="shared" si="81"/>
        <v>Yemen NGN96 (geocentric)</v>
      </c>
    </row>
    <row r="5250" spans="1:3" x14ac:dyDescent="0.3">
      <c r="A5250" t="s">
        <v>5300</v>
      </c>
      <c r="B5250">
        <f>IF(ISNUMBER(SEARCH(Form!$C$11,Tabel2[[#This Row],[Coordinate Projection System]])),MAX($B$1:B5249)+1,0)</f>
        <v>5249</v>
      </c>
      <c r="C5250" t="str">
        <f t="shared" si="81"/>
        <v>RGNC 1991 (geocentric)</v>
      </c>
    </row>
    <row r="5251" spans="1:3" x14ac:dyDescent="0.3">
      <c r="A5251" t="s">
        <v>5301</v>
      </c>
      <c r="B5251">
        <f>IF(ISNUMBER(SEARCH(Form!$C$11,Tabel2[[#This Row],[Coordinate Projection System]])),MAX($B$1:B5250)+1,0)</f>
        <v>5250</v>
      </c>
      <c r="C5251" t="str">
        <f t="shared" ref="C5251:C5314" si="82">_xlfn.IFNA(INDEX(A5251:A10762,MATCH(ROW(C5250),B5251:B10762,0)),"")</f>
        <v>RRAF 1991 (geocentric)</v>
      </c>
    </row>
    <row r="5252" spans="1:3" x14ac:dyDescent="0.3">
      <c r="A5252" t="s">
        <v>5302</v>
      </c>
      <c r="B5252">
        <f>IF(ISNUMBER(SEARCH(Form!$C$11,Tabel2[[#This Row],[Coordinate Projection System]])),MAX($B$1:B5251)+1,0)</f>
        <v>5251</v>
      </c>
      <c r="C5252" t="str">
        <f t="shared" si="82"/>
        <v>ITRF2000 (geocentric)</v>
      </c>
    </row>
    <row r="5253" spans="1:3" x14ac:dyDescent="0.3">
      <c r="A5253" t="s">
        <v>5303</v>
      </c>
      <c r="B5253">
        <f>IF(ISNUMBER(SEARCH(Form!$C$11,Tabel2[[#This Row],[Coordinate Projection System]])),MAX($B$1:B5252)+1,0)</f>
        <v>5252</v>
      </c>
      <c r="C5253" t="str">
        <f t="shared" si="82"/>
        <v>ISN93 (geocentric)</v>
      </c>
    </row>
    <row r="5254" spans="1:3" x14ac:dyDescent="0.3">
      <c r="A5254" t="s">
        <v>5304</v>
      </c>
      <c r="B5254">
        <f>IF(ISNUMBER(SEARCH(Form!$C$11,Tabel2[[#This Row],[Coordinate Projection System]])),MAX($B$1:B5253)+1,0)</f>
        <v>5253</v>
      </c>
      <c r="C5254" t="str">
        <f t="shared" si="82"/>
        <v>LKS92 (geocentric)</v>
      </c>
    </row>
    <row r="5255" spans="1:3" x14ac:dyDescent="0.3">
      <c r="A5255" t="s">
        <v>318</v>
      </c>
      <c r="B5255">
        <f>IF(ISNUMBER(SEARCH(Form!$C$11,Tabel2[[#This Row],[Coordinate Projection System]])),MAX($B$1:B5254)+1,0)</f>
        <v>5254</v>
      </c>
      <c r="C5255" t="str">
        <f t="shared" si="82"/>
        <v>RGSPM06</v>
      </c>
    </row>
    <row r="5256" spans="1:3" x14ac:dyDescent="0.3">
      <c r="A5256" t="s">
        <v>319</v>
      </c>
      <c r="B5256">
        <f>IF(ISNUMBER(SEARCH(Form!$C$11,Tabel2[[#This Row],[Coordinate Projection System]])),MAX($B$1:B5255)+1,0)</f>
        <v>5255</v>
      </c>
      <c r="C5256" t="str">
        <f t="shared" si="82"/>
        <v>RGM04</v>
      </c>
    </row>
    <row r="5257" spans="1:3" x14ac:dyDescent="0.3">
      <c r="A5257" t="s">
        <v>320</v>
      </c>
      <c r="B5257">
        <f>IF(ISNUMBER(SEARCH(Form!$C$11,Tabel2[[#This Row],[Coordinate Projection System]])),MAX($B$1:B5256)+1,0)</f>
        <v>5256</v>
      </c>
      <c r="C5257" t="str">
        <f t="shared" si="82"/>
        <v>Cadastre 1997</v>
      </c>
    </row>
    <row r="5258" spans="1:3" x14ac:dyDescent="0.3">
      <c r="A5258" t="s">
        <v>322</v>
      </c>
      <c r="B5258">
        <f>IF(ISNUMBER(SEARCH(Form!$C$11,Tabel2[[#This Row],[Coordinate Projection System]])),MAX($B$1:B5257)+1,0)</f>
        <v>5257</v>
      </c>
      <c r="C5258" t="str">
        <f t="shared" si="82"/>
        <v>China Geodetic Coordinate System 2000</v>
      </c>
    </row>
    <row r="5259" spans="1:3" x14ac:dyDescent="0.3">
      <c r="A5259" t="s">
        <v>321</v>
      </c>
      <c r="B5259">
        <f>IF(ISNUMBER(SEARCH(Form!$C$11,Tabel2[[#This Row],[Coordinate Projection System]])),MAX($B$1:B5258)+1,0)</f>
        <v>5258</v>
      </c>
      <c r="C5259" t="str">
        <f t="shared" si="82"/>
        <v>Mexico ITRF92</v>
      </c>
    </row>
    <row r="5260" spans="1:3" x14ac:dyDescent="0.3">
      <c r="A5260" t="s">
        <v>324</v>
      </c>
      <c r="B5260">
        <f>IF(ISNUMBER(SEARCH(Form!$C$11,Tabel2[[#This Row],[Coordinate Projection System]])),MAX($B$1:B5259)+1,0)</f>
        <v>5259</v>
      </c>
      <c r="C5260" t="str">
        <f t="shared" si="82"/>
        <v>RRAF 1991</v>
      </c>
    </row>
    <row r="5261" spans="1:3" x14ac:dyDescent="0.3">
      <c r="A5261" t="s">
        <v>476</v>
      </c>
      <c r="B5261">
        <f>IF(ISNUMBER(SEARCH(Form!$C$11,Tabel2[[#This Row],[Coordinate Projection System]])),MAX($B$1:B5260)+1,0)</f>
        <v>5260</v>
      </c>
      <c r="C5261" t="str">
        <f t="shared" si="82"/>
        <v>Slovenia 1996</v>
      </c>
    </row>
    <row r="5262" spans="1:3" x14ac:dyDescent="0.3">
      <c r="A5262" t="s">
        <v>475</v>
      </c>
      <c r="B5262">
        <f>IF(ISNUMBER(SEARCH(Form!$C$11,Tabel2[[#This Row],[Coordinate Projection System]])),MAX($B$1:B5261)+1,0)</f>
        <v>5261</v>
      </c>
      <c r="C5262" t="str">
        <f t="shared" si="82"/>
        <v>RSRGD2000</v>
      </c>
    </row>
    <row r="5263" spans="1:3" x14ac:dyDescent="0.3">
      <c r="A5263" t="s">
        <v>473</v>
      </c>
      <c r="B5263">
        <f>IF(ISNUMBER(SEARCH(Form!$C$11,Tabel2[[#This Row],[Coordinate Projection System]])),MAX($B$1:B5262)+1,0)</f>
        <v>5262</v>
      </c>
      <c r="C5263" t="str">
        <f t="shared" si="82"/>
        <v>BDA2000</v>
      </c>
    </row>
    <row r="5264" spans="1:3" x14ac:dyDescent="0.3">
      <c r="A5264" t="s">
        <v>472</v>
      </c>
      <c r="B5264">
        <f>IF(ISNUMBER(SEARCH(Form!$C$11,Tabel2[[#This Row],[Coordinate Projection System]])),MAX($B$1:B5263)+1,0)</f>
        <v>5263</v>
      </c>
      <c r="C5264" t="str">
        <f t="shared" si="82"/>
        <v>HTRS96</v>
      </c>
    </row>
    <row r="5265" spans="1:3" x14ac:dyDescent="0.3">
      <c r="A5265" t="s">
        <v>471</v>
      </c>
      <c r="B5265">
        <f>IF(ISNUMBER(SEARCH(Form!$C$11,Tabel2[[#This Row],[Coordinate Projection System]])),MAX($B$1:B5264)+1,0)</f>
        <v>5264</v>
      </c>
      <c r="C5265" t="str">
        <f t="shared" si="82"/>
        <v>WGS 66</v>
      </c>
    </row>
    <row r="5266" spans="1:3" x14ac:dyDescent="0.3">
      <c r="A5266" t="s">
        <v>470</v>
      </c>
      <c r="B5266">
        <f>IF(ISNUMBER(SEARCH(Form!$C$11,Tabel2[[#This Row],[Coordinate Projection System]])),MAX($B$1:B5265)+1,0)</f>
        <v>5265</v>
      </c>
      <c r="C5266" t="str">
        <f t="shared" si="82"/>
        <v>NAD83(NSRS2007)</v>
      </c>
    </row>
    <row r="5267" spans="1:3" x14ac:dyDescent="0.3">
      <c r="A5267" t="s">
        <v>469</v>
      </c>
      <c r="B5267">
        <f>IF(ISNUMBER(SEARCH(Form!$C$11,Tabel2[[#This Row],[Coordinate Projection System]])),MAX($B$1:B5266)+1,0)</f>
        <v>5266</v>
      </c>
      <c r="C5267" t="str">
        <f t="shared" si="82"/>
        <v>JAD2001</v>
      </c>
    </row>
    <row r="5268" spans="1:3" x14ac:dyDescent="0.3">
      <c r="A5268" t="s">
        <v>5305</v>
      </c>
      <c r="B5268">
        <f>IF(ISNUMBER(SEARCH(Form!$C$11,Tabel2[[#This Row],[Coordinate Projection System]])),MAX($B$1:B5267)+1,0)</f>
        <v>5267</v>
      </c>
      <c r="C5268" t="str">
        <f t="shared" si="82"/>
        <v>ITRF2005</v>
      </c>
    </row>
    <row r="5269" spans="1:3" x14ac:dyDescent="0.3">
      <c r="A5269" t="s">
        <v>466</v>
      </c>
      <c r="B5269">
        <f>IF(ISNUMBER(SEARCH(Form!$C$11,Tabel2[[#This Row],[Coordinate Projection System]])),MAX($B$1:B5268)+1,0)</f>
        <v>5268</v>
      </c>
      <c r="C5269" t="str">
        <f t="shared" si="82"/>
        <v>DGN95</v>
      </c>
    </row>
    <row r="5270" spans="1:3" x14ac:dyDescent="0.3">
      <c r="A5270" t="s">
        <v>465</v>
      </c>
      <c r="B5270">
        <f>IF(ISNUMBER(SEARCH(Form!$C$11,Tabel2[[#This Row],[Coordinate Projection System]])),MAX($B$1:B5269)+1,0)</f>
        <v>5269</v>
      </c>
      <c r="C5270" t="str">
        <f t="shared" si="82"/>
        <v>LGD2006</v>
      </c>
    </row>
    <row r="5271" spans="1:3" x14ac:dyDescent="0.3">
      <c r="A5271" t="s">
        <v>461</v>
      </c>
      <c r="B5271">
        <f>IF(ISNUMBER(SEARCH(Form!$C$11,Tabel2[[#This Row],[Coordinate Projection System]])),MAX($B$1:B5270)+1,0)</f>
        <v>5270</v>
      </c>
      <c r="C5271" t="str">
        <f t="shared" si="82"/>
        <v>RGNC91-93</v>
      </c>
    </row>
    <row r="5272" spans="1:3" x14ac:dyDescent="0.3">
      <c r="A5272" t="s">
        <v>459</v>
      </c>
      <c r="B5272">
        <f>IF(ISNUMBER(SEARCH(Form!$C$11,Tabel2[[#This Row],[Coordinate Projection System]])),MAX($B$1:B5271)+1,0)</f>
        <v>5271</v>
      </c>
      <c r="C5272" t="str">
        <f t="shared" si="82"/>
        <v>GR96</v>
      </c>
    </row>
    <row r="5273" spans="1:3" x14ac:dyDescent="0.3">
      <c r="A5273" t="s">
        <v>5306</v>
      </c>
      <c r="B5273">
        <f>IF(ISNUMBER(SEARCH(Form!$C$11,Tabel2[[#This Row],[Coordinate Projection System]])),MAX($B$1:B5272)+1,0)</f>
        <v>5272</v>
      </c>
      <c r="C5273" t="str">
        <f t="shared" si="82"/>
        <v>ITRF88</v>
      </c>
    </row>
    <row r="5274" spans="1:3" x14ac:dyDescent="0.3">
      <c r="A5274" t="s">
        <v>5307</v>
      </c>
      <c r="B5274">
        <f>IF(ISNUMBER(SEARCH(Form!$C$11,Tabel2[[#This Row],[Coordinate Projection System]])),MAX($B$1:B5273)+1,0)</f>
        <v>5273</v>
      </c>
      <c r="C5274" t="str">
        <f t="shared" si="82"/>
        <v>ITRF89</v>
      </c>
    </row>
    <row r="5275" spans="1:3" x14ac:dyDescent="0.3">
      <c r="A5275" t="s">
        <v>5308</v>
      </c>
      <c r="B5275">
        <f>IF(ISNUMBER(SEARCH(Form!$C$11,Tabel2[[#This Row],[Coordinate Projection System]])),MAX($B$1:B5274)+1,0)</f>
        <v>5274</v>
      </c>
      <c r="C5275" t="str">
        <f t="shared" si="82"/>
        <v>ITRF90</v>
      </c>
    </row>
    <row r="5276" spans="1:3" x14ac:dyDescent="0.3">
      <c r="A5276" t="s">
        <v>5309</v>
      </c>
      <c r="B5276">
        <f>IF(ISNUMBER(SEARCH(Form!$C$11,Tabel2[[#This Row],[Coordinate Projection System]])),MAX($B$1:B5275)+1,0)</f>
        <v>5275</v>
      </c>
      <c r="C5276" t="str">
        <f t="shared" si="82"/>
        <v>ITRF91</v>
      </c>
    </row>
    <row r="5277" spans="1:3" x14ac:dyDescent="0.3">
      <c r="A5277" t="s">
        <v>5310</v>
      </c>
      <c r="B5277">
        <f>IF(ISNUMBER(SEARCH(Form!$C$11,Tabel2[[#This Row],[Coordinate Projection System]])),MAX($B$1:B5276)+1,0)</f>
        <v>5276</v>
      </c>
      <c r="C5277" t="str">
        <f t="shared" si="82"/>
        <v>ITRF92</v>
      </c>
    </row>
    <row r="5278" spans="1:3" x14ac:dyDescent="0.3">
      <c r="A5278" t="s">
        <v>5311</v>
      </c>
      <c r="B5278">
        <f>IF(ISNUMBER(SEARCH(Form!$C$11,Tabel2[[#This Row],[Coordinate Projection System]])),MAX($B$1:B5277)+1,0)</f>
        <v>5277</v>
      </c>
      <c r="C5278" t="str">
        <f t="shared" si="82"/>
        <v>ITRF93</v>
      </c>
    </row>
    <row r="5279" spans="1:3" x14ac:dyDescent="0.3">
      <c r="A5279" t="s">
        <v>5312</v>
      </c>
      <c r="B5279">
        <f>IF(ISNUMBER(SEARCH(Form!$C$11,Tabel2[[#This Row],[Coordinate Projection System]])),MAX($B$1:B5278)+1,0)</f>
        <v>5278</v>
      </c>
      <c r="C5279" t="str">
        <f t="shared" si="82"/>
        <v>ITRF94</v>
      </c>
    </row>
    <row r="5280" spans="1:3" x14ac:dyDescent="0.3">
      <c r="A5280" t="s">
        <v>5313</v>
      </c>
      <c r="B5280">
        <f>IF(ISNUMBER(SEARCH(Form!$C$11,Tabel2[[#This Row],[Coordinate Projection System]])),MAX($B$1:B5279)+1,0)</f>
        <v>5279</v>
      </c>
      <c r="C5280" t="str">
        <f t="shared" si="82"/>
        <v>ITRF96</v>
      </c>
    </row>
    <row r="5281" spans="1:3" x14ac:dyDescent="0.3">
      <c r="A5281" t="s">
        <v>5314</v>
      </c>
      <c r="B5281">
        <f>IF(ISNUMBER(SEARCH(Form!$C$11,Tabel2[[#This Row],[Coordinate Projection System]])),MAX($B$1:B5280)+1,0)</f>
        <v>5280</v>
      </c>
      <c r="C5281" t="str">
        <f t="shared" si="82"/>
        <v>ITRF97</v>
      </c>
    </row>
    <row r="5282" spans="1:3" x14ac:dyDescent="0.3">
      <c r="A5282" t="s">
        <v>5315</v>
      </c>
      <c r="B5282">
        <f>IF(ISNUMBER(SEARCH(Form!$C$11,Tabel2[[#This Row],[Coordinate Projection System]])),MAX($B$1:B5281)+1,0)</f>
        <v>5281</v>
      </c>
      <c r="C5282" t="str">
        <f t="shared" si="82"/>
        <v>ITRF2000</v>
      </c>
    </row>
    <row r="5283" spans="1:3" x14ac:dyDescent="0.3">
      <c r="A5283" t="s">
        <v>454</v>
      </c>
      <c r="B5283">
        <f>IF(ISNUMBER(SEARCH(Form!$C$11,Tabel2[[#This Row],[Coordinate Projection System]])),MAX($B$1:B5282)+1,0)</f>
        <v>5282</v>
      </c>
      <c r="C5283" t="str">
        <f t="shared" si="82"/>
        <v>GDM2000</v>
      </c>
    </row>
    <row r="5284" spans="1:3" x14ac:dyDescent="0.3">
      <c r="A5284" t="s">
        <v>452</v>
      </c>
      <c r="B5284">
        <f>IF(ISNUMBER(SEARCH(Form!$C$11,Tabel2[[#This Row],[Coordinate Projection System]])),MAX($B$1:B5283)+1,0)</f>
        <v>5283</v>
      </c>
      <c r="C5284" t="str">
        <f t="shared" si="82"/>
        <v>PZ-90</v>
      </c>
    </row>
    <row r="5285" spans="1:3" x14ac:dyDescent="0.3">
      <c r="A5285" t="s">
        <v>394</v>
      </c>
      <c r="B5285">
        <f>IF(ISNUMBER(SEARCH(Form!$C$11,Tabel2[[#This Row],[Coordinate Projection System]])),MAX($B$1:B5284)+1,0)</f>
        <v>5284</v>
      </c>
      <c r="C5285" t="str">
        <f t="shared" si="82"/>
        <v>Mauritania 1999</v>
      </c>
    </row>
    <row r="5286" spans="1:3" x14ac:dyDescent="0.3">
      <c r="A5286" t="s">
        <v>449</v>
      </c>
      <c r="B5286">
        <f>IF(ISNUMBER(SEARCH(Form!$C$11,Tabel2[[#This Row],[Coordinate Projection System]])),MAX($B$1:B5285)+1,0)</f>
        <v>5285</v>
      </c>
      <c r="C5286" t="str">
        <f t="shared" si="82"/>
        <v>Korea 2000</v>
      </c>
    </row>
    <row r="5287" spans="1:3" x14ac:dyDescent="0.3">
      <c r="A5287" t="s">
        <v>407</v>
      </c>
      <c r="B5287">
        <f>IF(ISNUMBER(SEARCH(Form!$C$11,Tabel2[[#This Row],[Coordinate Projection System]])),MAX($B$1:B5286)+1,0)</f>
        <v>5286</v>
      </c>
      <c r="C5287" t="str">
        <f t="shared" si="82"/>
        <v>POSGAR 94</v>
      </c>
    </row>
    <row r="5288" spans="1:3" x14ac:dyDescent="0.3">
      <c r="A5288" t="s">
        <v>179</v>
      </c>
      <c r="B5288">
        <f>IF(ISNUMBER(SEARCH(Form!$C$11,Tabel2[[#This Row],[Coordinate Projection System]])),MAX($B$1:B5287)+1,0)</f>
        <v>5287</v>
      </c>
      <c r="C5288" t="str">
        <f t="shared" si="82"/>
        <v>Australian Antarctic</v>
      </c>
    </row>
    <row r="5289" spans="1:3" x14ac:dyDescent="0.3">
      <c r="A5289" t="s">
        <v>154</v>
      </c>
      <c r="B5289">
        <f>IF(ISNUMBER(SEARCH(Form!$C$11,Tabel2[[#This Row],[Coordinate Projection System]])),MAX($B$1:B5288)+1,0)</f>
        <v>5288</v>
      </c>
      <c r="C5289" t="str">
        <f t="shared" si="82"/>
        <v>CHTRF95</v>
      </c>
    </row>
    <row r="5290" spans="1:3" x14ac:dyDescent="0.3">
      <c r="A5290" t="s">
        <v>182</v>
      </c>
      <c r="B5290">
        <f>IF(ISNUMBER(SEARCH(Form!$C$11,Tabel2[[#This Row],[Coordinate Projection System]])),MAX($B$1:B5289)+1,0)</f>
        <v>5289</v>
      </c>
      <c r="C5290" t="str">
        <f t="shared" si="82"/>
        <v>EST97</v>
      </c>
    </row>
    <row r="5291" spans="1:3" x14ac:dyDescent="0.3">
      <c r="A5291" t="s">
        <v>256</v>
      </c>
      <c r="B5291">
        <f>IF(ISNUMBER(SEARCH(Form!$C$11,Tabel2[[#This Row],[Coordinate Projection System]])),MAX($B$1:B5290)+1,0)</f>
        <v>5290</v>
      </c>
      <c r="C5291" t="str">
        <f t="shared" si="82"/>
        <v>ETRS89</v>
      </c>
    </row>
    <row r="5292" spans="1:3" x14ac:dyDescent="0.3">
      <c r="A5292" t="s">
        <v>280</v>
      </c>
      <c r="B5292">
        <f>IF(ISNUMBER(SEARCH(Form!$C$11,Tabel2[[#This Row],[Coordinate Projection System]])),MAX($B$1:B5291)+1,0)</f>
        <v>5291</v>
      </c>
      <c r="C5292" t="str">
        <f t="shared" si="82"/>
        <v>GDA94</v>
      </c>
    </row>
    <row r="5293" spans="1:3" x14ac:dyDescent="0.3">
      <c r="A5293" t="s">
        <v>151</v>
      </c>
      <c r="B5293">
        <f>IF(ISNUMBER(SEARCH(Form!$C$11,Tabel2[[#This Row],[Coordinate Projection System]])),MAX($B$1:B5292)+1,0)</f>
        <v>5292</v>
      </c>
      <c r="C5293" t="str">
        <f t="shared" si="82"/>
        <v>Hartebeesthoek94</v>
      </c>
    </row>
    <row r="5294" spans="1:3" x14ac:dyDescent="0.3">
      <c r="A5294" t="s">
        <v>176</v>
      </c>
      <c r="B5294">
        <f>IF(ISNUMBER(SEARCH(Form!$C$11,Tabel2[[#This Row],[Coordinate Projection System]])),MAX($B$1:B5293)+1,0)</f>
        <v>5293</v>
      </c>
      <c r="C5294" t="str">
        <f t="shared" si="82"/>
        <v>IRENET95</v>
      </c>
    </row>
    <row r="5295" spans="1:3" x14ac:dyDescent="0.3">
      <c r="A5295" t="s">
        <v>372</v>
      </c>
      <c r="B5295">
        <f>IF(ISNUMBER(SEARCH(Form!$C$11,Tabel2[[#This Row],[Coordinate Projection System]])),MAX($B$1:B5294)+1,0)</f>
        <v>5294</v>
      </c>
      <c r="C5295" t="str">
        <f t="shared" si="82"/>
        <v>ISN93</v>
      </c>
    </row>
    <row r="5296" spans="1:3" x14ac:dyDescent="0.3">
      <c r="A5296" t="s">
        <v>337</v>
      </c>
      <c r="B5296">
        <f>IF(ISNUMBER(SEARCH(Form!$C$11,Tabel2[[#This Row],[Coordinate Projection System]])),MAX($B$1:B5295)+1,0)</f>
        <v>5295</v>
      </c>
      <c r="C5296" t="str">
        <f t="shared" si="82"/>
        <v>JGD2000</v>
      </c>
    </row>
    <row r="5297" spans="1:3" x14ac:dyDescent="0.3">
      <c r="A5297" t="s">
        <v>374</v>
      </c>
      <c r="B5297">
        <f>IF(ISNUMBER(SEARCH(Form!$C$11,Tabel2[[#This Row],[Coordinate Projection System]])),MAX($B$1:B5296)+1,0)</f>
        <v>5296</v>
      </c>
      <c r="C5297" t="str">
        <f t="shared" si="82"/>
        <v>LKS92</v>
      </c>
    </row>
    <row r="5298" spans="1:3" x14ac:dyDescent="0.3">
      <c r="A5298" t="s">
        <v>382</v>
      </c>
      <c r="B5298">
        <f>IF(ISNUMBER(SEARCH(Form!$C$11,Tabel2[[#This Row],[Coordinate Projection System]])),MAX($B$1:B5297)+1,0)</f>
        <v>5297</v>
      </c>
      <c r="C5298" t="str">
        <f t="shared" si="82"/>
        <v>LKS94</v>
      </c>
    </row>
    <row r="5299" spans="1:3" x14ac:dyDescent="0.3">
      <c r="A5299" t="s">
        <v>133</v>
      </c>
      <c r="B5299">
        <f>IF(ISNUMBER(SEARCH(Form!$C$11,Tabel2[[#This Row],[Coordinate Projection System]])),MAX($B$1:B5298)+1,0)</f>
        <v>5298</v>
      </c>
      <c r="C5299" t="str">
        <f t="shared" si="82"/>
        <v>Moznet</v>
      </c>
    </row>
    <row r="5300" spans="1:3" x14ac:dyDescent="0.3">
      <c r="A5300" t="s">
        <v>342</v>
      </c>
      <c r="B5300">
        <f>IF(ISNUMBER(SEARCH(Form!$C$11,Tabel2[[#This Row],[Coordinate Projection System]])),MAX($B$1:B5299)+1,0)</f>
        <v>5299</v>
      </c>
      <c r="C5300" t="str">
        <f t="shared" si="82"/>
        <v>NAD83(CSRS)</v>
      </c>
    </row>
    <row r="5301" spans="1:3" x14ac:dyDescent="0.3">
      <c r="A5301" t="s">
        <v>155</v>
      </c>
      <c r="B5301">
        <f>IF(ISNUMBER(SEARCH(Form!$C$11,Tabel2[[#This Row],[Coordinate Projection System]])),MAX($B$1:B5300)+1,0)</f>
        <v>5300</v>
      </c>
      <c r="C5301" t="str">
        <f t="shared" si="82"/>
        <v>NAD83(HARN)</v>
      </c>
    </row>
    <row r="5302" spans="1:3" x14ac:dyDescent="0.3">
      <c r="A5302" t="s">
        <v>170</v>
      </c>
      <c r="B5302">
        <f>IF(ISNUMBER(SEARCH(Form!$C$11,Tabel2[[#This Row],[Coordinate Projection System]])),MAX($B$1:B5301)+1,0)</f>
        <v>5301</v>
      </c>
      <c r="C5302" t="str">
        <f t="shared" si="82"/>
        <v>NZGD2000</v>
      </c>
    </row>
    <row r="5303" spans="1:3" x14ac:dyDescent="0.3">
      <c r="A5303" t="s">
        <v>190</v>
      </c>
      <c r="B5303">
        <f>IF(ISNUMBER(SEARCH(Form!$C$11,Tabel2[[#This Row],[Coordinate Projection System]])),MAX($B$1:B5302)+1,0)</f>
        <v>5302</v>
      </c>
      <c r="C5303" t="str">
        <f t="shared" si="82"/>
        <v>POSGAR 98</v>
      </c>
    </row>
    <row r="5304" spans="1:3" x14ac:dyDescent="0.3">
      <c r="A5304" t="s">
        <v>189</v>
      </c>
      <c r="B5304">
        <f>IF(ISNUMBER(SEARCH(Form!$C$11,Tabel2[[#This Row],[Coordinate Projection System]])),MAX($B$1:B5303)+1,0)</f>
        <v>5303</v>
      </c>
      <c r="C5304" t="str">
        <f t="shared" si="82"/>
        <v>REGVEN</v>
      </c>
    </row>
    <row r="5305" spans="1:3" x14ac:dyDescent="0.3">
      <c r="A5305" t="s">
        <v>174</v>
      </c>
      <c r="B5305">
        <f>IF(ISNUMBER(SEARCH(Form!$C$11,Tabel2[[#This Row],[Coordinate Projection System]])),MAX($B$1:B5304)+1,0)</f>
        <v>5304</v>
      </c>
      <c r="C5305" t="str">
        <f t="shared" si="82"/>
        <v>RGF93</v>
      </c>
    </row>
    <row r="5306" spans="1:3" x14ac:dyDescent="0.3">
      <c r="A5306" t="s">
        <v>348</v>
      </c>
      <c r="B5306">
        <f>IF(ISNUMBER(SEARCH(Form!$C$11,Tabel2[[#This Row],[Coordinate Projection System]])),MAX($B$1:B5305)+1,0)</f>
        <v>5305</v>
      </c>
      <c r="C5306" t="str">
        <f t="shared" si="82"/>
        <v>RGFG95</v>
      </c>
    </row>
    <row r="5307" spans="1:3" x14ac:dyDescent="0.3">
      <c r="A5307" t="s">
        <v>368</v>
      </c>
      <c r="B5307">
        <f>IF(ISNUMBER(SEARCH(Form!$C$11,Tabel2[[#This Row],[Coordinate Projection System]])),MAX($B$1:B5306)+1,0)</f>
        <v>5306</v>
      </c>
      <c r="C5307" t="str">
        <f t="shared" si="82"/>
        <v>RGNC 1991</v>
      </c>
    </row>
    <row r="5308" spans="1:3" x14ac:dyDescent="0.3">
      <c r="A5308" t="s">
        <v>351</v>
      </c>
      <c r="B5308">
        <f>IF(ISNUMBER(SEARCH(Form!$C$11,Tabel2[[#This Row],[Coordinate Projection System]])),MAX($B$1:B5307)+1,0)</f>
        <v>5307</v>
      </c>
      <c r="C5308" t="str">
        <f t="shared" si="82"/>
        <v>RGR92</v>
      </c>
    </row>
    <row r="5309" spans="1:3" x14ac:dyDescent="0.3">
      <c r="A5309" t="s">
        <v>324</v>
      </c>
      <c r="B5309">
        <f>IF(ISNUMBER(SEARCH(Form!$C$11,Tabel2[[#This Row],[Coordinate Projection System]])),MAX($B$1:B5308)+1,0)</f>
        <v>5308</v>
      </c>
      <c r="C5309" t="str">
        <f t="shared" si="82"/>
        <v>RRAF 1991</v>
      </c>
    </row>
    <row r="5310" spans="1:3" x14ac:dyDescent="0.3">
      <c r="A5310" t="s">
        <v>173</v>
      </c>
      <c r="B5310">
        <f>IF(ISNUMBER(SEARCH(Form!$C$11,Tabel2[[#This Row],[Coordinate Projection System]])),MAX($B$1:B5309)+1,0)</f>
        <v>5309</v>
      </c>
      <c r="C5310" t="str">
        <f t="shared" si="82"/>
        <v>SIRGAS 1995</v>
      </c>
    </row>
    <row r="5311" spans="1:3" x14ac:dyDescent="0.3">
      <c r="A5311" t="s">
        <v>343</v>
      </c>
      <c r="B5311">
        <f>IF(ISNUMBER(SEARCH(Form!$C$11,Tabel2[[#This Row],[Coordinate Projection System]])),MAX($B$1:B5310)+1,0)</f>
        <v>5310</v>
      </c>
      <c r="C5311" t="str">
        <f t="shared" si="82"/>
        <v>SWEREF99</v>
      </c>
    </row>
    <row r="5312" spans="1:3" x14ac:dyDescent="0.3">
      <c r="A5312" t="s">
        <v>317</v>
      </c>
      <c r="B5312">
        <f>IF(ISNUMBER(SEARCH(Form!$C$11,Tabel2[[#This Row],[Coordinate Projection System]])),MAX($B$1:B5311)+1,0)</f>
        <v>5311</v>
      </c>
      <c r="C5312" t="str">
        <f t="shared" si="82"/>
        <v>WGS 84</v>
      </c>
    </row>
    <row r="5313" spans="1:3" x14ac:dyDescent="0.3">
      <c r="A5313" t="s">
        <v>166</v>
      </c>
      <c r="B5313">
        <f>IF(ISNUMBER(SEARCH(Form!$C$11,Tabel2[[#This Row],[Coordinate Projection System]])),MAX($B$1:B5312)+1,0)</f>
        <v>5312</v>
      </c>
      <c r="C5313" t="str">
        <f t="shared" si="82"/>
        <v>Yemen NGN96</v>
      </c>
    </row>
    <row r="5314" spans="1:3" x14ac:dyDescent="0.3">
      <c r="A5314" t="s">
        <v>383</v>
      </c>
      <c r="B5314">
        <f>IF(ISNUMBER(SEARCH(Form!$C$11,Tabel2[[#This Row],[Coordinate Projection System]])),MAX($B$1:B5313)+1,0)</f>
        <v>5313</v>
      </c>
      <c r="C5314" t="str">
        <f t="shared" si="82"/>
        <v>IGM95</v>
      </c>
    </row>
    <row r="5315" spans="1:3" x14ac:dyDescent="0.3">
      <c r="A5315" t="s">
        <v>315</v>
      </c>
      <c r="B5315">
        <f>IF(ISNUMBER(SEARCH(Form!$C$11,Tabel2[[#This Row],[Coordinate Projection System]])),MAX($B$1:B5314)+1,0)</f>
        <v>5314</v>
      </c>
      <c r="C5315" t="str">
        <f t="shared" ref="C5315:C5378" si="83">_xlfn.IFNA(INDEX(A5315:A10826,MATCH(ROW(C5314),B5315:B10826,0)),"")</f>
        <v>WGS 72</v>
      </c>
    </row>
    <row r="5316" spans="1:3" x14ac:dyDescent="0.3">
      <c r="A5316" t="s">
        <v>316</v>
      </c>
      <c r="B5316">
        <f>IF(ISNUMBER(SEARCH(Form!$C$11,Tabel2[[#This Row],[Coordinate Projection System]])),MAX($B$1:B5315)+1,0)</f>
        <v>5315</v>
      </c>
      <c r="C5316" t="str">
        <f t="shared" si="83"/>
        <v>WGS 72BE</v>
      </c>
    </row>
    <row r="5317" spans="1:3" x14ac:dyDescent="0.3">
      <c r="A5317" t="s">
        <v>387</v>
      </c>
      <c r="B5317">
        <f>IF(ISNUMBER(SEARCH(Form!$C$11,Tabel2[[#This Row],[Coordinate Projection System]])),MAX($B$1:B5316)+1,0)</f>
        <v>5316</v>
      </c>
      <c r="C5317" t="str">
        <f t="shared" si="83"/>
        <v>SIRGAS 2000</v>
      </c>
    </row>
    <row r="5318" spans="1:3" x14ac:dyDescent="0.3">
      <c r="A5318" t="s">
        <v>390</v>
      </c>
      <c r="B5318">
        <f>IF(ISNUMBER(SEARCH(Form!$C$11,Tabel2[[#This Row],[Coordinate Projection System]])),MAX($B$1:B5317)+1,0)</f>
        <v>5317</v>
      </c>
      <c r="C5318" t="str">
        <f t="shared" si="83"/>
        <v>Lao 1993</v>
      </c>
    </row>
    <row r="5319" spans="1:3" x14ac:dyDescent="0.3">
      <c r="A5319" t="s">
        <v>391</v>
      </c>
      <c r="B5319">
        <f>IF(ISNUMBER(SEARCH(Form!$C$11,Tabel2[[#This Row],[Coordinate Projection System]])),MAX($B$1:B5318)+1,0)</f>
        <v>5318</v>
      </c>
      <c r="C5319" t="str">
        <f t="shared" si="83"/>
        <v>Lao 1997</v>
      </c>
    </row>
    <row r="5320" spans="1:3" x14ac:dyDescent="0.3">
      <c r="A5320" t="s">
        <v>396</v>
      </c>
      <c r="B5320">
        <f>IF(ISNUMBER(SEARCH(Form!$C$11,Tabel2[[#This Row],[Coordinate Projection System]])),MAX($B$1:B5319)+1,0)</f>
        <v>5319</v>
      </c>
      <c r="C5320" t="str">
        <f t="shared" si="83"/>
        <v>PRS92</v>
      </c>
    </row>
    <row r="5321" spans="1:3" x14ac:dyDescent="0.3">
      <c r="A5321" t="s">
        <v>399</v>
      </c>
      <c r="B5321">
        <f>IF(ISNUMBER(SEARCH(Form!$C$11,Tabel2[[#This Row],[Coordinate Projection System]])),MAX($B$1:B5320)+1,0)</f>
        <v>5320</v>
      </c>
      <c r="C5321" t="str">
        <f t="shared" si="83"/>
        <v>MAGNA-SIRGAS</v>
      </c>
    </row>
    <row r="5322" spans="1:3" x14ac:dyDescent="0.3">
      <c r="A5322" t="s">
        <v>400</v>
      </c>
      <c r="B5322">
        <f>IF(ISNUMBER(SEARCH(Form!$C$11,Tabel2[[#This Row],[Coordinate Projection System]])),MAX($B$1:B5321)+1,0)</f>
        <v>5321</v>
      </c>
      <c r="C5322" t="str">
        <f t="shared" si="83"/>
        <v>RGPF</v>
      </c>
    </row>
    <row r="5323" spans="1:3" x14ac:dyDescent="0.3">
      <c r="A5323" t="s">
        <v>503</v>
      </c>
      <c r="B5323">
        <f>IF(ISNUMBER(SEARCH(Form!$C$11,Tabel2[[#This Row],[Coordinate Projection System]])),MAX($B$1:B5322)+1,0)</f>
        <v>5322</v>
      </c>
      <c r="C5323" t="str">
        <f t="shared" si="83"/>
        <v>PTRA08</v>
      </c>
    </row>
    <row r="5324" spans="1:3" x14ac:dyDescent="0.3">
      <c r="A5324" t="s">
        <v>508</v>
      </c>
      <c r="B5324">
        <f>IF(ISNUMBER(SEARCH(Form!$C$11,Tabel2[[#This Row],[Coordinate Projection System]])),MAX($B$1:B5323)+1,0)</f>
        <v>5323</v>
      </c>
      <c r="C5324" t="str">
        <f t="shared" si="83"/>
        <v>GDBD2009</v>
      </c>
    </row>
    <row r="5325" spans="1:3" x14ac:dyDescent="0.3">
      <c r="A5325" t="s">
        <v>509</v>
      </c>
      <c r="B5325">
        <f>IF(ISNUMBER(SEARCH(Form!$C$11,Tabel2[[#This Row],[Coordinate Projection System]])),MAX($B$1:B5324)+1,0)</f>
        <v>5324</v>
      </c>
      <c r="C5325" t="str">
        <f t="shared" si="83"/>
        <v>TUREF</v>
      </c>
    </row>
    <row r="5326" spans="1:3" x14ac:dyDescent="0.3">
      <c r="A5326" t="s">
        <v>510</v>
      </c>
      <c r="B5326">
        <f>IF(ISNUMBER(SEARCH(Form!$C$11,Tabel2[[#This Row],[Coordinate Projection System]])),MAX($B$1:B5325)+1,0)</f>
        <v>5325</v>
      </c>
      <c r="C5326" t="str">
        <f t="shared" si="83"/>
        <v>DRUKREF 03</v>
      </c>
    </row>
    <row r="5327" spans="1:3" x14ac:dyDescent="0.3">
      <c r="A5327" t="s">
        <v>511</v>
      </c>
      <c r="B5327">
        <f>IF(ISNUMBER(SEARCH(Form!$C$11,Tabel2[[#This Row],[Coordinate Projection System]])),MAX($B$1:B5326)+1,0)</f>
        <v>5326</v>
      </c>
      <c r="C5327" t="str">
        <f t="shared" si="83"/>
        <v>ISN2004</v>
      </c>
    </row>
    <row r="5328" spans="1:3" x14ac:dyDescent="0.3">
      <c r="A5328" t="s">
        <v>5316</v>
      </c>
      <c r="B5328">
        <f>IF(ISNUMBER(SEARCH(Form!$C$11,Tabel2[[#This Row],[Coordinate Projection System]])),MAX($B$1:B5327)+1,0)</f>
        <v>5327</v>
      </c>
      <c r="C5328" t="str">
        <f t="shared" si="83"/>
        <v>ITRF2008</v>
      </c>
    </row>
    <row r="5329" spans="1:3" x14ac:dyDescent="0.3">
      <c r="A5329" t="s">
        <v>512</v>
      </c>
      <c r="B5329">
        <f>IF(ISNUMBER(SEARCH(Form!$C$11,Tabel2[[#This Row],[Coordinate Projection System]])),MAX($B$1:B5328)+1,0)</f>
        <v>5328</v>
      </c>
      <c r="C5329" t="str">
        <f t="shared" si="83"/>
        <v>POSGAR 2007</v>
      </c>
    </row>
    <row r="5330" spans="1:3" x14ac:dyDescent="0.3">
      <c r="A5330" t="s">
        <v>513</v>
      </c>
      <c r="B5330">
        <f>IF(ISNUMBER(SEARCH(Form!$C$11,Tabel2[[#This Row],[Coordinate Projection System]])),MAX($B$1:B5329)+1,0)</f>
        <v>5329</v>
      </c>
      <c r="C5330" t="str">
        <f t="shared" si="83"/>
        <v>MARGEN</v>
      </c>
    </row>
    <row r="5331" spans="1:3" x14ac:dyDescent="0.3">
      <c r="A5331" t="s">
        <v>514</v>
      </c>
      <c r="B5331">
        <f>IF(ISNUMBER(SEARCH(Form!$C$11,Tabel2[[#This Row],[Coordinate Projection System]])),MAX($B$1:B5330)+1,0)</f>
        <v>5330</v>
      </c>
      <c r="C5331" t="str">
        <f t="shared" si="83"/>
        <v>SIRGAS-Chile</v>
      </c>
    </row>
    <row r="5332" spans="1:3" x14ac:dyDescent="0.3">
      <c r="A5332" t="s">
        <v>515</v>
      </c>
      <c r="B5332">
        <f>IF(ISNUMBER(SEARCH(Form!$C$11,Tabel2[[#This Row],[Coordinate Projection System]])),MAX($B$1:B5331)+1,0)</f>
        <v>5331</v>
      </c>
      <c r="C5332" t="str">
        <f t="shared" si="83"/>
        <v>CR05</v>
      </c>
    </row>
    <row r="5333" spans="1:3" x14ac:dyDescent="0.3">
      <c r="A5333" t="s">
        <v>516</v>
      </c>
      <c r="B5333">
        <f>IF(ISNUMBER(SEARCH(Form!$C$11,Tabel2[[#This Row],[Coordinate Projection System]])),MAX($B$1:B5332)+1,0)</f>
        <v>5332</v>
      </c>
      <c r="C5333" t="str">
        <f t="shared" si="83"/>
        <v>MACARIO SOLIS</v>
      </c>
    </row>
    <row r="5334" spans="1:3" x14ac:dyDescent="0.3">
      <c r="A5334" t="s">
        <v>517</v>
      </c>
      <c r="B5334">
        <f>IF(ISNUMBER(SEARCH(Form!$C$11,Tabel2[[#This Row],[Coordinate Projection System]])),MAX($B$1:B5333)+1,0)</f>
        <v>5333</v>
      </c>
      <c r="C5334" t="str">
        <f t="shared" si="83"/>
        <v>Peru96</v>
      </c>
    </row>
    <row r="5335" spans="1:3" x14ac:dyDescent="0.3">
      <c r="A5335" t="s">
        <v>518</v>
      </c>
      <c r="B5335">
        <f>IF(ISNUMBER(SEARCH(Form!$C$11,Tabel2[[#This Row],[Coordinate Projection System]])),MAX($B$1:B5334)+1,0)</f>
        <v>5334</v>
      </c>
      <c r="C5335" t="str">
        <f t="shared" si="83"/>
        <v>SIRGAS-ROU98</v>
      </c>
    </row>
    <row r="5336" spans="1:3" x14ac:dyDescent="0.3">
      <c r="A5336" t="s">
        <v>519</v>
      </c>
      <c r="B5336">
        <f>IF(ISNUMBER(SEARCH(Form!$C$11,Tabel2[[#This Row],[Coordinate Projection System]])),MAX($B$1:B5335)+1,0)</f>
        <v>5335</v>
      </c>
      <c r="C5336" t="str">
        <f t="shared" si="83"/>
        <v>SIRGAS_ES2007.8</v>
      </c>
    </row>
    <row r="5337" spans="1:3" x14ac:dyDescent="0.3">
      <c r="A5337" t="s">
        <v>523</v>
      </c>
      <c r="B5337">
        <f>IF(ISNUMBER(SEARCH(Form!$C$11,Tabel2[[#This Row],[Coordinate Projection System]])),MAX($B$1:B5336)+1,0)</f>
        <v>5336</v>
      </c>
      <c r="C5337" t="str">
        <f t="shared" si="83"/>
        <v>RGAF09</v>
      </c>
    </row>
    <row r="5338" spans="1:3" x14ac:dyDescent="0.3">
      <c r="A5338" t="s">
        <v>526</v>
      </c>
      <c r="B5338">
        <f>IF(ISNUMBER(SEARCH(Form!$C$11,Tabel2[[#This Row],[Coordinate Projection System]])),MAX($B$1:B5337)+1,0)</f>
        <v>5337</v>
      </c>
      <c r="C5338" t="str">
        <f t="shared" si="83"/>
        <v>PNG94</v>
      </c>
    </row>
    <row r="5339" spans="1:3" x14ac:dyDescent="0.3">
      <c r="A5339" t="s">
        <v>527</v>
      </c>
      <c r="B5339">
        <f>IF(ISNUMBER(SEARCH(Form!$C$11,Tabel2[[#This Row],[Coordinate Projection System]])),MAX($B$1:B5338)+1,0)</f>
        <v>5338</v>
      </c>
      <c r="C5339" t="str">
        <f t="shared" si="83"/>
        <v>UCS-2000</v>
      </c>
    </row>
    <row r="5340" spans="1:3" x14ac:dyDescent="0.3">
      <c r="A5340" t="s">
        <v>528</v>
      </c>
      <c r="B5340">
        <f>IF(ISNUMBER(SEARCH(Form!$C$11,Tabel2[[#This Row],[Coordinate Projection System]])),MAX($B$1:B5339)+1,0)</f>
        <v>5339</v>
      </c>
      <c r="C5340" t="str">
        <f t="shared" si="83"/>
        <v>FEH2010</v>
      </c>
    </row>
    <row r="5341" spans="1:3" x14ac:dyDescent="0.3">
      <c r="A5341" t="s">
        <v>529</v>
      </c>
      <c r="B5341">
        <f>IF(ISNUMBER(SEARCH(Form!$C$11,Tabel2[[#This Row],[Coordinate Projection System]])),MAX($B$1:B5340)+1,0)</f>
        <v>5340</v>
      </c>
      <c r="C5341" t="str">
        <f t="shared" si="83"/>
        <v>DB_REF</v>
      </c>
    </row>
    <row r="5342" spans="1:3" x14ac:dyDescent="0.3">
      <c r="A5342" t="s">
        <v>530</v>
      </c>
      <c r="B5342">
        <f>IF(ISNUMBER(SEARCH(Form!$C$11,Tabel2[[#This Row],[Coordinate Projection System]])),MAX($B$1:B5341)+1,0)</f>
        <v>5341</v>
      </c>
      <c r="C5342" t="str">
        <f t="shared" si="83"/>
        <v>TGD2005</v>
      </c>
    </row>
    <row r="5343" spans="1:3" x14ac:dyDescent="0.3">
      <c r="A5343" t="s">
        <v>531</v>
      </c>
      <c r="B5343">
        <f>IF(ISNUMBER(SEARCH(Form!$C$11,Tabel2[[#This Row],[Coordinate Projection System]])),MAX($B$1:B5342)+1,0)</f>
        <v>5342</v>
      </c>
      <c r="C5343" t="str">
        <f t="shared" si="83"/>
        <v>CIGD11</v>
      </c>
    </row>
    <row r="5344" spans="1:3" x14ac:dyDescent="0.3">
      <c r="A5344" t="s">
        <v>533</v>
      </c>
      <c r="B5344">
        <f>IF(ISNUMBER(SEARCH(Form!$C$11,Tabel2[[#This Row],[Coordinate Projection System]])),MAX($B$1:B5343)+1,0)</f>
        <v>5343</v>
      </c>
      <c r="C5344" t="str">
        <f t="shared" si="83"/>
        <v>CGRS93</v>
      </c>
    </row>
    <row r="5345" spans="1:3" x14ac:dyDescent="0.3">
      <c r="A5345" t="s">
        <v>534</v>
      </c>
      <c r="B5345">
        <f>IF(ISNUMBER(SEARCH(Form!$C$11,Tabel2[[#This Row],[Coordinate Projection System]])),MAX($B$1:B5344)+1,0)</f>
        <v>5344</v>
      </c>
      <c r="C5345" t="str">
        <f t="shared" si="83"/>
        <v>NAD83(2011)</v>
      </c>
    </row>
    <row r="5346" spans="1:3" x14ac:dyDescent="0.3">
      <c r="A5346" t="s">
        <v>535</v>
      </c>
      <c r="B5346">
        <f>IF(ISNUMBER(SEARCH(Form!$C$11,Tabel2[[#This Row],[Coordinate Projection System]])),MAX($B$1:B5345)+1,0)</f>
        <v>5345</v>
      </c>
      <c r="C5346" t="str">
        <f t="shared" si="83"/>
        <v>NAD83(PA11)</v>
      </c>
    </row>
    <row r="5347" spans="1:3" x14ac:dyDescent="0.3">
      <c r="A5347" t="s">
        <v>536</v>
      </c>
      <c r="B5347">
        <f>IF(ISNUMBER(SEARCH(Form!$C$11,Tabel2[[#This Row],[Coordinate Projection System]])),MAX($B$1:B5346)+1,0)</f>
        <v>5346</v>
      </c>
      <c r="C5347" t="str">
        <f t="shared" si="83"/>
        <v>NAD83(MA11)</v>
      </c>
    </row>
    <row r="5348" spans="1:3" x14ac:dyDescent="0.3">
      <c r="A5348" t="s">
        <v>537</v>
      </c>
      <c r="B5348">
        <f>IF(ISNUMBER(SEARCH(Form!$C$11,Tabel2[[#This Row],[Coordinate Projection System]])),MAX($B$1:B5347)+1,0)</f>
        <v>5347</v>
      </c>
      <c r="C5348" t="str">
        <f t="shared" si="83"/>
        <v>Mexico ITRF2008</v>
      </c>
    </row>
    <row r="5349" spans="1:3" x14ac:dyDescent="0.3">
      <c r="A5349" t="s">
        <v>538</v>
      </c>
      <c r="B5349">
        <f>IF(ISNUMBER(SEARCH(Form!$C$11,Tabel2[[#This Row],[Coordinate Projection System]])),MAX($B$1:B5348)+1,0)</f>
        <v>5348</v>
      </c>
      <c r="C5349" t="str">
        <f t="shared" si="83"/>
        <v>JGD2011</v>
      </c>
    </row>
    <row r="5350" spans="1:3" x14ac:dyDescent="0.3">
      <c r="A5350" t="s">
        <v>539</v>
      </c>
      <c r="B5350">
        <f>IF(ISNUMBER(SEARCH(Form!$C$11,Tabel2[[#This Row],[Coordinate Projection System]])),MAX($B$1:B5349)+1,0)</f>
        <v>5349</v>
      </c>
      <c r="C5350" t="str">
        <f t="shared" si="83"/>
        <v>RDN2008</v>
      </c>
    </row>
    <row r="5351" spans="1:3" x14ac:dyDescent="0.3">
      <c r="A5351" t="s">
        <v>540</v>
      </c>
      <c r="B5351">
        <f>IF(ISNUMBER(SEARCH(Form!$C$11,Tabel2[[#This Row],[Coordinate Projection System]])),MAX($B$1:B5350)+1,0)</f>
        <v>5350</v>
      </c>
      <c r="C5351" t="str">
        <f t="shared" si="83"/>
        <v>NAD83(CORS96)</v>
      </c>
    </row>
    <row r="5352" spans="1:3" x14ac:dyDescent="0.3">
      <c r="A5352" t="s">
        <v>5317</v>
      </c>
      <c r="B5352">
        <f>IF(ISNUMBER(SEARCH(Form!$C$11,Tabel2[[#This Row],[Coordinate Projection System]])),MAX($B$1:B5351)+1,0)</f>
        <v>5351</v>
      </c>
      <c r="C5352" t="str">
        <f t="shared" si="83"/>
        <v>IGS08</v>
      </c>
    </row>
    <row r="5353" spans="1:3" x14ac:dyDescent="0.3">
      <c r="A5353" t="s">
        <v>546</v>
      </c>
      <c r="B5353">
        <f>IF(ISNUMBER(SEARCH(Form!$C$11,Tabel2[[#This Row],[Coordinate Projection System]])),MAX($B$1:B5352)+1,0)</f>
        <v>5352</v>
      </c>
      <c r="C5353" t="str">
        <f t="shared" si="83"/>
        <v>IGD05</v>
      </c>
    </row>
    <row r="5354" spans="1:3" x14ac:dyDescent="0.3">
      <c r="A5354" t="s">
        <v>547</v>
      </c>
      <c r="B5354">
        <f>IF(ISNUMBER(SEARCH(Form!$C$11,Tabel2[[#This Row],[Coordinate Projection System]])),MAX($B$1:B5353)+1,0)</f>
        <v>5353</v>
      </c>
      <c r="C5354" t="str">
        <f t="shared" si="83"/>
        <v>IG05 Intermediate CRS</v>
      </c>
    </row>
    <row r="5355" spans="1:3" x14ac:dyDescent="0.3">
      <c r="A5355" t="s">
        <v>548</v>
      </c>
      <c r="B5355">
        <f>IF(ISNUMBER(SEARCH(Form!$C$11,Tabel2[[#This Row],[Coordinate Projection System]])),MAX($B$1:B5354)+1,0)</f>
        <v>5354</v>
      </c>
      <c r="C5355" t="str">
        <f t="shared" si="83"/>
        <v>IGD05/12</v>
      </c>
    </row>
    <row r="5356" spans="1:3" x14ac:dyDescent="0.3">
      <c r="A5356" t="s">
        <v>549</v>
      </c>
      <c r="B5356">
        <f>IF(ISNUMBER(SEARCH(Form!$C$11,Tabel2[[#This Row],[Coordinate Projection System]])),MAX($B$1:B5355)+1,0)</f>
        <v>5355</v>
      </c>
      <c r="C5356" t="str">
        <f t="shared" si="83"/>
        <v>IG05/12 Intermediate CRS</v>
      </c>
    </row>
    <row r="5357" spans="1:3" x14ac:dyDescent="0.3">
      <c r="A5357" t="s">
        <v>554</v>
      </c>
      <c r="B5357">
        <f>IF(ISNUMBER(SEARCH(Form!$C$11,Tabel2[[#This Row],[Coordinate Projection System]])),MAX($B$1:B5356)+1,0)</f>
        <v>5356</v>
      </c>
      <c r="C5357" t="str">
        <f t="shared" si="83"/>
        <v>RGTAAF07</v>
      </c>
    </row>
    <row r="5358" spans="1:3" x14ac:dyDescent="0.3">
      <c r="A5358" t="s">
        <v>546</v>
      </c>
      <c r="B5358">
        <f>IF(ISNUMBER(SEARCH(Form!$C$11,Tabel2[[#This Row],[Coordinate Projection System]])),MAX($B$1:B5357)+1,0)</f>
        <v>5357</v>
      </c>
      <c r="C5358" t="str">
        <f t="shared" si="83"/>
        <v>IGD05</v>
      </c>
    </row>
    <row r="5359" spans="1:3" x14ac:dyDescent="0.3">
      <c r="A5359" t="s">
        <v>548</v>
      </c>
      <c r="B5359">
        <f>IF(ISNUMBER(SEARCH(Form!$C$11,Tabel2[[#This Row],[Coordinate Projection System]])),MAX($B$1:B5358)+1,0)</f>
        <v>5358</v>
      </c>
      <c r="C5359" t="str">
        <f t="shared" si="83"/>
        <v>IGD05/12</v>
      </c>
    </row>
    <row r="5360" spans="1:3" x14ac:dyDescent="0.3">
      <c r="A5360" t="s">
        <v>558</v>
      </c>
      <c r="B5360">
        <f>IF(ISNUMBER(SEARCH(Form!$C$11,Tabel2[[#This Row],[Coordinate Projection System]])),MAX($B$1:B5359)+1,0)</f>
        <v>5359</v>
      </c>
      <c r="C5360" t="str">
        <f t="shared" si="83"/>
        <v>ONGD14</v>
      </c>
    </row>
    <row r="5361" spans="1:3" x14ac:dyDescent="0.3">
      <c r="A5361" t="s">
        <v>559</v>
      </c>
      <c r="B5361">
        <f>IF(ISNUMBER(SEARCH(Form!$C$11,Tabel2[[#This Row],[Coordinate Projection System]])),MAX($B$1:B5360)+1,0)</f>
        <v>5360</v>
      </c>
      <c r="C5361" t="str">
        <f t="shared" si="83"/>
        <v>Kyrg-06</v>
      </c>
    </row>
    <row r="5362" spans="1:3" x14ac:dyDescent="0.3">
      <c r="A5362" t="s">
        <v>5318</v>
      </c>
      <c r="B5362">
        <f>IF(ISNUMBER(SEARCH(Form!$C$11,Tabel2[[#This Row],[Coordinate Projection System]])),MAX($B$1:B5361)+1,0)</f>
        <v>5361</v>
      </c>
      <c r="C5362" t="str">
        <f t="shared" si="83"/>
        <v>KKJ / Finland Uniform Coordinate System + N60 height</v>
      </c>
    </row>
    <row r="5363" spans="1:3" x14ac:dyDescent="0.3">
      <c r="A5363" t="s">
        <v>5319</v>
      </c>
      <c r="B5363">
        <f>IF(ISNUMBER(SEARCH(Form!$C$11,Tabel2[[#This Row],[Coordinate Projection System]])),MAX($B$1:B5362)+1,0)</f>
        <v>5362</v>
      </c>
      <c r="C5363" t="str">
        <f t="shared" si="83"/>
        <v>ETRS89 / TM35FIN(N,E) + N60 height</v>
      </c>
    </row>
    <row r="5364" spans="1:3" x14ac:dyDescent="0.3">
      <c r="A5364" t="s">
        <v>5320</v>
      </c>
      <c r="B5364">
        <f>IF(ISNUMBER(SEARCH(Form!$C$11,Tabel2[[#This Row],[Coordinate Projection System]])),MAX($B$1:B5363)+1,0)</f>
        <v>5363</v>
      </c>
      <c r="C5364" t="str">
        <f t="shared" si="83"/>
        <v>ETRS89 / TM35FIN(N,E) + N2000 height</v>
      </c>
    </row>
    <row r="5365" spans="1:3" x14ac:dyDescent="0.3">
      <c r="A5365" t="s">
        <v>5321</v>
      </c>
      <c r="B5365">
        <f>IF(ISNUMBER(SEARCH(Form!$C$11,Tabel2[[#This Row],[Coordinate Projection System]])),MAX($B$1:B5364)+1,0)</f>
        <v>5364</v>
      </c>
      <c r="C5365" t="str">
        <f t="shared" si="83"/>
        <v>ETRS89 / DKTM1 + DVR90 height</v>
      </c>
    </row>
    <row r="5366" spans="1:3" x14ac:dyDescent="0.3">
      <c r="A5366" t="s">
        <v>5322</v>
      </c>
      <c r="B5366">
        <f>IF(ISNUMBER(SEARCH(Form!$C$11,Tabel2[[#This Row],[Coordinate Projection System]])),MAX($B$1:B5365)+1,0)</f>
        <v>5365</v>
      </c>
      <c r="C5366" t="str">
        <f t="shared" si="83"/>
        <v>ETRS89 / DKTM2 + DVR90 height</v>
      </c>
    </row>
    <row r="5367" spans="1:3" x14ac:dyDescent="0.3">
      <c r="A5367" t="s">
        <v>5323</v>
      </c>
      <c r="B5367">
        <f>IF(ISNUMBER(SEARCH(Form!$C$11,Tabel2[[#This Row],[Coordinate Projection System]])),MAX($B$1:B5366)+1,0)</f>
        <v>5366</v>
      </c>
      <c r="C5367" t="str">
        <f t="shared" si="83"/>
        <v>ETRS89 / DKTM3 + DVR90 height</v>
      </c>
    </row>
    <row r="5368" spans="1:3" x14ac:dyDescent="0.3">
      <c r="A5368" t="s">
        <v>5324</v>
      </c>
      <c r="B5368">
        <f>IF(ISNUMBER(SEARCH(Form!$C$11,Tabel2[[#This Row],[Coordinate Projection System]])),MAX($B$1:B5367)+1,0)</f>
        <v>5367</v>
      </c>
      <c r="C5368" t="str">
        <f t="shared" si="83"/>
        <v>ETRS89 / DKTM4 + DVR90 height</v>
      </c>
    </row>
    <row r="5369" spans="1:3" x14ac:dyDescent="0.3">
      <c r="A5369" t="s">
        <v>5325</v>
      </c>
      <c r="B5369">
        <f>IF(ISNUMBER(SEARCH(Form!$C$11,Tabel2[[#This Row],[Coordinate Projection System]])),MAX($B$1:B5368)+1,0)</f>
        <v>5368</v>
      </c>
      <c r="C5369" t="str">
        <f t="shared" si="83"/>
        <v>ETRS89 / Faroe TM + FVR09 height</v>
      </c>
    </row>
    <row r="5370" spans="1:3" x14ac:dyDescent="0.3">
      <c r="A5370" t="s">
        <v>5326</v>
      </c>
      <c r="B5370">
        <f>IF(ISNUMBER(SEARCH(Form!$C$11,Tabel2[[#This Row],[Coordinate Projection System]])),MAX($B$1:B5369)+1,0)</f>
        <v>5369</v>
      </c>
      <c r="C5370" t="str">
        <f t="shared" si="83"/>
        <v>NAD83 + NAVD88 height</v>
      </c>
    </row>
    <row r="5371" spans="1:3" x14ac:dyDescent="0.3">
      <c r="A5371" t="s">
        <v>5327</v>
      </c>
      <c r="B5371">
        <f>IF(ISNUMBER(SEARCH(Form!$C$11,Tabel2[[#This Row],[Coordinate Projection System]])),MAX($B$1:B5370)+1,0)</f>
        <v>5370</v>
      </c>
      <c r="C5371" t="str">
        <f t="shared" si="83"/>
        <v>NAD83(HARN) + NAVD88 height</v>
      </c>
    </row>
    <row r="5372" spans="1:3" x14ac:dyDescent="0.3">
      <c r="A5372" t="s">
        <v>5328</v>
      </c>
      <c r="B5372">
        <f>IF(ISNUMBER(SEARCH(Form!$C$11,Tabel2[[#This Row],[Coordinate Projection System]])),MAX($B$1:B5371)+1,0)</f>
        <v>5371</v>
      </c>
      <c r="C5372" t="str">
        <f t="shared" si="83"/>
        <v>NAD83(NSRS2007) + NAVD88 height</v>
      </c>
    </row>
    <row r="5373" spans="1:3" x14ac:dyDescent="0.3">
      <c r="A5373" t="s">
        <v>5329</v>
      </c>
      <c r="B5373">
        <f>IF(ISNUMBER(SEARCH(Form!$C$11,Tabel2[[#This Row],[Coordinate Projection System]])),MAX($B$1:B5372)+1,0)</f>
        <v>5372</v>
      </c>
      <c r="C5373" t="str">
        <f t="shared" si="83"/>
        <v>ETRS89 / UTM zone 31N + DHHN92 height</v>
      </c>
    </row>
    <row r="5374" spans="1:3" x14ac:dyDescent="0.3">
      <c r="A5374" t="s">
        <v>5330</v>
      </c>
      <c r="B5374">
        <f>IF(ISNUMBER(SEARCH(Form!$C$11,Tabel2[[#This Row],[Coordinate Projection System]])),MAX($B$1:B5373)+1,0)</f>
        <v>5373</v>
      </c>
      <c r="C5374" t="str">
        <f t="shared" si="83"/>
        <v>ETRS89 / UTM zone 32N + DHHN92 height</v>
      </c>
    </row>
    <row r="5375" spans="1:3" x14ac:dyDescent="0.3">
      <c r="A5375" t="s">
        <v>5331</v>
      </c>
      <c r="B5375">
        <f>IF(ISNUMBER(SEARCH(Form!$C$11,Tabel2[[#This Row],[Coordinate Projection System]])),MAX($B$1:B5374)+1,0)</f>
        <v>5374</v>
      </c>
      <c r="C5375" t="str">
        <f t="shared" si="83"/>
        <v>ETRS89 / UTM zone 33N + DHHN92 height</v>
      </c>
    </row>
    <row r="5376" spans="1:3" x14ac:dyDescent="0.3">
      <c r="A5376" t="s">
        <v>5332</v>
      </c>
      <c r="B5376">
        <f>IF(ISNUMBER(SEARCH(Form!$C$11,Tabel2[[#This Row],[Coordinate Projection System]])),MAX($B$1:B5375)+1,0)</f>
        <v>5375</v>
      </c>
      <c r="C5376" t="str">
        <f t="shared" si="83"/>
        <v>FEH2010 / Fehmarnbelt TM + FCSVR10 height</v>
      </c>
    </row>
    <row r="5377" spans="1:3" x14ac:dyDescent="0.3">
      <c r="A5377" t="s">
        <v>5333</v>
      </c>
      <c r="B5377">
        <f>IF(ISNUMBER(SEARCH(Form!$C$11,Tabel2[[#This Row],[Coordinate Projection System]])),MAX($B$1:B5376)+1,0)</f>
        <v>5376</v>
      </c>
      <c r="C5377" t="str">
        <f t="shared" si="83"/>
        <v>SWEREF99 + RH2000 height</v>
      </c>
    </row>
    <row r="5378" spans="1:3" x14ac:dyDescent="0.3">
      <c r="A5378" t="s">
        <v>5334</v>
      </c>
      <c r="B5378">
        <f>IF(ISNUMBER(SEARCH(Form!$C$11,Tabel2[[#This Row],[Coordinate Projection System]])),MAX($B$1:B5377)+1,0)</f>
        <v>5377</v>
      </c>
      <c r="C5378" t="str">
        <f t="shared" si="83"/>
        <v>RGF93 / Lambert-93 + NGF-IGN69 height</v>
      </c>
    </row>
    <row r="5379" spans="1:3" x14ac:dyDescent="0.3">
      <c r="A5379" t="s">
        <v>5335</v>
      </c>
      <c r="B5379">
        <f>IF(ISNUMBER(SEARCH(Form!$C$11,Tabel2[[#This Row],[Coordinate Projection System]])),MAX($B$1:B5378)+1,0)</f>
        <v>5378</v>
      </c>
      <c r="C5379" t="str">
        <f t="shared" ref="C5379:C5442" si="84">_xlfn.IFNA(INDEX(A5379:A10890,MATCH(ROW(C5378),B5379:B10890,0)),"")</f>
        <v>RGF93 / Lambert-93 + NGF-IGN78 height</v>
      </c>
    </row>
    <row r="5380" spans="1:3" x14ac:dyDescent="0.3">
      <c r="A5380" t="s">
        <v>5336</v>
      </c>
      <c r="B5380">
        <f>IF(ISNUMBER(SEARCH(Form!$C$11,Tabel2[[#This Row],[Coordinate Projection System]])),MAX($B$1:B5379)+1,0)</f>
        <v>5379</v>
      </c>
      <c r="C5380" t="str">
        <f t="shared" si="84"/>
        <v>NTF (Paris) / Lambert zone I + NGF-IGN69 height</v>
      </c>
    </row>
    <row r="5381" spans="1:3" x14ac:dyDescent="0.3">
      <c r="A5381" t="s">
        <v>5337</v>
      </c>
      <c r="B5381">
        <f>IF(ISNUMBER(SEARCH(Form!$C$11,Tabel2[[#This Row],[Coordinate Projection System]])),MAX($B$1:B5380)+1,0)</f>
        <v>5380</v>
      </c>
      <c r="C5381" t="str">
        <f t="shared" si="84"/>
        <v>NTF (Paris) / Lambert zone IV + NGF-IGN78 height</v>
      </c>
    </row>
    <row r="5382" spans="1:3" x14ac:dyDescent="0.3">
      <c r="A5382" t="s">
        <v>5338</v>
      </c>
      <c r="B5382">
        <f>IF(ISNUMBER(SEARCH(Form!$C$11,Tabel2[[#This Row],[Coordinate Projection System]])),MAX($B$1:B5381)+1,0)</f>
        <v>5381</v>
      </c>
      <c r="C5382" t="str">
        <f t="shared" si="84"/>
        <v>DB_REF / 3-degree Gauss-Kruger zone 2 (E-N) + DHHN92 height</v>
      </c>
    </row>
    <row r="5383" spans="1:3" x14ac:dyDescent="0.3">
      <c r="A5383" t="s">
        <v>5339</v>
      </c>
      <c r="B5383">
        <f>IF(ISNUMBER(SEARCH(Form!$C$11,Tabel2[[#This Row],[Coordinate Projection System]])),MAX($B$1:B5382)+1,0)</f>
        <v>5382</v>
      </c>
      <c r="C5383" t="str">
        <f t="shared" si="84"/>
        <v>DB_REF / 3-degree Gauss-Kruger zone 3 (E-N) + DHHN92 height</v>
      </c>
    </row>
    <row r="5384" spans="1:3" x14ac:dyDescent="0.3">
      <c r="A5384" t="s">
        <v>5340</v>
      </c>
      <c r="B5384">
        <f>IF(ISNUMBER(SEARCH(Form!$C$11,Tabel2[[#This Row],[Coordinate Projection System]])),MAX($B$1:B5383)+1,0)</f>
        <v>5383</v>
      </c>
      <c r="C5384" t="str">
        <f t="shared" si="84"/>
        <v>DB_REF / 3-degree Gauss-Kruger zone 4 (E-N) + DHHN92 height</v>
      </c>
    </row>
    <row r="5385" spans="1:3" x14ac:dyDescent="0.3">
      <c r="A5385" t="s">
        <v>5341</v>
      </c>
      <c r="B5385">
        <f>IF(ISNUMBER(SEARCH(Form!$C$11,Tabel2[[#This Row],[Coordinate Projection System]])),MAX($B$1:B5384)+1,0)</f>
        <v>5384</v>
      </c>
      <c r="C5385" t="str">
        <f t="shared" si="84"/>
        <v>DB_REF / 3-degree Gauss-Kruger zone 5 (E-N) + DHHN92 height</v>
      </c>
    </row>
    <row r="5386" spans="1:3" x14ac:dyDescent="0.3">
      <c r="A5386" t="s">
        <v>5342</v>
      </c>
      <c r="B5386">
        <f>IF(ISNUMBER(SEARCH(Form!$C$11,Tabel2[[#This Row],[Coordinate Projection System]])),MAX($B$1:B5385)+1,0)</f>
        <v>5385</v>
      </c>
      <c r="C5386" t="str">
        <f t="shared" si="84"/>
        <v>SWEREF99 TM + RH2000 height</v>
      </c>
    </row>
    <row r="5387" spans="1:3" x14ac:dyDescent="0.3">
      <c r="A5387" t="s">
        <v>5343</v>
      </c>
      <c r="B5387">
        <f>IF(ISNUMBER(SEARCH(Form!$C$11,Tabel2[[#This Row],[Coordinate Projection System]])),MAX($B$1:B5386)+1,0)</f>
        <v>5386</v>
      </c>
      <c r="C5387" t="str">
        <f t="shared" si="84"/>
        <v>SWEREF99 12 00 + RH2000 height</v>
      </c>
    </row>
    <row r="5388" spans="1:3" x14ac:dyDescent="0.3">
      <c r="A5388" t="s">
        <v>5344</v>
      </c>
      <c r="B5388">
        <f>IF(ISNUMBER(SEARCH(Form!$C$11,Tabel2[[#This Row],[Coordinate Projection System]])),MAX($B$1:B5387)+1,0)</f>
        <v>5387</v>
      </c>
      <c r="C5388" t="str">
        <f t="shared" si="84"/>
        <v>SWEREF99 13 30 + RH2000 height</v>
      </c>
    </row>
    <row r="5389" spans="1:3" x14ac:dyDescent="0.3">
      <c r="A5389" t="s">
        <v>5345</v>
      </c>
      <c r="B5389">
        <f>IF(ISNUMBER(SEARCH(Form!$C$11,Tabel2[[#This Row],[Coordinate Projection System]])),MAX($B$1:B5388)+1,0)</f>
        <v>5388</v>
      </c>
      <c r="C5389" t="str">
        <f t="shared" si="84"/>
        <v>SWEREF99 15 00 + RH2000 height</v>
      </c>
    </row>
    <row r="5390" spans="1:3" x14ac:dyDescent="0.3">
      <c r="A5390" t="s">
        <v>5346</v>
      </c>
      <c r="B5390">
        <f>IF(ISNUMBER(SEARCH(Form!$C$11,Tabel2[[#This Row],[Coordinate Projection System]])),MAX($B$1:B5389)+1,0)</f>
        <v>5389</v>
      </c>
      <c r="C5390" t="str">
        <f t="shared" si="84"/>
        <v>SWEREF99 16 30 + RH2000 height</v>
      </c>
    </row>
    <row r="5391" spans="1:3" x14ac:dyDescent="0.3">
      <c r="A5391" t="s">
        <v>5347</v>
      </c>
      <c r="B5391">
        <f>IF(ISNUMBER(SEARCH(Form!$C$11,Tabel2[[#This Row],[Coordinate Projection System]])),MAX($B$1:B5390)+1,0)</f>
        <v>5390</v>
      </c>
      <c r="C5391" t="str">
        <f t="shared" si="84"/>
        <v>SWEREF99 18 00 + RH2000 height</v>
      </c>
    </row>
    <row r="5392" spans="1:3" x14ac:dyDescent="0.3">
      <c r="A5392" t="s">
        <v>5348</v>
      </c>
      <c r="B5392">
        <f>IF(ISNUMBER(SEARCH(Form!$C$11,Tabel2[[#This Row],[Coordinate Projection System]])),MAX($B$1:B5391)+1,0)</f>
        <v>5391</v>
      </c>
      <c r="C5392" t="str">
        <f t="shared" si="84"/>
        <v>SWEREF99 14 15 + RH2000 height</v>
      </c>
    </row>
    <row r="5393" spans="1:3" x14ac:dyDescent="0.3">
      <c r="A5393" t="s">
        <v>5349</v>
      </c>
      <c r="B5393">
        <f>IF(ISNUMBER(SEARCH(Form!$C$11,Tabel2[[#This Row],[Coordinate Projection System]])),MAX($B$1:B5392)+1,0)</f>
        <v>5392</v>
      </c>
      <c r="C5393" t="str">
        <f t="shared" si="84"/>
        <v>SWEREF99 15 45 + RH2000 height</v>
      </c>
    </row>
    <row r="5394" spans="1:3" x14ac:dyDescent="0.3">
      <c r="A5394" t="s">
        <v>5350</v>
      </c>
      <c r="B5394">
        <f>IF(ISNUMBER(SEARCH(Form!$C$11,Tabel2[[#This Row],[Coordinate Projection System]])),MAX($B$1:B5393)+1,0)</f>
        <v>5393</v>
      </c>
      <c r="C5394" t="str">
        <f t="shared" si="84"/>
        <v>SWEREF99 17 15 + RH2000 height</v>
      </c>
    </row>
    <row r="5395" spans="1:3" x14ac:dyDescent="0.3">
      <c r="A5395" t="s">
        <v>5351</v>
      </c>
      <c r="B5395">
        <f>IF(ISNUMBER(SEARCH(Form!$C$11,Tabel2[[#This Row],[Coordinate Projection System]])),MAX($B$1:B5394)+1,0)</f>
        <v>5394</v>
      </c>
      <c r="C5395" t="str">
        <f t="shared" si="84"/>
        <v>SWEREF99 18 45 + RH2000 height</v>
      </c>
    </row>
    <row r="5396" spans="1:3" x14ac:dyDescent="0.3">
      <c r="A5396" t="s">
        <v>5352</v>
      </c>
      <c r="B5396">
        <f>IF(ISNUMBER(SEARCH(Form!$C$11,Tabel2[[#This Row],[Coordinate Projection System]])),MAX($B$1:B5395)+1,0)</f>
        <v>5395</v>
      </c>
      <c r="C5396" t="str">
        <f t="shared" si="84"/>
        <v>SWEREF99 20 15 + RH2000 height</v>
      </c>
    </row>
    <row r="5397" spans="1:3" x14ac:dyDescent="0.3">
      <c r="A5397" t="s">
        <v>5353</v>
      </c>
      <c r="B5397">
        <f>IF(ISNUMBER(SEARCH(Form!$C$11,Tabel2[[#This Row],[Coordinate Projection System]])),MAX($B$1:B5396)+1,0)</f>
        <v>5396</v>
      </c>
      <c r="C5397" t="str">
        <f t="shared" si="84"/>
        <v>SWEREF99 21 45 + RH2000 height</v>
      </c>
    </row>
    <row r="5398" spans="1:3" x14ac:dyDescent="0.3">
      <c r="A5398" t="s">
        <v>5354</v>
      </c>
      <c r="B5398">
        <f>IF(ISNUMBER(SEARCH(Form!$C$11,Tabel2[[#This Row],[Coordinate Projection System]])),MAX($B$1:B5397)+1,0)</f>
        <v>5397</v>
      </c>
      <c r="C5398" t="str">
        <f t="shared" si="84"/>
        <v>SWEREF99 23 15 + RH2000 height</v>
      </c>
    </row>
    <row r="5399" spans="1:3" x14ac:dyDescent="0.3">
      <c r="A5399" t="s">
        <v>5355</v>
      </c>
      <c r="B5399">
        <f>IF(ISNUMBER(SEARCH(Form!$C$11,Tabel2[[#This Row],[Coordinate Projection System]])),MAX($B$1:B5398)+1,0)</f>
        <v>5398</v>
      </c>
      <c r="C5399" t="str">
        <f t="shared" si="84"/>
        <v>ETRS89 + NN2000 height</v>
      </c>
    </row>
    <row r="5400" spans="1:3" x14ac:dyDescent="0.3">
      <c r="A5400" t="s">
        <v>5356</v>
      </c>
      <c r="B5400">
        <f>IF(ISNUMBER(SEARCH(Form!$C$11,Tabel2[[#This Row],[Coordinate Projection System]])),MAX($B$1:B5399)+1,0)</f>
        <v>5399</v>
      </c>
      <c r="C5400" t="str">
        <f t="shared" si="84"/>
        <v>ETRS89 / NTM zone 5 + NN2000 height</v>
      </c>
    </row>
    <row r="5401" spans="1:3" x14ac:dyDescent="0.3">
      <c r="A5401" t="s">
        <v>5357</v>
      </c>
      <c r="B5401">
        <f>IF(ISNUMBER(SEARCH(Form!$C$11,Tabel2[[#This Row],[Coordinate Projection System]])),MAX($B$1:B5400)+1,0)</f>
        <v>5400</v>
      </c>
      <c r="C5401" t="str">
        <f t="shared" si="84"/>
        <v>ETRS89 / NTM zone 6 + NN2000 height</v>
      </c>
    </row>
    <row r="5402" spans="1:3" x14ac:dyDescent="0.3">
      <c r="A5402" t="s">
        <v>5358</v>
      </c>
      <c r="B5402">
        <f>IF(ISNUMBER(SEARCH(Form!$C$11,Tabel2[[#This Row],[Coordinate Projection System]])),MAX($B$1:B5401)+1,0)</f>
        <v>5401</v>
      </c>
      <c r="C5402" t="str">
        <f t="shared" si="84"/>
        <v>ETRS89 / NTM zone 7 + NN2000 height</v>
      </c>
    </row>
    <row r="5403" spans="1:3" x14ac:dyDescent="0.3">
      <c r="A5403" t="s">
        <v>5359</v>
      </c>
      <c r="B5403">
        <f>IF(ISNUMBER(SEARCH(Form!$C$11,Tabel2[[#This Row],[Coordinate Projection System]])),MAX($B$1:B5402)+1,0)</f>
        <v>5402</v>
      </c>
      <c r="C5403" t="str">
        <f t="shared" si="84"/>
        <v>ETRS89 / NTM zone 8 + NN2000 height</v>
      </c>
    </row>
    <row r="5404" spans="1:3" x14ac:dyDescent="0.3">
      <c r="A5404" t="s">
        <v>5360</v>
      </c>
      <c r="B5404">
        <f>IF(ISNUMBER(SEARCH(Form!$C$11,Tabel2[[#This Row],[Coordinate Projection System]])),MAX($B$1:B5403)+1,0)</f>
        <v>5403</v>
      </c>
      <c r="C5404" t="str">
        <f t="shared" si="84"/>
        <v>ETRS89 / NTM zone 9 + NN2000 height</v>
      </c>
    </row>
    <row r="5405" spans="1:3" x14ac:dyDescent="0.3">
      <c r="A5405" t="s">
        <v>5361</v>
      </c>
      <c r="B5405">
        <f>IF(ISNUMBER(SEARCH(Form!$C$11,Tabel2[[#This Row],[Coordinate Projection System]])),MAX($B$1:B5404)+1,0)</f>
        <v>5404</v>
      </c>
      <c r="C5405" t="str">
        <f t="shared" si="84"/>
        <v>ETRS89 / NTM zone 10 + NN2000 height</v>
      </c>
    </row>
    <row r="5406" spans="1:3" x14ac:dyDescent="0.3">
      <c r="A5406" t="s">
        <v>5362</v>
      </c>
      <c r="B5406">
        <f>IF(ISNUMBER(SEARCH(Form!$C$11,Tabel2[[#This Row],[Coordinate Projection System]])),MAX($B$1:B5405)+1,0)</f>
        <v>5405</v>
      </c>
      <c r="C5406" t="str">
        <f t="shared" si="84"/>
        <v>ETRS89 / NTM zone 11 + NN2000 height</v>
      </c>
    </row>
    <row r="5407" spans="1:3" x14ac:dyDescent="0.3">
      <c r="A5407" t="s">
        <v>5363</v>
      </c>
      <c r="B5407">
        <f>IF(ISNUMBER(SEARCH(Form!$C$11,Tabel2[[#This Row],[Coordinate Projection System]])),MAX($B$1:B5406)+1,0)</f>
        <v>5406</v>
      </c>
      <c r="C5407" t="str">
        <f t="shared" si="84"/>
        <v>ETRS89 / NTM zone 12 + NN2000 height</v>
      </c>
    </row>
    <row r="5408" spans="1:3" x14ac:dyDescent="0.3">
      <c r="A5408" t="s">
        <v>5364</v>
      </c>
      <c r="B5408">
        <f>IF(ISNUMBER(SEARCH(Form!$C$11,Tabel2[[#This Row],[Coordinate Projection System]])),MAX($B$1:B5407)+1,0)</f>
        <v>5407</v>
      </c>
      <c r="C5408" t="str">
        <f t="shared" si="84"/>
        <v>ETRS89 / NTM zone 13 + NN2000 height</v>
      </c>
    </row>
    <row r="5409" spans="1:3" x14ac:dyDescent="0.3">
      <c r="A5409" t="s">
        <v>5365</v>
      </c>
      <c r="B5409">
        <f>IF(ISNUMBER(SEARCH(Form!$C$11,Tabel2[[#This Row],[Coordinate Projection System]])),MAX($B$1:B5408)+1,0)</f>
        <v>5408</v>
      </c>
      <c r="C5409" t="str">
        <f t="shared" si="84"/>
        <v>ETRS89 / NTM zone 14 + NN2000 height</v>
      </c>
    </row>
    <row r="5410" spans="1:3" x14ac:dyDescent="0.3">
      <c r="A5410" t="s">
        <v>5366</v>
      </c>
      <c r="B5410">
        <f>IF(ISNUMBER(SEARCH(Form!$C$11,Tabel2[[#This Row],[Coordinate Projection System]])),MAX($B$1:B5409)+1,0)</f>
        <v>5409</v>
      </c>
      <c r="C5410" t="str">
        <f t="shared" si="84"/>
        <v>ETRS89 / NTM zone 15 + NN2000 height</v>
      </c>
    </row>
    <row r="5411" spans="1:3" x14ac:dyDescent="0.3">
      <c r="A5411" t="s">
        <v>5367</v>
      </c>
      <c r="B5411">
        <f>IF(ISNUMBER(SEARCH(Form!$C$11,Tabel2[[#This Row],[Coordinate Projection System]])),MAX($B$1:B5410)+1,0)</f>
        <v>5410</v>
      </c>
      <c r="C5411" t="str">
        <f t="shared" si="84"/>
        <v>ETRS89 / NTM zone 16 + NN2000 height</v>
      </c>
    </row>
    <row r="5412" spans="1:3" x14ac:dyDescent="0.3">
      <c r="A5412" t="s">
        <v>5368</v>
      </c>
      <c r="B5412">
        <f>IF(ISNUMBER(SEARCH(Form!$C$11,Tabel2[[#This Row],[Coordinate Projection System]])),MAX($B$1:B5411)+1,0)</f>
        <v>5411</v>
      </c>
      <c r="C5412" t="str">
        <f t="shared" si="84"/>
        <v>ETRS89 / NTM zone 17 + NN2000 height</v>
      </c>
    </row>
    <row r="5413" spans="1:3" x14ac:dyDescent="0.3">
      <c r="A5413" t="s">
        <v>5369</v>
      </c>
      <c r="B5413">
        <f>IF(ISNUMBER(SEARCH(Form!$C$11,Tabel2[[#This Row],[Coordinate Projection System]])),MAX($B$1:B5412)+1,0)</f>
        <v>5412</v>
      </c>
      <c r="C5413" t="str">
        <f t="shared" si="84"/>
        <v>ETRS89 / NTM zone 18 + NN2000 height</v>
      </c>
    </row>
    <row r="5414" spans="1:3" x14ac:dyDescent="0.3">
      <c r="A5414" t="s">
        <v>5370</v>
      </c>
      <c r="B5414">
        <f>IF(ISNUMBER(SEARCH(Form!$C$11,Tabel2[[#This Row],[Coordinate Projection System]])),MAX($B$1:B5413)+1,0)</f>
        <v>5413</v>
      </c>
      <c r="C5414" t="str">
        <f t="shared" si="84"/>
        <v>ETRS89 / NTM zone 19 + NN2000 height</v>
      </c>
    </row>
    <row r="5415" spans="1:3" x14ac:dyDescent="0.3">
      <c r="A5415" t="s">
        <v>5371</v>
      </c>
      <c r="B5415">
        <f>IF(ISNUMBER(SEARCH(Form!$C$11,Tabel2[[#This Row],[Coordinate Projection System]])),MAX($B$1:B5414)+1,0)</f>
        <v>5414</v>
      </c>
      <c r="C5415" t="str">
        <f t="shared" si="84"/>
        <v>ETRS89 / NTM zone 20 + NN2000 height</v>
      </c>
    </row>
    <row r="5416" spans="1:3" x14ac:dyDescent="0.3">
      <c r="A5416" t="s">
        <v>5372</v>
      </c>
      <c r="B5416">
        <f>IF(ISNUMBER(SEARCH(Form!$C$11,Tabel2[[#This Row],[Coordinate Projection System]])),MAX($B$1:B5415)+1,0)</f>
        <v>5415</v>
      </c>
      <c r="C5416" t="str">
        <f t="shared" si="84"/>
        <v>ETRS89 / NTM zone 21 + NN2000 height</v>
      </c>
    </row>
    <row r="5417" spans="1:3" x14ac:dyDescent="0.3">
      <c r="A5417" t="s">
        <v>5373</v>
      </c>
      <c r="B5417">
        <f>IF(ISNUMBER(SEARCH(Form!$C$11,Tabel2[[#This Row],[Coordinate Projection System]])),MAX($B$1:B5416)+1,0)</f>
        <v>5416</v>
      </c>
      <c r="C5417" t="str">
        <f t="shared" si="84"/>
        <v>ETRS89 / NTM zone 22 + NN2000 height</v>
      </c>
    </row>
    <row r="5418" spans="1:3" x14ac:dyDescent="0.3">
      <c r="A5418" t="s">
        <v>5374</v>
      </c>
      <c r="B5418">
        <f>IF(ISNUMBER(SEARCH(Form!$C$11,Tabel2[[#This Row],[Coordinate Projection System]])),MAX($B$1:B5417)+1,0)</f>
        <v>5417</v>
      </c>
      <c r="C5418" t="str">
        <f t="shared" si="84"/>
        <v>ETRS89 / NTM zone 23 + NN2000 height</v>
      </c>
    </row>
    <row r="5419" spans="1:3" x14ac:dyDescent="0.3">
      <c r="A5419" t="s">
        <v>5375</v>
      </c>
      <c r="B5419">
        <f>IF(ISNUMBER(SEARCH(Form!$C$11,Tabel2[[#This Row],[Coordinate Projection System]])),MAX($B$1:B5418)+1,0)</f>
        <v>5418</v>
      </c>
      <c r="C5419" t="str">
        <f t="shared" si="84"/>
        <v>ETRS89 / NTM zone 24 + NN2000 height</v>
      </c>
    </row>
    <row r="5420" spans="1:3" x14ac:dyDescent="0.3">
      <c r="A5420" t="s">
        <v>5376</v>
      </c>
      <c r="B5420">
        <f>IF(ISNUMBER(SEARCH(Form!$C$11,Tabel2[[#This Row],[Coordinate Projection System]])),MAX($B$1:B5419)+1,0)</f>
        <v>5419</v>
      </c>
      <c r="C5420" t="str">
        <f t="shared" si="84"/>
        <v>ETRS89 / NTM zone 25 + NN2000 height</v>
      </c>
    </row>
    <row r="5421" spans="1:3" x14ac:dyDescent="0.3">
      <c r="A5421" t="s">
        <v>5377</v>
      </c>
      <c r="B5421">
        <f>IF(ISNUMBER(SEARCH(Form!$C$11,Tabel2[[#This Row],[Coordinate Projection System]])),MAX($B$1:B5420)+1,0)</f>
        <v>5420</v>
      </c>
      <c r="C5421" t="str">
        <f t="shared" si="84"/>
        <v>ETRS89 / NTM zone 26 + NN2000 height</v>
      </c>
    </row>
    <row r="5422" spans="1:3" x14ac:dyDescent="0.3">
      <c r="A5422" t="s">
        <v>5378</v>
      </c>
      <c r="B5422">
        <f>IF(ISNUMBER(SEARCH(Form!$C$11,Tabel2[[#This Row],[Coordinate Projection System]])),MAX($B$1:B5421)+1,0)</f>
        <v>5421</v>
      </c>
      <c r="C5422" t="str">
        <f t="shared" si="84"/>
        <v>ETRS89 / NTM zone 27 + NN2000 height</v>
      </c>
    </row>
    <row r="5423" spans="1:3" x14ac:dyDescent="0.3">
      <c r="A5423" t="s">
        <v>5379</v>
      </c>
      <c r="B5423">
        <f>IF(ISNUMBER(SEARCH(Form!$C$11,Tabel2[[#This Row],[Coordinate Projection System]])),MAX($B$1:B5422)+1,0)</f>
        <v>5422</v>
      </c>
      <c r="C5423" t="str">
        <f t="shared" si="84"/>
        <v>ETRS89 / NTM zone 28 + NN2000 height</v>
      </c>
    </row>
    <row r="5424" spans="1:3" x14ac:dyDescent="0.3">
      <c r="A5424" t="s">
        <v>5380</v>
      </c>
      <c r="B5424">
        <f>IF(ISNUMBER(SEARCH(Form!$C$11,Tabel2[[#This Row],[Coordinate Projection System]])),MAX($B$1:B5423)+1,0)</f>
        <v>5423</v>
      </c>
      <c r="C5424" t="str">
        <f t="shared" si="84"/>
        <v>ETRS89 / NTM zone 29 + NN2000 height</v>
      </c>
    </row>
    <row r="5425" spans="1:3" x14ac:dyDescent="0.3">
      <c r="A5425" t="s">
        <v>5381</v>
      </c>
      <c r="B5425">
        <f>IF(ISNUMBER(SEARCH(Form!$C$11,Tabel2[[#This Row],[Coordinate Projection System]])),MAX($B$1:B5424)+1,0)</f>
        <v>5424</v>
      </c>
      <c r="C5425" t="str">
        <f t="shared" si="84"/>
        <v>ETRS89 / NTM zone 30 + NN2000 height</v>
      </c>
    </row>
    <row r="5426" spans="1:3" x14ac:dyDescent="0.3">
      <c r="A5426" t="s">
        <v>5382</v>
      </c>
      <c r="B5426">
        <f>IF(ISNUMBER(SEARCH(Form!$C$11,Tabel2[[#This Row],[Coordinate Projection System]])),MAX($B$1:B5425)+1,0)</f>
        <v>5425</v>
      </c>
      <c r="C5426" t="str">
        <f t="shared" si="84"/>
        <v>ETRS89 / UTM zone 31 + NN2000 height</v>
      </c>
    </row>
    <row r="5427" spans="1:3" x14ac:dyDescent="0.3">
      <c r="A5427" t="s">
        <v>5383</v>
      </c>
      <c r="B5427">
        <f>IF(ISNUMBER(SEARCH(Form!$C$11,Tabel2[[#This Row],[Coordinate Projection System]])),MAX($B$1:B5426)+1,0)</f>
        <v>5426</v>
      </c>
      <c r="C5427" t="str">
        <f t="shared" si="84"/>
        <v>ETRS89 / UTM zone 32 + NN2000 height</v>
      </c>
    </row>
    <row r="5428" spans="1:3" x14ac:dyDescent="0.3">
      <c r="A5428" t="s">
        <v>5384</v>
      </c>
      <c r="B5428">
        <f>IF(ISNUMBER(SEARCH(Form!$C$11,Tabel2[[#This Row],[Coordinate Projection System]])),MAX($B$1:B5427)+1,0)</f>
        <v>5427</v>
      </c>
      <c r="C5428" t="str">
        <f t="shared" si="84"/>
        <v>ETRS89 / UTM zone 33 + NN2000 height</v>
      </c>
    </row>
    <row r="5429" spans="1:3" x14ac:dyDescent="0.3">
      <c r="A5429" t="s">
        <v>5385</v>
      </c>
      <c r="B5429">
        <f>IF(ISNUMBER(SEARCH(Form!$C$11,Tabel2[[#This Row],[Coordinate Projection System]])),MAX($B$1:B5428)+1,0)</f>
        <v>5428</v>
      </c>
      <c r="C5429" t="str">
        <f t="shared" si="84"/>
        <v>ETRS89 / UTM zone 34 + NN2000 height</v>
      </c>
    </row>
    <row r="5430" spans="1:3" x14ac:dyDescent="0.3">
      <c r="A5430" t="s">
        <v>5386</v>
      </c>
      <c r="B5430">
        <f>IF(ISNUMBER(SEARCH(Form!$C$11,Tabel2[[#This Row],[Coordinate Projection System]])),MAX($B$1:B5429)+1,0)</f>
        <v>5429</v>
      </c>
      <c r="C5430" t="str">
        <f t="shared" si="84"/>
        <v>ETRS89 / UTM zone 35 + NN2000 height</v>
      </c>
    </row>
    <row r="5431" spans="1:3" x14ac:dyDescent="0.3">
      <c r="A5431" t="s">
        <v>5387</v>
      </c>
      <c r="B5431">
        <f>IF(ISNUMBER(SEARCH(Form!$C$11,Tabel2[[#This Row],[Coordinate Projection System]])),MAX($B$1:B5430)+1,0)</f>
        <v>5430</v>
      </c>
      <c r="C5431" t="str">
        <f t="shared" si="84"/>
        <v>ETRS89 / UTM zone 36 + NN2000 height</v>
      </c>
    </row>
    <row r="5432" spans="1:3" x14ac:dyDescent="0.3">
      <c r="A5432" t="s">
        <v>5388</v>
      </c>
      <c r="B5432">
        <f>IF(ISNUMBER(SEARCH(Form!$C$11,Tabel2[[#This Row],[Coordinate Projection System]])),MAX($B$1:B5431)+1,0)</f>
        <v>5431</v>
      </c>
      <c r="C5432" t="str">
        <f t="shared" si="84"/>
        <v>ETRS89 + NN54 height</v>
      </c>
    </row>
    <row r="5433" spans="1:3" x14ac:dyDescent="0.3">
      <c r="A5433" t="s">
        <v>5389</v>
      </c>
      <c r="B5433">
        <f>IF(ISNUMBER(SEARCH(Form!$C$11,Tabel2[[#This Row],[Coordinate Projection System]])),MAX($B$1:B5432)+1,0)</f>
        <v>5432</v>
      </c>
      <c r="C5433" t="str">
        <f t="shared" si="84"/>
        <v>ETRS89 / NTM zone 5 + NN54 height</v>
      </c>
    </row>
    <row r="5434" spans="1:3" x14ac:dyDescent="0.3">
      <c r="A5434" t="s">
        <v>5390</v>
      </c>
      <c r="B5434">
        <f>IF(ISNUMBER(SEARCH(Form!$C$11,Tabel2[[#This Row],[Coordinate Projection System]])),MAX($B$1:B5433)+1,0)</f>
        <v>5433</v>
      </c>
      <c r="C5434" t="str">
        <f t="shared" si="84"/>
        <v>ETRS89 / NTM zone 6 + NN54 height</v>
      </c>
    </row>
    <row r="5435" spans="1:3" x14ac:dyDescent="0.3">
      <c r="A5435" t="s">
        <v>5391</v>
      </c>
      <c r="B5435">
        <f>IF(ISNUMBER(SEARCH(Form!$C$11,Tabel2[[#This Row],[Coordinate Projection System]])),MAX($B$1:B5434)+1,0)</f>
        <v>5434</v>
      </c>
      <c r="C5435" t="str">
        <f t="shared" si="84"/>
        <v>ETRS89 / NTM zone 7 + NN54 height</v>
      </c>
    </row>
    <row r="5436" spans="1:3" x14ac:dyDescent="0.3">
      <c r="A5436" t="s">
        <v>5392</v>
      </c>
      <c r="B5436">
        <f>IF(ISNUMBER(SEARCH(Form!$C$11,Tabel2[[#This Row],[Coordinate Projection System]])),MAX($B$1:B5435)+1,0)</f>
        <v>5435</v>
      </c>
      <c r="C5436" t="str">
        <f t="shared" si="84"/>
        <v>ETRS89 / NTM zone 8 + NN54 height</v>
      </c>
    </row>
    <row r="5437" spans="1:3" x14ac:dyDescent="0.3">
      <c r="A5437" t="s">
        <v>5393</v>
      </c>
      <c r="B5437">
        <f>IF(ISNUMBER(SEARCH(Form!$C$11,Tabel2[[#This Row],[Coordinate Projection System]])),MAX($B$1:B5436)+1,0)</f>
        <v>5436</v>
      </c>
      <c r="C5437" t="str">
        <f t="shared" si="84"/>
        <v>ETRS89 / NTM zone 9 + NN54 height</v>
      </c>
    </row>
    <row r="5438" spans="1:3" x14ac:dyDescent="0.3">
      <c r="A5438" t="s">
        <v>5394</v>
      </c>
      <c r="B5438">
        <f>IF(ISNUMBER(SEARCH(Form!$C$11,Tabel2[[#This Row],[Coordinate Projection System]])),MAX($B$1:B5437)+1,0)</f>
        <v>5437</v>
      </c>
      <c r="C5438" t="str">
        <f t="shared" si="84"/>
        <v>ETRS89 / NTM zone 10 + NN54 height</v>
      </c>
    </row>
    <row r="5439" spans="1:3" x14ac:dyDescent="0.3">
      <c r="A5439" t="s">
        <v>5395</v>
      </c>
      <c r="B5439">
        <f>IF(ISNUMBER(SEARCH(Form!$C$11,Tabel2[[#This Row],[Coordinate Projection System]])),MAX($B$1:B5438)+1,0)</f>
        <v>5438</v>
      </c>
      <c r="C5439" t="str">
        <f t="shared" si="84"/>
        <v>ETRS89 / NTM zone 11 + NN54 height</v>
      </c>
    </row>
    <row r="5440" spans="1:3" x14ac:dyDescent="0.3">
      <c r="A5440" t="s">
        <v>5396</v>
      </c>
      <c r="B5440">
        <f>IF(ISNUMBER(SEARCH(Form!$C$11,Tabel2[[#This Row],[Coordinate Projection System]])),MAX($B$1:B5439)+1,0)</f>
        <v>5439</v>
      </c>
      <c r="C5440" t="str">
        <f t="shared" si="84"/>
        <v>ETRS89 / NTM zone 12 + NN54 height</v>
      </c>
    </row>
    <row r="5441" spans="1:3" x14ac:dyDescent="0.3">
      <c r="A5441" t="s">
        <v>5397</v>
      </c>
      <c r="B5441">
        <f>IF(ISNUMBER(SEARCH(Form!$C$11,Tabel2[[#This Row],[Coordinate Projection System]])),MAX($B$1:B5440)+1,0)</f>
        <v>5440</v>
      </c>
      <c r="C5441" t="str">
        <f t="shared" si="84"/>
        <v>ETRS89 / NTM zone 13 + NN54 height</v>
      </c>
    </row>
    <row r="5442" spans="1:3" x14ac:dyDescent="0.3">
      <c r="A5442" t="s">
        <v>5398</v>
      </c>
      <c r="B5442">
        <f>IF(ISNUMBER(SEARCH(Form!$C$11,Tabel2[[#This Row],[Coordinate Projection System]])),MAX($B$1:B5441)+1,0)</f>
        <v>5441</v>
      </c>
      <c r="C5442" t="str">
        <f t="shared" si="84"/>
        <v>ETRS89 / NTM zone 14 + NN54 height</v>
      </c>
    </row>
    <row r="5443" spans="1:3" x14ac:dyDescent="0.3">
      <c r="A5443" t="s">
        <v>5399</v>
      </c>
      <c r="B5443">
        <f>IF(ISNUMBER(SEARCH(Form!$C$11,Tabel2[[#This Row],[Coordinate Projection System]])),MAX($B$1:B5442)+1,0)</f>
        <v>5442</v>
      </c>
      <c r="C5443" t="str">
        <f t="shared" ref="C5443:C5506" si="85">_xlfn.IFNA(INDEX(A5443:A10954,MATCH(ROW(C5442),B5443:B10954,0)),"")</f>
        <v>ETRS89 / NTM zone 15 + NN54 height</v>
      </c>
    </row>
    <row r="5444" spans="1:3" x14ac:dyDescent="0.3">
      <c r="A5444" t="s">
        <v>5400</v>
      </c>
      <c r="B5444">
        <f>IF(ISNUMBER(SEARCH(Form!$C$11,Tabel2[[#This Row],[Coordinate Projection System]])),MAX($B$1:B5443)+1,0)</f>
        <v>5443</v>
      </c>
      <c r="C5444" t="str">
        <f t="shared" si="85"/>
        <v>ETRS89 / NTM zone 16 + NN54 height</v>
      </c>
    </row>
    <row r="5445" spans="1:3" x14ac:dyDescent="0.3">
      <c r="A5445" t="s">
        <v>5401</v>
      </c>
      <c r="B5445">
        <f>IF(ISNUMBER(SEARCH(Form!$C$11,Tabel2[[#This Row],[Coordinate Projection System]])),MAX($B$1:B5444)+1,0)</f>
        <v>5444</v>
      </c>
      <c r="C5445" t="str">
        <f t="shared" si="85"/>
        <v>ETRS89 / NTM zone 17 + NN54 height</v>
      </c>
    </row>
    <row r="5446" spans="1:3" x14ac:dyDescent="0.3">
      <c r="A5446" t="s">
        <v>5402</v>
      </c>
      <c r="B5446">
        <f>IF(ISNUMBER(SEARCH(Form!$C$11,Tabel2[[#This Row],[Coordinate Projection System]])),MAX($B$1:B5445)+1,0)</f>
        <v>5445</v>
      </c>
      <c r="C5446" t="str">
        <f t="shared" si="85"/>
        <v>ETRS89 / NTM zone 18 + NN54 height</v>
      </c>
    </row>
    <row r="5447" spans="1:3" x14ac:dyDescent="0.3">
      <c r="A5447" t="s">
        <v>5403</v>
      </c>
      <c r="B5447">
        <f>IF(ISNUMBER(SEARCH(Form!$C$11,Tabel2[[#This Row],[Coordinate Projection System]])),MAX($B$1:B5446)+1,0)</f>
        <v>5446</v>
      </c>
      <c r="C5447" t="str">
        <f t="shared" si="85"/>
        <v>ETRS89 / NTM zone 19 + NN54 height</v>
      </c>
    </row>
    <row r="5448" spans="1:3" x14ac:dyDescent="0.3">
      <c r="A5448" t="s">
        <v>5404</v>
      </c>
      <c r="B5448">
        <f>IF(ISNUMBER(SEARCH(Form!$C$11,Tabel2[[#This Row],[Coordinate Projection System]])),MAX($B$1:B5447)+1,0)</f>
        <v>5447</v>
      </c>
      <c r="C5448" t="str">
        <f t="shared" si="85"/>
        <v>ETRS89 / NTM zone 20 + NN54 height</v>
      </c>
    </row>
    <row r="5449" spans="1:3" x14ac:dyDescent="0.3">
      <c r="A5449" t="s">
        <v>5405</v>
      </c>
      <c r="B5449">
        <f>IF(ISNUMBER(SEARCH(Form!$C$11,Tabel2[[#This Row],[Coordinate Projection System]])),MAX($B$1:B5448)+1,0)</f>
        <v>5448</v>
      </c>
      <c r="C5449" t="str">
        <f t="shared" si="85"/>
        <v>ETRS89 / NTM zone 21 + NN54 height</v>
      </c>
    </row>
    <row r="5450" spans="1:3" x14ac:dyDescent="0.3">
      <c r="A5450" t="s">
        <v>5406</v>
      </c>
      <c r="B5450">
        <f>IF(ISNUMBER(SEARCH(Form!$C$11,Tabel2[[#This Row],[Coordinate Projection System]])),MAX($B$1:B5449)+1,0)</f>
        <v>5449</v>
      </c>
      <c r="C5450" t="str">
        <f t="shared" si="85"/>
        <v>ETRS89 / NTM zone 22 + NN54 height</v>
      </c>
    </row>
    <row r="5451" spans="1:3" x14ac:dyDescent="0.3">
      <c r="A5451" t="s">
        <v>5407</v>
      </c>
      <c r="B5451">
        <f>IF(ISNUMBER(SEARCH(Form!$C$11,Tabel2[[#This Row],[Coordinate Projection System]])),MAX($B$1:B5450)+1,0)</f>
        <v>5450</v>
      </c>
      <c r="C5451" t="str">
        <f t="shared" si="85"/>
        <v>ETRS89 / NTM zone 23 + NN54 height</v>
      </c>
    </row>
    <row r="5452" spans="1:3" x14ac:dyDescent="0.3">
      <c r="A5452" t="s">
        <v>5408</v>
      </c>
      <c r="B5452">
        <f>IF(ISNUMBER(SEARCH(Form!$C$11,Tabel2[[#This Row],[Coordinate Projection System]])),MAX($B$1:B5451)+1,0)</f>
        <v>5451</v>
      </c>
      <c r="C5452" t="str">
        <f t="shared" si="85"/>
        <v>ETRS89 / NTM zone 24 + NN54 height</v>
      </c>
    </row>
    <row r="5453" spans="1:3" x14ac:dyDescent="0.3">
      <c r="A5453" t="s">
        <v>5409</v>
      </c>
      <c r="B5453">
        <f>IF(ISNUMBER(SEARCH(Form!$C$11,Tabel2[[#This Row],[Coordinate Projection System]])),MAX($B$1:B5452)+1,0)</f>
        <v>5452</v>
      </c>
      <c r="C5453" t="str">
        <f t="shared" si="85"/>
        <v>ETRS89 / NTM zone 25 + NN54 height</v>
      </c>
    </row>
    <row r="5454" spans="1:3" x14ac:dyDescent="0.3">
      <c r="A5454" t="s">
        <v>5410</v>
      </c>
      <c r="B5454">
        <f>IF(ISNUMBER(SEARCH(Form!$C$11,Tabel2[[#This Row],[Coordinate Projection System]])),MAX($B$1:B5453)+1,0)</f>
        <v>5453</v>
      </c>
      <c r="C5454" t="str">
        <f t="shared" si="85"/>
        <v>ETRS89 / NTM zone 26 + NN54 height</v>
      </c>
    </row>
    <row r="5455" spans="1:3" x14ac:dyDescent="0.3">
      <c r="A5455" t="s">
        <v>5411</v>
      </c>
      <c r="B5455">
        <f>IF(ISNUMBER(SEARCH(Form!$C$11,Tabel2[[#This Row],[Coordinate Projection System]])),MAX($B$1:B5454)+1,0)</f>
        <v>5454</v>
      </c>
      <c r="C5455" t="str">
        <f t="shared" si="85"/>
        <v>ETRS89 / NTM zone 27 + NN54 height</v>
      </c>
    </row>
    <row r="5456" spans="1:3" x14ac:dyDescent="0.3">
      <c r="A5456" t="s">
        <v>5412</v>
      </c>
      <c r="B5456">
        <f>IF(ISNUMBER(SEARCH(Form!$C$11,Tabel2[[#This Row],[Coordinate Projection System]])),MAX($B$1:B5455)+1,0)</f>
        <v>5455</v>
      </c>
      <c r="C5456" t="str">
        <f t="shared" si="85"/>
        <v>ETRS89 / NTM zone 28 + NN54 height</v>
      </c>
    </row>
    <row r="5457" spans="1:3" x14ac:dyDescent="0.3">
      <c r="A5457" t="s">
        <v>5413</v>
      </c>
      <c r="B5457">
        <f>IF(ISNUMBER(SEARCH(Form!$C$11,Tabel2[[#This Row],[Coordinate Projection System]])),MAX($B$1:B5456)+1,0)</f>
        <v>5456</v>
      </c>
      <c r="C5457" t="str">
        <f t="shared" si="85"/>
        <v>ETRS89 / NTM zone 29 + NN54 height</v>
      </c>
    </row>
    <row r="5458" spans="1:3" x14ac:dyDescent="0.3">
      <c r="A5458" t="s">
        <v>5414</v>
      </c>
      <c r="B5458">
        <f>IF(ISNUMBER(SEARCH(Form!$C$11,Tabel2[[#This Row],[Coordinate Projection System]])),MAX($B$1:B5457)+1,0)</f>
        <v>5457</v>
      </c>
      <c r="C5458" t="str">
        <f t="shared" si="85"/>
        <v>ETRS89 / NTM zone 30 + NN54 height</v>
      </c>
    </row>
    <row r="5459" spans="1:3" x14ac:dyDescent="0.3">
      <c r="A5459" t="s">
        <v>5415</v>
      </c>
      <c r="B5459">
        <f>IF(ISNUMBER(SEARCH(Form!$C$11,Tabel2[[#This Row],[Coordinate Projection System]])),MAX($B$1:B5458)+1,0)</f>
        <v>5458</v>
      </c>
      <c r="C5459" t="str">
        <f t="shared" si="85"/>
        <v>ETRS89 / UTM zone 31 + NN54 height</v>
      </c>
    </row>
    <row r="5460" spans="1:3" x14ac:dyDescent="0.3">
      <c r="A5460" t="s">
        <v>5416</v>
      </c>
      <c r="B5460">
        <f>IF(ISNUMBER(SEARCH(Form!$C$11,Tabel2[[#This Row],[Coordinate Projection System]])),MAX($B$1:B5459)+1,0)</f>
        <v>5459</v>
      </c>
      <c r="C5460" t="str">
        <f t="shared" si="85"/>
        <v>ETRS89 / UTM zone 32 + NN54 height</v>
      </c>
    </row>
    <row r="5461" spans="1:3" x14ac:dyDescent="0.3">
      <c r="A5461" t="s">
        <v>5417</v>
      </c>
      <c r="B5461">
        <f>IF(ISNUMBER(SEARCH(Form!$C$11,Tabel2[[#This Row],[Coordinate Projection System]])),MAX($B$1:B5460)+1,0)</f>
        <v>5460</v>
      </c>
      <c r="C5461" t="str">
        <f t="shared" si="85"/>
        <v>ETRS89 / UTM zone 33 + NN54 height</v>
      </c>
    </row>
    <row r="5462" spans="1:3" x14ac:dyDescent="0.3">
      <c r="A5462" t="s">
        <v>5418</v>
      </c>
      <c r="B5462">
        <f>IF(ISNUMBER(SEARCH(Form!$C$11,Tabel2[[#This Row],[Coordinate Projection System]])),MAX($B$1:B5461)+1,0)</f>
        <v>5461</v>
      </c>
      <c r="C5462" t="str">
        <f t="shared" si="85"/>
        <v>ETRS89 / UTM zone 34 + NN54 height</v>
      </c>
    </row>
    <row r="5463" spans="1:3" x14ac:dyDescent="0.3">
      <c r="A5463" t="s">
        <v>5419</v>
      </c>
      <c r="B5463">
        <f>IF(ISNUMBER(SEARCH(Form!$C$11,Tabel2[[#This Row],[Coordinate Projection System]])),MAX($B$1:B5462)+1,0)</f>
        <v>5462</v>
      </c>
      <c r="C5463" t="str">
        <f t="shared" si="85"/>
        <v>ETRS89 / UTM zone 35 + NN54 height</v>
      </c>
    </row>
    <row r="5464" spans="1:3" x14ac:dyDescent="0.3">
      <c r="A5464" t="s">
        <v>5420</v>
      </c>
      <c r="B5464">
        <f>IF(ISNUMBER(SEARCH(Form!$C$11,Tabel2[[#This Row],[Coordinate Projection System]])),MAX($B$1:B5463)+1,0)</f>
        <v>5463</v>
      </c>
      <c r="C5464" t="str">
        <f t="shared" si="85"/>
        <v>ETRS89 / UTM zone 36 + NN54 height</v>
      </c>
    </row>
    <row r="5465" spans="1:3" x14ac:dyDescent="0.3">
      <c r="A5465" t="s">
        <v>5421</v>
      </c>
      <c r="B5465">
        <f>IF(ISNUMBER(SEARCH(Form!$C$11,Tabel2[[#This Row],[Coordinate Projection System]])),MAX($B$1:B5464)+1,0)</f>
        <v>5464</v>
      </c>
      <c r="C5465" t="str">
        <f t="shared" si="85"/>
        <v>Belge 1972 / Belgian Lambert 72 + Ostend height</v>
      </c>
    </row>
    <row r="5466" spans="1:3" x14ac:dyDescent="0.3">
      <c r="A5466" t="s">
        <v>5422</v>
      </c>
      <c r="B5466">
        <f>IF(ISNUMBER(SEARCH(Form!$C$11,Tabel2[[#This Row],[Coordinate Projection System]])),MAX($B$1:B5465)+1,0)</f>
        <v>5465</v>
      </c>
      <c r="C5466" t="str">
        <f t="shared" si="85"/>
        <v>NAD83(2011) + NAVD88 height</v>
      </c>
    </row>
    <row r="5467" spans="1:3" x14ac:dyDescent="0.3">
      <c r="A5467" t="s">
        <v>5423</v>
      </c>
      <c r="B5467">
        <f>IF(ISNUMBER(SEARCH(Form!$C$11,Tabel2[[#This Row],[Coordinate Projection System]])),MAX($B$1:B5466)+1,0)</f>
        <v>5466</v>
      </c>
      <c r="C5467" t="str">
        <f t="shared" si="85"/>
        <v>NAD83(CSRS) + CGVD2013 height</v>
      </c>
    </row>
    <row r="5468" spans="1:3" x14ac:dyDescent="0.3">
      <c r="A5468" t="s">
        <v>5424</v>
      </c>
      <c r="B5468">
        <f>IF(ISNUMBER(SEARCH(Form!$C$11,Tabel2[[#This Row],[Coordinate Projection System]])),MAX($B$1:B5467)+1,0)</f>
        <v>5467</v>
      </c>
      <c r="C5468" t="str">
        <f t="shared" si="85"/>
        <v>NAD83(CSRS) / UTM zone 7N + CGVD2013 height</v>
      </c>
    </row>
    <row r="5469" spans="1:3" x14ac:dyDescent="0.3">
      <c r="A5469" t="s">
        <v>5425</v>
      </c>
      <c r="B5469">
        <f>IF(ISNUMBER(SEARCH(Form!$C$11,Tabel2[[#This Row],[Coordinate Projection System]])),MAX($B$1:B5468)+1,0)</f>
        <v>5468</v>
      </c>
      <c r="C5469" t="str">
        <f t="shared" si="85"/>
        <v>NAD83(CSRS) / UTM zone 8N + CGVD2013 height</v>
      </c>
    </row>
    <row r="5470" spans="1:3" x14ac:dyDescent="0.3">
      <c r="A5470" t="s">
        <v>5426</v>
      </c>
      <c r="B5470">
        <f>IF(ISNUMBER(SEARCH(Form!$C$11,Tabel2[[#This Row],[Coordinate Projection System]])),MAX($B$1:B5469)+1,0)</f>
        <v>5469</v>
      </c>
      <c r="C5470" t="str">
        <f t="shared" si="85"/>
        <v>NAD83(CSRS) / UTM zone 9N + CGVD2013 height</v>
      </c>
    </row>
    <row r="5471" spans="1:3" x14ac:dyDescent="0.3">
      <c r="A5471" t="s">
        <v>5427</v>
      </c>
      <c r="B5471">
        <f>IF(ISNUMBER(SEARCH(Form!$C$11,Tabel2[[#This Row],[Coordinate Projection System]])),MAX($B$1:B5470)+1,0)</f>
        <v>5470</v>
      </c>
      <c r="C5471" t="str">
        <f t="shared" si="85"/>
        <v>NAD83(CSRS) / UTM zone 10N + CGVD2013 height</v>
      </c>
    </row>
    <row r="5472" spans="1:3" x14ac:dyDescent="0.3">
      <c r="A5472" t="s">
        <v>5428</v>
      </c>
      <c r="B5472">
        <f>IF(ISNUMBER(SEARCH(Form!$C$11,Tabel2[[#This Row],[Coordinate Projection System]])),MAX($B$1:B5471)+1,0)</f>
        <v>5471</v>
      </c>
      <c r="C5472" t="str">
        <f t="shared" si="85"/>
        <v>NAD83(CSRS) / UTM zone 11N + CGVD2013 height</v>
      </c>
    </row>
    <row r="5473" spans="1:3" x14ac:dyDescent="0.3">
      <c r="A5473" t="s">
        <v>5429</v>
      </c>
      <c r="B5473">
        <f>IF(ISNUMBER(SEARCH(Form!$C$11,Tabel2[[#This Row],[Coordinate Projection System]])),MAX($B$1:B5472)+1,0)</f>
        <v>5472</v>
      </c>
      <c r="C5473" t="str">
        <f t="shared" si="85"/>
        <v>NAD83(CSRS) / UTM zone 12N + CGVD2013 height</v>
      </c>
    </row>
    <row r="5474" spans="1:3" x14ac:dyDescent="0.3">
      <c r="A5474" t="s">
        <v>5430</v>
      </c>
      <c r="B5474">
        <f>IF(ISNUMBER(SEARCH(Form!$C$11,Tabel2[[#This Row],[Coordinate Projection System]])),MAX($B$1:B5473)+1,0)</f>
        <v>5473</v>
      </c>
      <c r="C5474" t="str">
        <f t="shared" si="85"/>
        <v>NAD83(CSRS) / UTM zone 13N + CGVD2013 height</v>
      </c>
    </row>
    <row r="5475" spans="1:3" x14ac:dyDescent="0.3">
      <c r="A5475" t="s">
        <v>5431</v>
      </c>
      <c r="B5475">
        <f>IF(ISNUMBER(SEARCH(Form!$C$11,Tabel2[[#This Row],[Coordinate Projection System]])),MAX($B$1:B5474)+1,0)</f>
        <v>5474</v>
      </c>
      <c r="C5475" t="str">
        <f t="shared" si="85"/>
        <v>NAD83(CSRS) / UTM zone 14N + CGVD2013 height</v>
      </c>
    </row>
    <row r="5476" spans="1:3" x14ac:dyDescent="0.3">
      <c r="A5476" t="s">
        <v>5432</v>
      </c>
      <c r="B5476">
        <f>IF(ISNUMBER(SEARCH(Form!$C$11,Tabel2[[#This Row],[Coordinate Projection System]])),MAX($B$1:B5475)+1,0)</f>
        <v>5475</v>
      </c>
      <c r="C5476" t="str">
        <f t="shared" si="85"/>
        <v>NAD83(CSRS) / UTM zone 15N + CGVD2013 height</v>
      </c>
    </row>
    <row r="5477" spans="1:3" x14ac:dyDescent="0.3">
      <c r="A5477" t="s">
        <v>5433</v>
      </c>
      <c r="B5477">
        <f>IF(ISNUMBER(SEARCH(Form!$C$11,Tabel2[[#This Row],[Coordinate Projection System]])),MAX($B$1:B5476)+1,0)</f>
        <v>5476</v>
      </c>
      <c r="C5477" t="str">
        <f t="shared" si="85"/>
        <v>NAD83(CSRS) / UTM zone 16N + CGVD2013 height</v>
      </c>
    </row>
    <row r="5478" spans="1:3" x14ac:dyDescent="0.3">
      <c r="A5478" t="s">
        <v>5434</v>
      </c>
      <c r="B5478">
        <f>IF(ISNUMBER(SEARCH(Form!$C$11,Tabel2[[#This Row],[Coordinate Projection System]])),MAX($B$1:B5477)+1,0)</f>
        <v>5477</v>
      </c>
      <c r="C5478" t="str">
        <f t="shared" si="85"/>
        <v>NAD83(CSRS) / UTM zone 17N + CGVD2013 height</v>
      </c>
    </row>
    <row r="5479" spans="1:3" x14ac:dyDescent="0.3">
      <c r="A5479" t="s">
        <v>5435</v>
      </c>
      <c r="B5479">
        <f>IF(ISNUMBER(SEARCH(Form!$C$11,Tabel2[[#This Row],[Coordinate Projection System]])),MAX($B$1:B5478)+1,0)</f>
        <v>5478</v>
      </c>
      <c r="C5479" t="str">
        <f t="shared" si="85"/>
        <v>NAD83(CSRS) / UTM zone 18N + CGVD2013 height</v>
      </c>
    </row>
    <row r="5480" spans="1:3" x14ac:dyDescent="0.3">
      <c r="A5480" t="s">
        <v>5436</v>
      </c>
      <c r="B5480">
        <f>IF(ISNUMBER(SEARCH(Form!$C$11,Tabel2[[#This Row],[Coordinate Projection System]])),MAX($B$1:B5479)+1,0)</f>
        <v>5479</v>
      </c>
      <c r="C5480" t="str">
        <f t="shared" si="85"/>
        <v>NAD83(CSRS) / UTM zone 19N + CGVD2013 height</v>
      </c>
    </row>
    <row r="5481" spans="1:3" x14ac:dyDescent="0.3">
      <c r="A5481" t="s">
        <v>5437</v>
      </c>
      <c r="B5481">
        <f>IF(ISNUMBER(SEARCH(Form!$C$11,Tabel2[[#This Row],[Coordinate Projection System]])),MAX($B$1:B5480)+1,0)</f>
        <v>5480</v>
      </c>
      <c r="C5481" t="str">
        <f t="shared" si="85"/>
        <v>NAD83(CSRS) / UTM zone 20N + CGVD2013 height</v>
      </c>
    </row>
    <row r="5482" spans="1:3" x14ac:dyDescent="0.3">
      <c r="A5482" t="s">
        <v>5438</v>
      </c>
      <c r="B5482">
        <f>IF(ISNUMBER(SEARCH(Form!$C$11,Tabel2[[#This Row],[Coordinate Projection System]])),MAX($B$1:B5481)+1,0)</f>
        <v>5481</v>
      </c>
      <c r="C5482" t="str">
        <f t="shared" si="85"/>
        <v>NAD83(CSRS) / UTM zone 21N + CGVD2013 height</v>
      </c>
    </row>
    <row r="5483" spans="1:3" x14ac:dyDescent="0.3">
      <c r="A5483" t="s">
        <v>5439</v>
      </c>
      <c r="B5483">
        <f>IF(ISNUMBER(SEARCH(Form!$C$11,Tabel2[[#This Row],[Coordinate Projection System]])),MAX($B$1:B5482)+1,0)</f>
        <v>5482</v>
      </c>
      <c r="C5483" t="str">
        <f t="shared" si="85"/>
        <v>NAD83(CSRS) / UTM zone 22N + CGVD2013 height</v>
      </c>
    </row>
    <row r="5484" spans="1:3" x14ac:dyDescent="0.3">
      <c r="A5484" t="s">
        <v>5440</v>
      </c>
      <c r="B5484">
        <f>IF(ISNUMBER(SEARCH(Form!$C$11,Tabel2[[#This Row],[Coordinate Projection System]])),MAX($B$1:B5483)+1,0)</f>
        <v>5483</v>
      </c>
      <c r="C5484" t="str">
        <f t="shared" si="85"/>
        <v>JGD2000 + JGD2000 (vertical) height</v>
      </c>
    </row>
    <row r="5485" spans="1:3" x14ac:dyDescent="0.3">
      <c r="A5485" t="s">
        <v>5441</v>
      </c>
      <c r="B5485">
        <f>IF(ISNUMBER(SEARCH(Form!$C$11,Tabel2[[#This Row],[Coordinate Projection System]])),MAX($B$1:B5484)+1,0)</f>
        <v>5484</v>
      </c>
      <c r="C5485" t="str">
        <f t="shared" si="85"/>
        <v>JGD2011 + JGD2011 (vertical) height</v>
      </c>
    </row>
    <row r="5486" spans="1:3" x14ac:dyDescent="0.3">
      <c r="A5486" t="s">
        <v>5442</v>
      </c>
      <c r="B5486">
        <f>IF(ISNUMBER(SEARCH(Form!$C$11,Tabel2[[#This Row],[Coordinate Projection System]])),MAX($B$1:B5485)+1,0)</f>
        <v>5485</v>
      </c>
      <c r="C5486" t="str">
        <f t="shared" si="85"/>
        <v>Tokyo + JSLD72 height</v>
      </c>
    </row>
    <row r="5487" spans="1:3" x14ac:dyDescent="0.3">
      <c r="A5487" t="s">
        <v>5443</v>
      </c>
      <c r="B5487">
        <f>IF(ISNUMBER(SEARCH(Form!$C$11,Tabel2[[#This Row],[Coordinate Projection System]])),MAX($B$1:B5486)+1,0)</f>
        <v>5486</v>
      </c>
      <c r="C5487" t="str">
        <f t="shared" si="85"/>
        <v>WGS 84 / Pseudo-Mercator +  EGM2008 geoid height</v>
      </c>
    </row>
    <row r="5488" spans="1:3" x14ac:dyDescent="0.3">
      <c r="A5488" t="s">
        <v>5444</v>
      </c>
      <c r="B5488">
        <f>IF(ISNUMBER(SEARCH(Form!$C$11,Tabel2[[#This Row],[Coordinate Projection System]])),MAX($B$1:B5487)+1,0)</f>
        <v>5487</v>
      </c>
      <c r="C5488" t="str">
        <f t="shared" si="85"/>
        <v>WGS 84 / World Mercator +  EGM2008 height</v>
      </c>
    </row>
    <row r="5489" spans="1:3" x14ac:dyDescent="0.3">
      <c r="A5489" t="s">
        <v>5445</v>
      </c>
      <c r="B5489">
        <f>IF(ISNUMBER(SEARCH(Form!$C$11,Tabel2[[#This Row],[Coordinate Projection System]])),MAX($B$1:B5488)+1,0)</f>
        <v>5488</v>
      </c>
      <c r="C5489" t="str">
        <f t="shared" si="85"/>
        <v>SVY21 + SHD height</v>
      </c>
    </row>
    <row r="5490" spans="1:3" x14ac:dyDescent="0.3">
      <c r="A5490" t="s">
        <v>5446</v>
      </c>
      <c r="B5490">
        <f>IF(ISNUMBER(SEARCH(Form!$C$11,Tabel2[[#This Row],[Coordinate Projection System]])),MAX($B$1:B5489)+1,0)</f>
        <v>5489</v>
      </c>
      <c r="C5490" t="str">
        <f t="shared" si="85"/>
        <v>SVY21 / Singapore TM + SHD height</v>
      </c>
    </row>
    <row r="5491" spans="1:3" x14ac:dyDescent="0.3">
      <c r="A5491" t="s">
        <v>5447</v>
      </c>
      <c r="B5491">
        <f>IF(ISNUMBER(SEARCH(Form!$C$11,Tabel2[[#This Row],[Coordinate Projection System]])),MAX($B$1:B5490)+1,0)</f>
        <v>5490</v>
      </c>
      <c r="C5491" t="str">
        <f t="shared" si="85"/>
        <v>NTF (Paris) + NGF IGN69 height</v>
      </c>
    </row>
    <row r="5492" spans="1:3" x14ac:dyDescent="0.3">
      <c r="A5492" t="s">
        <v>5448</v>
      </c>
      <c r="B5492">
        <f>IF(ISNUMBER(SEARCH(Form!$C$11,Tabel2[[#This Row],[Coordinate Projection System]])),MAX($B$1:B5491)+1,0)</f>
        <v>5491</v>
      </c>
      <c r="C5492" t="str">
        <f t="shared" si="85"/>
        <v>NTF (Paris) / France II + NGF Lallemand</v>
      </c>
    </row>
    <row r="5493" spans="1:3" x14ac:dyDescent="0.3">
      <c r="A5493" t="s">
        <v>5449</v>
      </c>
      <c r="B5493">
        <f>IF(ISNUMBER(SEARCH(Form!$C$11,Tabel2[[#This Row],[Coordinate Projection System]])),MAX($B$1:B5492)+1,0)</f>
        <v>5492</v>
      </c>
      <c r="C5493" t="str">
        <f t="shared" si="85"/>
        <v>NTF (Paris) / France II + NGF IGN69</v>
      </c>
    </row>
    <row r="5494" spans="1:3" x14ac:dyDescent="0.3">
      <c r="A5494" t="s">
        <v>5450</v>
      </c>
      <c r="B5494">
        <f>IF(ISNUMBER(SEARCH(Form!$C$11,Tabel2[[#This Row],[Coordinate Projection System]])),MAX($B$1:B5493)+1,0)</f>
        <v>5493</v>
      </c>
      <c r="C5494" t="str">
        <f t="shared" si="85"/>
        <v>NTF (Paris) / France III + NGF IGN69</v>
      </c>
    </row>
    <row r="5495" spans="1:3" x14ac:dyDescent="0.3">
      <c r="A5495" t="s">
        <v>5451</v>
      </c>
      <c r="B5495">
        <f>IF(ISNUMBER(SEARCH(Form!$C$11,Tabel2[[#This Row],[Coordinate Projection System]])),MAX($B$1:B5494)+1,0)</f>
        <v>5494</v>
      </c>
      <c r="C5495" t="str">
        <f t="shared" si="85"/>
        <v>RT90 + RH70 height</v>
      </c>
    </row>
    <row r="5496" spans="1:3" x14ac:dyDescent="0.3">
      <c r="A5496" t="s">
        <v>5452</v>
      </c>
      <c r="B5496">
        <f>IF(ISNUMBER(SEARCH(Form!$C$11,Tabel2[[#This Row],[Coordinate Projection System]])),MAX($B$1:B5495)+1,0)</f>
        <v>5495</v>
      </c>
      <c r="C5496" t="str">
        <f t="shared" si="85"/>
        <v>OSGB 1936 / British National Grid + ODN height</v>
      </c>
    </row>
    <row r="5497" spans="1:3" x14ac:dyDescent="0.3">
      <c r="A5497" t="s">
        <v>5453</v>
      </c>
      <c r="B5497">
        <f>IF(ISNUMBER(SEARCH(Form!$C$11,Tabel2[[#This Row],[Coordinate Projection System]])),MAX($B$1:B5496)+1,0)</f>
        <v>5496</v>
      </c>
      <c r="C5497" t="str">
        <f t="shared" si="85"/>
        <v>NAD27 + NGVD29 height</v>
      </c>
    </row>
    <row r="5498" spans="1:3" x14ac:dyDescent="0.3">
      <c r="A5498" t="s">
        <v>5454</v>
      </c>
      <c r="B5498">
        <f>IF(ISNUMBER(SEARCH(Form!$C$11,Tabel2[[#This Row],[Coordinate Projection System]])),MAX($B$1:B5497)+1,0)</f>
        <v>5497</v>
      </c>
      <c r="C5498" t="str">
        <f t="shared" si="85"/>
        <v>NAD27 / Texas North + NGVD29 height</v>
      </c>
    </row>
    <row r="5499" spans="1:3" x14ac:dyDescent="0.3">
      <c r="A5499" t="s">
        <v>5455</v>
      </c>
      <c r="B5499">
        <f>IF(ISNUMBER(SEARCH(Form!$C$11,Tabel2[[#This Row],[Coordinate Projection System]])),MAX($B$1:B5498)+1,0)</f>
        <v>5498</v>
      </c>
      <c r="C5499" t="str">
        <f t="shared" si="85"/>
        <v>RD/NAP</v>
      </c>
    </row>
    <row r="5500" spans="1:3" x14ac:dyDescent="0.3">
      <c r="A5500" t="s">
        <v>5456</v>
      </c>
      <c r="B5500">
        <f>IF(ISNUMBER(SEARCH(Form!$C$11,Tabel2[[#This Row],[Coordinate Projection System]])),MAX($B$1:B5499)+1,0)</f>
        <v>5499</v>
      </c>
      <c r="C5500" t="str">
        <f t="shared" si="85"/>
        <v>ETRS89 + EVRF2000 height</v>
      </c>
    </row>
    <row r="5501" spans="1:3" x14ac:dyDescent="0.3">
      <c r="A5501" t="s">
        <v>5457</v>
      </c>
      <c r="B5501">
        <f>IF(ISNUMBER(SEARCH(Form!$C$11,Tabel2[[#This Row],[Coordinate Projection System]])),MAX($B$1:B5500)+1,0)</f>
        <v>5500</v>
      </c>
      <c r="C5501" t="str">
        <f t="shared" si="85"/>
        <v>PSHD93</v>
      </c>
    </row>
    <row r="5502" spans="1:3" x14ac:dyDescent="0.3">
      <c r="A5502" t="s">
        <v>5458</v>
      </c>
      <c r="B5502">
        <f>IF(ISNUMBER(SEARCH(Form!$C$11,Tabel2[[#This Row],[Coordinate Projection System]])),MAX($B$1:B5501)+1,0)</f>
        <v>5501</v>
      </c>
      <c r="C5502" t="str">
        <f t="shared" si="85"/>
        <v>NTF (Paris) / Lambert zone II + NGF Lallemand height</v>
      </c>
    </row>
    <row r="5503" spans="1:3" x14ac:dyDescent="0.3">
      <c r="A5503" t="s">
        <v>5459</v>
      </c>
      <c r="B5503">
        <f>IF(ISNUMBER(SEARCH(Form!$C$11,Tabel2[[#This Row],[Coordinate Projection System]])),MAX($B$1:B5502)+1,0)</f>
        <v>5502</v>
      </c>
      <c r="C5503" t="str">
        <f t="shared" si="85"/>
        <v>NTF (Paris) / Lambert zone II + NGF IGN69</v>
      </c>
    </row>
    <row r="5504" spans="1:3" x14ac:dyDescent="0.3">
      <c r="A5504" t="s">
        <v>5460</v>
      </c>
      <c r="B5504">
        <f>IF(ISNUMBER(SEARCH(Form!$C$11,Tabel2[[#This Row],[Coordinate Projection System]])),MAX($B$1:B5503)+1,0)</f>
        <v>5503</v>
      </c>
      <c r="C5504" t="str">
        <f t="shared" si="85"/>
        <v>NTF (Paris) / Lambert zone III + NGF IGN69</v>
      </c>
    </row>
    <row r="5505" spans="1:3" x14ac:dyDescent="0.3">
      <c r="A5505" t="s">
        <v>5461</v>
      </c>
      <c r="B5505">
        <f>IF(ISNUMBER(SEARCH(Form!$C$11,Tabel2[[#This Row],[Coordinate Projection System]])),MAX($B$1:B5504)+1,0)</f>
        <v>5504</v>
      </c>
      <c r="C5505" t="str">
        <f t="shared" si="85"/>
        <v>Tokyo + JSLD69 height</v>
      </c>
    </row>
    <row r="5506" spans="1:3" x14ac:dyDescent="0.3">
      <c r="A5506" t="s">
        <v>5462</v>
      </c>
      <c r="B5506">
        <f>IF(ISNUMBER(SEARCH(Form!$C$11,Tabel2[[#This Row],[Coordinate Projection System]])),MAX($B$1:B5505)+1,0)</f>
        <v>5505</v>
      </c>
      <c r="C5506" t="str">
        <f t="shared" si="85"/>
        <v>Amersfoort / RD New + NAP height</v>
      </c>
    </row>
    <row r="5507" spans="1:3" x14ac:dyDescent="0.3">
      <c r="A5507" t="s">
        <v>5463</v>
      </c>
      <c r="B5507">
        <f>IF(ISNUMBER(SEARCH(Form!$C$11,Tabel2[[#This Row],[Coordinate Projection System]])),MAX($B$1:B5506)+1,0)</f>
        <v>5506</v>
      </c>
      <c r="C5507" t="str">
        <f t="shared" ref="C5507:C5514" si="86">_xlfn.IFNA(INDEX(A5507:A11018,MATCH(ROW(C5506),B5507:B11018,0)),"")</f>
        <v>ETRS89 / UTM zone 32N + DVR90 height</v>
      </c>
    </row>
    <row r="5508" spans="1:3" x14ac:dyDescent="0.3">
      <c r="A5508" t="s">
        <v>5464</v>
      </c>
      <c r="B5508">
        <f>IF(ISNUMBER(SEARCH(Form!$C$11,Tabel2[[#This Row],[Coordinate Projection System]])),MAX($B$1:B5507)+1,0)</f>
        <v>5507</v>
      </c>
      <c r="C5508" t="str">
        <f t="shared" si="86"/>
        <v>ETRS89 / UTM zone 33N + DVR90 height</v>
      </c>
    </row>
    <row r="5509" spans="1:3" x14ac:dyDescent="0.3">
      <c r="A5509" t="s">
        <v>5465</v>
      </c>
      <c r="B5509">
        <f>IF(ISNUMBER(SEARCH(Form!$C$11,Tabel2[[#This Row],[Coordinate Projection System]])),MAX($B$1:B5508)+1,0)</f>
        <v>5508</v>
      </c>
      <c r="C5509" t="str">
        <f t="shared" si="86"/>
        <v>ETRS89 / Kp2000 Jutland + DVR90 height</v>
      </c>
    </row>
    <row r="5510" spans="1:3" x14ac:dyDescent="0.3">
      <c r="A5510" t="s">
        <v>5466</v>
      </c>
      <c r="B5510">
        <f>IF(ISNUMBER(SEARCH(Form!$C$11,Tabel2[[#This Row],[Coordinate Projection System]])),MAX($B$1:B5509)+1,0)</f>
        <v>5509</v>
      </c>
      <c r="C5510" t="str">
        <f t="shared" si="86"/>
        <v>ETRS89 / Kp2000 Zealand + DVR90 height</v>
      </c>
    </row>
    <row r="5511" spans="1:3" x14ac:dyDescent="0.3">
      <c r="A5511" t="s">
        <v>5467</v>
      </c>
      <c r="B5511">
        <f>IF(ISNUMBER(SEARCH(Form!$C$11,Tabel2[[#This Row],[Coordinate Projection System]])),MAX($B$1:B5510)+1,0)</f>
        <v>5510</v>
      </c>
      <c r="C5511" t="str">
        <f t="shared" si="86"/>
        <v>ETRS89 / Kp2000 Bornholm + DVR90 height</v>
      </c>
    </row>
    <row r="5512" spans="1:3" x14ac:dyDescent="0.3">
      <c r="A5512" t="s">
        <v>5468</v>
      </c>
      <c r="B5512">
        <f>IF(ISNUMBER(SEARCH(Form!$C$11,Tabel2[[#This Row],[Coordinate Projection System]])),MAX($B$1:B5511)+1,0)</f>
        <v>5511</v>
      </c>
      <c r="C5512" t="str">
        <f t="shared" si="86"/>
        <v>NTF (Paris) / Lambert zone II + NGF-IGN69 height</v>
      </c>
    </row>
    <row r="5513" spans="1:3" x14ac:dyDescent="0.3">
      <c r="A5513" t="s">
        <v>5469</v>
      </c>
      <c r="B5513">
        <f>IF(ISNUMBER(SEARCH(Form!$C$11,Tabel2[[#This Row],[Coordinate Projection System]])),MAX($B$1:B5512)+1,0)</f>
        <v>5512</v>
      </c>
      <c r="C5513" t="str">
        <f t="shared" si="86"/>
        <v>NTF (Paris) / Lambert zone III + NGF-IGN69 height</v>
      </c>
    </row>
    <row r="5514" spans="1:3" x14ac:dyDescent="0.3">
      <c r="A5514" t="s">
        <v>5470</v>
      </c>
      <c r="B5514">
        <f>IF(ISNUMBER(SEARCH(Form!$C$11,Tabel2[[#This Row],[Coordinate Projection System]])),MAX($B$1:B5513)+1,0)</f>
        <v>5513</v>
      </c>
      <c r="C5514" t="str">
        <f t="shared" si="86"/>
        <v>ETRS89 + EVRF2007 height</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A79CC-C285-4EDA-A77A-474E06387301}">
  <sheetPr codeName="Sheet1"/>
  <dimension ref="B2:D75"/>
  <sheetViews>
    <sheetView showGridLines="0" topLeftCell="A49" zoomScaleNormal="100" workbookViewId="0">
      <selection activeCell="H68" sqref="H68"/>
    </sheetView>
  </sheetViews>
  <sheetFormatPr defaultRowHeight="14.4" x14ac:dyDescent="0.3"/>
  <cols>
    <col min="2" max="2" width="28.88671875" bestFit="1" customWidth="1"/>
    <col min="3" max="3" width="15" bestFit="1" customWidth="1"/>
    <col min="4" max="4" width="15" customWidth="1"/>
  </cols>
  <sheetData>
    <row r="2" spans="2:4" ht="15" thickBot="1" x14ac:dyDescent="0.35">
      <c r="C2" s="1" t="s">
        <v>5494</v>
      </c>
      <c r="D2" s="1" t="s">
        <v>5488</v>
      </c>
    </row>
    <row r="3" spans="2:4" x14ac:dyDescent="0.3">
      <c r="B3" t="s">
        <v>5486</v>
      </c>
      <c r="C3" s="62" t="str">
        <f>IF(Form!C4=0,"",Form!C4)</f>
        <v/>
      </c>
    </row>
    <row r="4" spans="2:4" x14ac:dyDescent="0.3">
      <c r="B4" s="61" t="s">
        <v>5493</v>
      </c>
      <c r="C4" s="63" t="str">
        <f>IF(Form!C5=0,"",Form!C5)</f>
        <v/>
      </c>
    </row>
    <row r="5" spans="2:4" x14ac:dyDescent="0.3">
      <c r="B5" s="61" t="s">
        <v>5487</v>
      </c>
      <c r="C5" s="63"/>
    </row>
    <row r="6" spans="2:4" x14ac:dyDescent="0.3">
      <c r="B6" s="61" t="s">
        <v>5502</v>
      </c>
      <c r="C6" s="63"/>
    </row>
    <row r="7" spans="2:4" ht="15" thickBot="1" x14ac:dyDescent="0.35">
      <c r="B7" s="61" t="s">
        <v>5501</v>
      </c>
      <c r="C7" s="63" t="str">
        <f>IF(Form!C11=0,"",Form!C11)</f>
        <v/>
      </c>
    </row>
    <row r="8" spans="2:4" x14ac:dyDescent="0.3">
      <c r="B8" s="50" t="s">
        <v>3</v>
      </c>
      <c r="C8" s="67" t="str">
        <f>IF(Form!F3=0,"",Form!F3)</f>
        <v/>
      </c>
      <c r="D8" s="65" t="str">
        <f>IF(Form!G3=0,"",Form!G3)</f>
        <v/>
      </c>
    </row>
    <row r="9" spans="2:4" x14ac:dyDescent="0.3">
      <c r="B9" s="50" t="s">
        <v>6</v>
      </c>
      <c r="C9" s="67" t="str">
        <f>IF(Form!F4=0,"",Form!F4)</f>
        <v/>
      </c>
      <c r="D9" s="66" t="str">
        <f>IF(Form!G4=0,"",Form!G4)</f>
        <v/>
      </c>
    </row>
    <row r="10" spans="2:4" x14ac:dyDescent="0.3">
      <c r="B10" s="50" t="s">
        <v>5505</v>
      </c>
      <c r="C10" s="67" t="str">
        <f>IF(Form!F5=0,"",Form!F5)</f>
        <v/>
      </c>
      <c r="D10" s="66" t="str">
        <f>IF(Form!G5=0,"",Form!G5)</f>
        <v/>
      </c>
    </row>
    <row r="11" spans="2:4" x14ac:dyDescent="0.3">
      <c r="B11" s="50" t="s">
        <v>10</v>
      </c>
      <c r="C11" s="67" t="str">
        <f>IF(Form!F6=0,"",Form!F6)</f>
        <v/>
      </c>
      <c r="D11" s="66" t="str">
        <f>IF(Form!G6=0,"",Form!G6)</f>
        <v/>
      </c>
    </row>
    <row r="12" spans="2:4" x14ac:dyDescent="0.3">
      <c r="B12" s="50" t="s">
        <v>13</v>
      </c>
      <c r="C12" s="67" t="str">
        <f>IF(Form!F7=0,"",Form!F7)</f>
        <v/>
      </c>
      <c r="D12" s="66" t="str">
        <f>IF(Form!G7=0,"",Form!G7)</f>
        <v/>
      </c>
    </row>
    <row r="13" spans="2:4" x14ac:dyDescent="0.3">
      <c r="B13" s="50" t="s">
        <v>5506</v>
      </c>
      <c r="C13" s="67" t="str">
        <f>IF(Form!F8=0,"",Form!F8)</f>
        <v/>
      </c>
      <c r="D13" s="66" t="str">
        <f>IF(Form!G8=0,"",Form!G8)</f>
        <v/>
      </c>
    </row>
    <row r="14" spans="2:4" x14ac:dyDescent="0.3">
      <c r="B14" s="50" t="s">
        <v>16</v>
      </c>
      <c r="C14" s="67" t="str">
        <f>IF(Form!F9=0,"",Form!F9)</f>
        <v/>
      </c>
      <c r="D14" s="66" t="str">
        <f>IF(Form!G9=0,"",Form!G9)</f>
        <v/>
      </c>
    </row>
    <row r="15" spans="2:4" x14ac:dyDescent="0.3">
      <c r="B15" s="50" t="s">
        <v>18</v>
      </c>
      <c r="C15" s="67" t="str">
        <f>IF(Form!F10=0,"",Form!F10)</f>
        <v/>
      </c>
      <c r="D15" s="66" t="str">
        <f>IF(Form!G10=0,"",Form!G10)</f>
        <v/>
      </c>
    </row>
    <row r="16" spans="2:4" x14ac:dyDescent="0.3">
      <c r="B16" s="50" t="s">
        <v>22</v>
      </c>
      <c r="C16" s="67" t="str">
        <f>IF(Form!F11=0,"",Form!F11)</f>
        <v/>
      </c>
      <c r="D16" s="66" t="str">
        <f>IF(Form!G11=0,"",Form!G11)</f>
        <v/>
      </c>
    </row>
    <row r="17" spans="2:4" x14ac:dyDescent="0.3">
      <c r="B17" s="50" t="s">
        <v>19</v>
      </c>
      <c r="C17" s="67" t="str">
        <f>IF(Form!F12=0,"",Form!F12)</f>
        <v/>
      </c>
      <c r="D17" s="66" t="str">
        <f>IF(Form!G12=0,"",Form!G12)</f>
        <v/>
      </c>
    </row>
    <row r="18" spans="2:4" x14ac:dyDescent="0.3">
      <c r="B18" s="50" t="s">
        <v>5507</v>
      </c>
      <c r="C18" s="67" t="str">
        <f>IF(Form!F13=0,"",Form!F13)</f>
        <v/>
      </c>
      <c r="D18" s="66" t="str">
        <f>IF(Form!G13=0,"",Form!G13)</f>
        <v/>
      </c>
    </row>
    <row r="19" spans="2:4" x14ac:dyDescent="0.3">
      <c r="B19" s="50" t="s">
        <v>23</v>
      </c>
      <c r="C19" s="67" t="str">
        <f>IF(Form!F14=0,"",Form!F14)</f>
        <v/>
      </c>
      <c r="D19" s="66" t="str">
        <f>IF(Form!G14=0,"",Form!G14)</f>
        <v/>
      </c>
    </row>
    <row r="20" spans="2:4" x14ac:dyDescent="0.3">
      <c r="B20" s="50" t="s">
        <v>24</v>
      </c>
      <c r="C20" s="67" t="str">
        <f>IF(Form!F15=0,"",Form!F15)</f>
        <v/>
      </c>
      <c r="D20" s="66" t="str">
        <f>IF(Form!G15=0,"",Form!G15)</f>
        <v/>
      </c>
    </row>
    <row r="21" spans="2:4" x14ac:dyDescent="0.3">
      <c r="B21" s="50" t="s">
        <v>5508</v>
      </c>
      <c r="C21" s="67" t="str">
        <f>IF(Form!F16=0,"",Form!F16)</f>
        <v/>
      </c>
      <c r="D21" s="66" t="str">
        <f>IF(Form!G16=0,"",Form!G16)</f>
        <v/>
      </c>
    </row>
    <row r="22" spans="2:4" x14ac:dyDescent="0.3">
      <c r="B22" s="50" t="s">
        <v>5509</v>
      </c>
      <c r="C22" s="67" t="str">
        <f>IF(Form!F17=0,"",Form!F17)</f>
        <v/>
      </c>
      <c r="D22" s="66" t="str">
        <f>IF(Form!G17=0,"",Form!G17)</f>
        <v/>
      </c>
    </row>
    <row r="23" spans="2:4" x14ac:dyDescent="0.3">
      <c r="B23" s="50" t="s">
        <v>5510</v>
      </c>
      <c r="C23" s="67" t="str">
        <f>IF(Form!F18=0,"",Form!F18)</f>
        <v/>
      </c>
      <c r="D23" s="66" t="str">
        <f>IF(Form!G18=0,"",Form!G18)</f>
        <v/>
      </c>
    </row>
    <row r="24" spans="2:4" x14ac:dyDescent="0.3">
      <c r="B24" s="50" t="s">
        <v>5511</v>
      </c>
      <c r="C24" s="67" t="str">
        <f>IF(Form!F19=0,"",Form!F19)</f>
        <v/>
      </c>
      <c r="D24" s="66" t="str">
        <f>IF(Form!G19=0,"",Form!G19)</f>
        <v/>
      </c>
    </row>
    <row r="25" spans="2:4" x14ac:dyDescent="0.3">
      <c r="B25" s="50" t="s">
        <v>5512</v>
      </c>
      <c r="C25" s="67" t="str">
        <f>IF(Form!F20=0,"",Form!F20)</f>
        <v/>
      </c>
      <c r="D25" s="66" t="str">
        <f>IF(Form!G20=0,"",Form!G20)</f>
        <v/>
      </c>
    </row>
    <row r="26" spans="2:4" x14ac:dyDescent="0.3">
      <c r="B26" s="50" t="s">
        <v>5513</v>
      </c>
      <c r="C26" s="67" t="str">
        <f>IF(Form!F21=0,"",Form!F21)</f>
        <v/>
      </c>
      <c r="D26" s="66" t="str">
        <f>IF(Form!G21=0,"",Form!G21)</f>
        <v/>
      </c>
    </row>
    <row r="27" spans="2:4" x14ac:dyDescent="0.3">
      <c r="B27" s="50" t="s">
        <v>5514</v>
      </c>
      <c r="C27" s="67" t="str">
        <f>IF(Form!F22=0,"",Form!F22)</f>
        <v/>
      </c>
      <c r="D27" s="66" t="str">
        <f>IF(Form!G22=0,"",Form!G22)</f>
        <v/>
      </c>
    </row>
    <row r="28" spans="2:4" x14ac:dyDescent="0.3">
      <c r="B28" s="50" t="s">
        <v>25</v>
      </c>
      <c r="C28" s="67" t="str">
        <f>IF(Form!F23=0,"",Form!F23)</f>
        <v/>
      </c>
      <c r="D28" s="66" t="str">
        <f>IF(Form!G23=0,"",Form!G23)</f>
        <v/>
      </c>
    </row>
    <row r="29" spans="2:4" x14ac:dyDescent="0.3">
      <c r="B29" s="50" t="s">
        <v>26</v>
      </c>
      <c r="C29" s="67" t="str">
        <f>IF(Form!F24=0,"",Form!F24)</f>
        <v/>
      </c>
      <c r="D29" s="66" t="str">
        <f>IF(Form!G24=0,"",Form!G24)</f>
        <v/>
      </c>
    </row>
    <row r="30" spans="2:4" x14ac:dyDescent="0.3">
      <c r="B30" s="50" t="s">
        <v>5515</v>
      </c>
      <c r="C30" s="67" t="str">
        <f>IF(Form!F25=0,"",Form!F25)</f>
        <v/>
      </c>
      <c r="D30" s="66" t="str">
        <f>IF(Form!G25=0,"",Form!G25)</f>
        <v/>
      </c>
    </row>
    <row r="31" spans="2:4" x14ac:dyDescent="0.3">
      <c r="B31" s="50" t="s">
        <v>5516</v>
      </c>
      <c r="C31" s="67" t="str">
        <f>IF(Form!F26=0,"",Form!F26)</f>
        <v/>
      </c>
      <c r="D31" s="66" t="str">
        <f>IF(Form!G26=0,"",Form!G26)</f>
        <v/>
      </c>
    </row>
    <row r="32" spans="2:4" x14ac:dyDescent="0.3">
      <c r="B32" s="50" t="s">
        <v>27</v>
      </c>
      <c r="C32" s="67" t="str">
        <f>IF(Form!F27=0,"",Form!F27)</f>
        <v/>
      </c>
      <c r="D32" s="66" t="str">
        <f>IF(Form!G27=0,"",Form!G27)</f>
        <v/>
      </c>
    </row>
    <row r="33" spans="2:4" x14ac:dyDescent="0.3">
      <c r="B33" s="50" t="s">
        <v>5517</v>
      </c>
      <c r="C33" s="67" t="str">
        <f>IF(Form!F28=0,"",Form!F28)</f>
        <v/>
      </c>
      <c r="D33" s="66" t="str">
        <f>IF(Form!G28=0,"",Form!G28)</f>
        <v/>
      </c>
    </row>
    <row r="34" spans="2:4" x14ac:dyDescent="0.3">
      <c r="B34" s="50" t="s">
        <v>28</v>
      </c>
      <c r="C34" s="67" t="str">
        <f>IF(Form!F29=0,"",Form!F29)</f>
        <v/>
      </c>
      <c r="D34" s="66" t="str">
        <f>IF(Form!G29=0,"",Form!G29)</f>
        <v/>
      </c>
    </row>
    <row r="35" spans="2:4" x14ac:dyDescent="0.3">
      <c r="B35" s="50" t="s">
        <v>5518</v>
      </c>
      <c r="C35" s="67" t="str">
        <f>IF(Form!F30=0,"",Form!F30)</f>
        <v/>
      </c>
      <c r="D35" s="66" t="str">
        <f>IF(Form!G30=0,"",Form!G30)</f>
        <v/>
      </c>
    </row>
    <row r="36" spans="2:4" x14ac:dyDescent="0.3">
      <c r="B36" s="50" t="s">
        <v>5519</v>
      </c>
      <c r="C36" s="67" t="str">
        <f>IF(Form!F31=0,"",Form!F31)</f>
        <v/>
      </c>
      <c r="D36" s="66" t="str">
        <f>IF(Form!G31=0,"",Form!G31)</f>
        <v/>
      </c>
    </row>
    <row r="37" spans="2:4" x14ac:dyDescent="0.3">
      <c r="B37" s="50" t="s">
        <v>5520</v>
      </c>
      <c r="C37" s="67" t="str">
        <f>IF(Form!F32=0,"",Form!F32)</f>
        <v/>
      </c>
      <c r="D37" s="66" t="str">
        <f>IF(Form!G32=0,"",Form!G32)</f>
        <v/>
      </c>
    </row>
    <row r="38" spans="2:4" x14ac:dyDescent="0.3">
      <c r="B38" s="50" t="s">
        <v>5521</v>
      </c>
      <c r="C38" s="67" t="str">
        <f>IF(Form!F33=0,"",Form!F33)</f>
        <v/>
      </c>
      <c r="D38" s="66" t="str">
        <f>IF(Form!G33=0,"",Form!G33)</f>
        <v/>
      </c>
    </row>
    <row r="39" spans="2:4" x14ac:dyDescent="0.3">
      <c r="B39" s="50" t="s">
        <v>5522</v>
      </c>
      <c r="C39" s="67" t="str">
        <f>IF(Form!F34=0,"",Form!F34)</f>
        <v/>
      </c>
      <c r="D39" s="66" t="str">
        <f>IF(Form!G34=0,"",Form!G34)</f>
        <v/>
      </c>
    </row>
    <row r="40" spans="2:4" x14ac:dyDescent="0.3">
      <c r="B40" s="50" t="s">
        <v>5523</v>
      </c>
      <c r="C40" s="67" t="str">
        <f>IF(Form!F35=0,"",Form!F35)</f>
        <v/>
      </c>
      <c r="D40" s="66" t="str">
        <f>IF(Form!G35=0,"",Form!G35)</f>
        <v/>
      </c>
    </row>
    <row r="41" spans="2:4" x14ac:dyDescent="0.3">
      <c r="B41" s="50" t="s">
        <v>5524</v>
      </c>
      <c r="C41" s="67" t="str">
        <f>IF(Form!F36=0,"",Form!F36)</f>
        <v/>
      </c>
      <c r="D41" s="66" t="str">
        <f>IF(Form!G36=0,"",Form!G36)</f>
        <v/>
      </c>
    </row>
    <row r="42" spans="2:4" x14ac:dyDescent="0.3">
      <c r="B42" s="50" t="s">
        <v>5525</v>
      </c>
      <c r="C42" s="67" t="str">
        <f>IF(Form!F37=0,"",Form!F37)</f>
        <v/>
      </c>
      <c r="D42" s="66" t="str">
        <f>IF(Form!G37=0,"",Form!G37)</f>
        <v/>
      </c>
    </row>
    <row r="43" spans="2:4" x14ac:dyDescent="0.3">
      <c r="B43" s="50" t="s">
        <v>29</v>
      </c>
      <c r="C43" s="67" t="str">
        <f>IF(Form!F38=0,"",Form!F38)</f>
        <v/>
      </c>
      <c r="D43" s="66" t="str">
        <f>IF(Form!G38=0,"",Form!G38)</f>
        <v/>
      </c>
    </row>
    <row r="44" spans="2:4" x14ac:dyDescent="0.3">
      <c r="B44" s="50" t="s">
        <v>5526</v>
      </c>
      <c r="C44" s="67" t="str">
        <f>IF(Form!F39=0,"",Form!F39)</f>
        <v/>
      </c>
      <c r="D44" s="66" t="str">
        <f>IF(Form!G39=0,"",Form!G39)</f>
        <v/>
      </c>
    </row>
    <row r="45" spans="2:4" x14ac:dyDescent="0.3">
      <c r="B45" s="50" t="s">
        <v>5475</v>
      </c>
      <c r="C45" s="67" t="str">
        <f>IF(Form!F40=0,"",Form!F40)</f>
        <v/>
      </c>
      <c r="D45" s="66" t="str">
        <f>IF(Form!G40=0,"",Form!G40)</f>
        <v/>
      </c>
    </row>
    <row r="46" spans="2:4" x14ac:dyDescent="0.3">
      <c r="B46" s="50" t="s">
        <v>5476</v>
      </c>
      <c r="C46" s="67" t="str">
        <f>IF(Form!F41=0,"",Form!F41)</f>
        <v/>
      </c>
      <c r="D46" s="66" t="str">
        <f>IF(Form!G41=0,"",Form!G41)</f>
        <v/>
      </c>
    </row>
    <row r="47" spans="2:4" x14ac:dyDescent="0.3">
      <c r="B47" s="50" t="s">
        <v>5527</v>
      </c>
      <c r="C47" s="67" t="str">
        <f>IF(Form!F42=0,"",Form!F42)</f>
        <v/>
      </c>
      <c r="D47" s="66" t="str">
        <f>IF(Form!G42=0,"",Form!G42)</f>
        <v/>
      </c>
    </row>
    <row r="48" spans="2:4" x14ac:dyDescent="0.3">
      <c r="B48" s="50" t="s">
        <v>5528</v>
      </c>
      <c r="C48" s="67" t="str">
        <f>IF(Form!F43=0,"",Form!F43)</f>
        <v/>
      </c>
      <c r="D48" s="66" t="str">
        <f>IF(Form!G43=0,"",Form!G43)</f>
        <v/>
      </c>
    </row>
    <row r="49" spans="2:4" x14ac:dyDescent="0.3">
      <c r="B49" s="50" t="s">
        <v>5529</v>
      </c>
      <c r="C49" s="67" t="str">
        <f>IF(Form!F44=0,"",Form!F44)</f>
        <v/>
      </c>
      <c r="D49" s="66" t="str">
        <f>IF(Form!G44=0,"",Form!G44)</f>
        <v/>
      </c>
    </row>
    <row r="50" spans="2:4" x14ac:dyDescent="0.3">
      <c r="B50" s="50" t="s">
        <v>5477</v>
      </c>
      <c r="C50" s="67" t="str">
        <f>IF(Form!F45=0,"",Form!F45)</f>
        <v/>
      </c>
      <c r="D50" s="66" t="str">
        <f>IF(Form!G45=0,"",Form!G45)</f>
        <v/>
      </c>
    </row>
    <row r="51" spans="2:4" x14ac:dyDescent="0.3">
      <c r="B51" s="50" t="s">
        <v>5478</v>
      </c>
      <c r="C51" s="67" t="str">
        <f>IF(Form!F46=0,"",Form!F46)</f>
        <v/>
      </c>
      <c r="D51" s="66" t="str">
        <f>IF(Form!G46=0,"",Form!G46)</f>
        <v/>
      </c>
    </row>
    <row r="52" spans="2:4" x14ac:dyDescent="0.3">
      <c r="B52" s="50" t="s">
        <v>5489</v>
      </c>
      <c r="C52" s="67" t="str">
        <f>IF(Form!F47=0,"",Form!F47)</f>
        <v/>
      </c>
      <c r="D52" s="66" t="str">
        <f>IF(Form!G47=0,"",Form!G47)</f>
        <v/>
      </c>
    </row>
    <row r="53" spans="2:4" x14ac:dyDescent="0.3">
      <c r="B53" s="50" t="s">
        <v>5490</v>
      </c>
      <c r="C53" s="67" t="str">
        <f>IF(Form!F48=0,"",Form!F48)</f>
        <v/>
      </c>
      <c r="D53" s="66" t="str">
        <f>IF(Form!G48=0,"",Form!G48)</f>
        <v/>
      </c>
    </row>
    <row r="54" spans="2:4" x14ac:dyDescent="0.3">
      <c r="B54" s="50" t="s">
        <v>5530</v>
      </c>
      <c r="C54" s="67" t="str">
        <f>IF(Form!F49=0,"",Form!F49)</f>
        <v xml:space="preserve"> </v>
      </c>
      <c r="D54" s="66" t="str">
        <f>IF(Form!G49=0,"",Form!G49)</f>
        <v/>
      </c>
    </row>
    <row r="55" spans="2:4" x14ac:dyDescent="0.3">
      <c r="B55" s="50" t="s">
        <v>5531</v>
      </c>
      <c r="C55" s="67" t="str">
        <f>IF(Form!F50=0,"",Form!F50)</f>
        <v/>
      </c>
      <c r="D55" s="66" t="str">
        <f>IF(Form!G50=0,"",Form!G50)</f>
        <v/>
      </c>
    </row>
    <row r="56" spans="2:4" x14ac:dyDescent="0.3">
      <c r="B56" s="50" t="s">
        <v>30</v>
      </c>
      <c r="C56" s="67" t="str">
        <f>IF(Form!F51=0,"",Form!F51)</f>
        <v/>
      </c>
      <c r="D56" s="66" t="str">
        <f>IF(Form!G51=0,"",Form!G51)</f>
        <v/>
      </c>
    </row>
    <row r="57" spans="2:4" ht="15" thickBot="1" x14ac:dyDescent="0.35">
      <c r="B57" s="50" t="s">
        <v>31</v>
      </c>
      <c r="C57" s="67" t="str">
        <f>IF(Form!F52=0,"",Form!F52)</f>
        <v/>
      </c>
      <c r="D57" s="74" t="str">
        <f>IF(Form!G52=0,"",Form!G52)</f>
        <v/>
      </c>
    </row>
    <row r="58" spans="2:4" x14ac:dyDescent="0.3">
      <c r="B58" s="50" t="s">
        <v>5497</v>
      </c>
      <c r="C58" s="68" t="str">
        <f>IF(Form!J3=0,"",Form!J3)</f>
        <v/>
      </c>
      <c r="D58" s="82"/>
    </row>
    <row r="59" spans="2:4" x14ac:dyDescent="0.3">
      <c r="B59" t="s">
        <v>5484</v>
      </c>
      <c r="C59" s="68" t="str">
        <f>IF(Form!J4=0,"",Form!J4)</f>
        <v/>
      </c>
    </row>
    <row r="60" spans="2:4" x14ac:dyDescent="0.3">
      <c r="B60" t="s">
        <v>5</v>
      </c>
      <c r="C60" s="68" t="str">
        <f>IF(Form!J5=0,"",Form!J5)</f>
        <v/>
      </c>
    </row>
    <row r="61" spans="2:4" x14ac:dyDescent="0.3">
      <c r="B61" t="s">
        <v>8</v>
      </c>
      <c r="C61" s="68" t="str">
        <f>IF(Form!J6=0,"",Form!J6)</f>
        <v/>
      </c>
    </row>
    <row r="62" spans="2:4" x14ac:dyDescent="0.3">
      <c r="B62" t="s">
        <v>9</v>
      </c>
      <c r="C62" s="68" t="str">
        <f>IF(Form!J7=0,"",Form!J7)</f>
        <v/>
      </c>
    </row>
    <row r="63" spans="2:4" x14ac:dyDescent="0.3">
      <c r="B63" t="s">
        <v>12</v>
      </c>
      <c r="C63" s="68" t="str">
        <f>IF(Form!J8=0,"",Form!J8)</f>
        <v/>
      </c>
    </row>
    <row r="64" spans="2:4" x14ac:dyDescent="0.3">
      <c r="B64" t="s">
        <v>14</v>
      </c>
      <c r="C64" s="68" t="str">
        <f>IF(Form!J9=0,"",Form!J9)</f>
        <v/>
      </c>
    </row>
    <row r="65" spans="2:3" x14ac:dyDescent="0.3">
      <c r="B65" t="s">
        <v>5482</v>
      </c>
      <c r="C65" s="69" t="str">
        <f>IF(Form!J17=0,"",Form!J17)</f>
        <v/>
      </c>
    </row>
    <row r="66" spans="2:3" x14ac:dyDescent="0.3">
      <c r="B66" t="s">
        <v>67</v>
      </c>
      <c r="C66" s="69" t="str">
        <f>IF(Form!J18=0,"",Form!J18)</f>
        <v/>
      </c>
    </row>
    <row r="67" spans="2:3" x14ac:dyDescent="0.3">
      <c r="B67" t="s">
        <v>4</v>
      </c>
      <c r="C67" s="70" t="str">
        <f>IF(Form!J26=0,"",Form!J26)</f>
        <v/>
      </c>
    </row>
    <row r="68" spans="2:3" x14ac:dyDescent="0.3">
      <c r="B68" t="s">
        <v>20</v>
      </c>
      <c r="C68" s="70" t="str">
        <f>IF(Form!J27=0,"",Form!J27)</f>
        <v/>
      </c>
    </row>
    <row r="69" spans="2:3" x14ac:dyDescent="0.3">
      <c r="B69" t="s">
        <v>17</v>
      </c>
      <c r="C69" s="70" t="str">
        <f>IF(Form!J28=0,"",Form!J28)</f>
        <v/>
      </c>
    </row>
    <row r="70" spans="2:3" x14ac:dyDescent="0.3">
      <c r="B70" t="s">
        <v>7</v>
      </c>
      <c r="C70" s="70" t="str">
        <f>IF(Form!J29=0,"",Form!J29)</f>
        <v/>
      </c>
    </row>
    <row r="71" spans="2:3" x14ac:dyDescent="0.3">
      <c r="B71" t="s">
        <v>11</v>
      </c>
      <c r="C71" s="70" t="str">
        <f>IF(Form!J30=0,"",Form!J30)</f>
        <v/>
      </c>
    </row>
    <row r="72" spans="2:3" x14ac:dyDescent="0.3">
      <c r="B72" t="s">
        <v>15</v>
      </c>
      <c r="C72" s="70" t="str">
        <f>IF(Form!J31=0,"",Form!J31)</f>
        <v/>
      </c>
    </row>
    <row r="73" spans="2:3" x14ac:dyDescent="0.3">
      <c r="B73" t="s">
        <v>21</v>
      </c>
      <c r="C73" s="70" t="str">
        <f>IF(Form!J32=0,"",Form!J32)</f>
        <v/>
      </c>
    </row>
    <row r="74" spans="2:3" x14ac:dyDescent="0.3">
      <c r="B74" t="s">
        <v>5491</v>
      </c>
      <c r="C74" s="70" t="str">
        <f>IF(Form!J33=0,"",Form!J33)</f>
        <v/>
      </c>
    </row>
    <row r="75" spans="2:3" ht="15" thickBot="1" x14ac:dyDescent="0.35">
      <c r="B75" t="s">
        <v>5503</v>
      </c>
      <c r="C75" s="71" t="str">
        <f>IF(Form!J34=0,"",Form!J34)</f>
        <v/>
      </c>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380AB-A060-43EC-978B-46C3AA4E752C}">
  <sheetPr codeName="Blad2"/>
  <dimension ref="A1:K63"/>
  <sheetViews>
    <sheetView workbookViewId="0">
      <selection activeCell="E24" sqref="E24"/>
    </sheetView>
  </sheetViews>
  <sheetFormatPr defaultRowHeight="14.4" x14ac:dyDescent="0.3"/>
  <cols>
    <col min="1" max="1" width="30.44140625" bestFit="1" customWidth="1"/>
    <col min="2" max="2" width="40.6640625" bestFit="1" customWidth="1"/>
    <col min="4" max="4" width="17.44140625" bestFit="1" customWidth="1"/>
    <col min="5" max="5" width="46.33203125" bestFit="1" customWidth="1"/>
    <col min="7" max="7" width="26.109375" bestFit="1" customWidth="1"/>
    <col min="8" max="8" width="49.6640625" bestFit="1" customWidth="1"/>
    <col min="10" max="10" width="16.33203125" bestFit="1" customWidth="1"/>
    <col min="11" max="11" width="42.109375" bestFit="1" customWidth="1"/>
  </cols>
  <sheetData>
    <row r="1" spans="1:11" x14ac:dyDescent="0.3">
      <c r="A1" s="37" t="s">
        <v>66</v>
      </c>
      <c r="B1" s="38"/>
      <c r="D1" s="39" t="s">
        <v>2</v>
      </c>
      <c r="E1" s="40"/>
      <c r="G1" s="41" t="s">
        <v>64</v>
      </c>
      <c r="H1" s="42"/>
      <c r="J1" s="43" t="s">
        <v>1</v>
      </c>
      <c r="K1" s="44"/>
    </row>
    <row r="2" spans="1:11" x14ac:dyDescent="0.3">
      <c r="A2" s="50" t="s">
        <v>3</v>
      </c>
      <c r="B2" s="64" t="s">
        <v>33</v>
      </c>
      <c r="D2" s="59" t="s">
        <v>5497</v>
      </c>
      <c r="E2" s="50" t="s">
        <v>5498</v>
      </c>
      <c r="G2" t="s">
        <v>5482</v>
      </c>
      <c r="H2" t="s">
        <v>5483</v>
      </c>
      <c r="J2" t="s">
        <v>4</v>
      </c>
      <c r="K2" t="s">
        <v>46</v>
      </c>
    </row>
    <row r="3" spans="1:11" x14ac:dyDescent="0.3">
      <c r="A3" s="50" t="s">
        <v>6</v>
      </c>
      <c r="B3" s="64" t="s">
        <v>34</v>
      </c>
      <c r="D3" s="59" t="s">
        <v>5484</v>
      </c>
      <c r="E3" t="s">
        <v>5485</v>
      </c>
      <c r="G3" t="s">
        <v>67</v>
      </c>
      <c r="H3" t="s">
        <v>68</v>
      </c>
      <c r="J3" t="s">
        <v>20</v>
      </c>
      <c r="K3" t="s">
        <v>51</v>
      </c>
    </row>
    <row r="4" spans="1:11" x14ac:dyDescent="0.3">
      <c r="A4" s="50" t="s">
        <v>5505</v>
      </c>
      <c r="B4" s="64" t="s">
        <v>5532</v>
      </c>
      <c r="D4" s="31" t="s">
        <v>5</v>
      </c>
      <c r="E4" s="31" t="s">
        <v>53</v>
      </c>
      <c r="J4" t="s">
        <v>17</v>
      </c>
      <c r="K4" t="s">
        <v>50</v>
      </c>
    </row>
    <row r="5" spans="1:11" x14ac:dyDescent="0.3">
      <c r="A5" s="50" t="s">
        <v>10</v>
      </c>
      <c r="B5" s="64" t="s">
        <v>35</v>
      </c>
      <c r="D5" s="31" t="s">
        <v>8</v>
      </c>
      <c r="E5" s="31" t="s">
        <v>54</v>
      </c>
      <c r="J5" t="s">
        <v>7</v>
      </c>
      <c r="K5" t="s">
        <v>47</v>
      </c>
    </row>
    <row r="6" spans="1:11" x14ac:dyDescent="0.3">
      <c r="A6" s="50" t="s">
        <v>13</v>
      </c>
      <c r="B6" s="64" t="s">
        <v>36</v>
      </c>
      <c r="D6" s="31" t="s">
        <v>9</v>
      </c>
      <c r="E6" s="31" t="s">
        <v>55</v>
      </c>
      <c r="J6" t="s">
        <v>11</v>
      </c>
      <c r="K6" t="s">
        <v>48</v>
      </c>
    </row>
    <row r="7" spans="1:11" x14ac:dyDescent="0.3">
      <c r="A7" s="50" t="s">
        <v>5506</v>
      </c>
      <c r="B7" s="64" t="s">
        <v>5533</v>
      </c>
      <c r="D7" s="31" t="s">
        <v>12</v>
      </c>
      <c r="E7" s="31" t="s">
        <v>56</v>
      </c>
      <c r="J7" t="s">
        <v>15</v>
      </c>
      <c r="K7" t="s">
        <v>49</v>
      </c>
    </row>
    <row r="8" spans="1:11" x14ac:dyDescent="0.3">
      <c r="A8" s="50" t="s">
        <v>16</v>
      </c>
      <c r="B8" s="64" t="s">
        <v>37</v>
      </c>
      <c r="D8" s="31" t="s">
        <v>14</v>
      </c>
      <c r="E8" s="31" t="s">
        <v>57</v>
      </c>
      <c r="J8" t="s">
        <v>21</v>
      </c>
      <c r="K8" t="s">
        <v>52</v>
      </c>
    </row>
    <row r="9" spans="1:11" x14ac:dyDescent="0.3">
      <c r="A9" s="50" t="s">
        <v>18</v>
      </c>
      <c r="B9" s="64" t="s">
        <v>38</v>
      </c>
      <c r="J9" t="s">
        <v>5491</v>
      </c>
      <c r="K9" t="s">
        <v>5492</v>
      </c>
    </row>
    <row r="10" spans="1:11" x14ac:dyDescent="0.3">
      <c r="A10" s="50" t="s">
        <v>22</v>
      </c>
      <c r="B10" t="s">
        <v>32</v>
      </c>
      <c r="J10" t="s">
        <v>5503</v>
      </c>
      <c r="K10" t="s">
        <v>5504</v>
      </c>
    </row>
    <row r="11" spans="1:11" x14ac:dyDescent="0.3">
      <c r="A11" s="50" t="s">
        <v>19</v>
      </c>
      <c r="B11" s="64"/>
    </row>
    <row r="12" spans="1:11" x14ac:dyDescent="0.3">
      <c r="A12" s="50" t="s">
        <v>5507</v>
      </c>
      <c r="B12" s="64"/>
    </row>
    <row r="13" spans="1:11" x14ac:dyDescent="0.3">
      <c r="A13" s="50" t="s">
        <v>23</v>
      </c>
      <c r="B13" s="64"/>
    </row>
    <row r="14" spans="1:11" x14ac:dyDescent="0.3">
      <c r="A14" s="50" t="s">
        <v>24</v>
      </c>
      <c r="B14" s="64"/>
    </row>
    <row r="15" spans="1:11" x14ac:dyDescent="0.3">
      <c r="A15" s="50" t="s">
        <v>5508</v>
      </c>
      <c r="B15" s="64"/>
    </row>
    <row r="16" spans="1:11" x14ac:dyDescent="0.3">
      <c r="A16" s="50" t="s">
        <v>5509</v>
      </c>
      <c r="B16" s="64"/>
    </row>
    <row r="17" spans="1:2" x14ac:dyDescent="0.3">
      <c r="A17" s="50" t="s">
        <v>5510</v>
      </c>
      <c r="B17" s="64" t="s">
        <v>32</v>
      </c>
    </row>
    <row r="18" spans="1:2" x14ac:dyDescent="0.3">
      <c r="A18" s="50" t="s">
        <v>5511</v>
      </c>
      <c r="B18" s="64"/>
    </row>
    <row r="19" spans="1:2" x14ac:dyDescent="0.3">
      <c r="A19" s="50" t="s">
        <v>5512</v>
      </c>
      <c r="B19" s="64" t="s">
        <v>32</v>
      </c>
    </row>
    <row r="20" spans="1:2" x14ac:dyDescent="0.3">
      <c r="A20" s="50" t="s">
        <v>5513</v>
      </c>
      <c r="B20" s="64"/>
    </row>
    <row r="21" spans="1:2" x14ac:dyDescent="0.3">
      <c r="A21" s="50" t="s">
        <v>5514</v>
      </c>
      <c r="B21" s="64"/>
    </row>
    <row r="22" spans="1:2" x14ac:dyDescent="0.3">
      <c r="A22" s="50" t="s">
        <v>25</v>
      </c>
      <c r="B22" s="64" t="s">
        <v>39</v>
      </c>
    </row>
    <row r="23" spans="1:2" x14ac:dyDescent="0.3">
      <c r="A23" s="50" t="s">
        <v>26</v>
      </c>
      <c r="B23" s="64" t="s">
        <v>40</v>
      </c>
    </row>
    <row r="24" spans="1:2" x14ac:dyDescent="0.3">
      <c r="A24" s="50" t="s">
        <v>5515</v>
      </c>
      <c r="B24" s="64" t="s">
        <v>5534</v>
      </c>
    </row>
    <row r="25" spans="1:2" x14ac:dyDescent="0.3">
      <c r="A25" s="50" t="s">
        <v>5516</v>
      </c>
      <c r="B25" s="64" t="s">
        <v>5535</v>
      </c>
    </row>
    <row r="26" spans="1:2" x14ac:dyDescent="0.3">
      <c r="A26" s="50" t="s">
        <v>27</v>
      </c>
      <c r="B26" s="64" t="s">
        <v>41</v>
      </c>
    </row>
    <row r="27" spans="1:2" x14ac:dyDescent="0.3">
      <c r="A27" s="50" t="s">
        <v>5517</v>
      </c>
      <c r="B27" s="64" t="s">
        <v>32</v>
      </c>
    </row>
    <row r="28" spans="1:2" x14ac:dyDescent="0.3">
      <c r="A28" s="50" t="s">
        <v>28</v>
      </c>
      <c r="B28" s="64"/>
    </row>
    <row r="29" spans="1:2" x14ac:dyDescent="0.3">
      <c r="A29" s="50" t="s">
        <v>5518</v>
      </c>
      <c r="B29" s="64"/>
    </row>
    <row r="30" spans="1:2" x14ac:dyDescent="0.3">
      <c r="A30" s="50" t="s">
        <v>5519</v>
      </c>
      <c r="B30" s="64"/>
    </row>
    <row r="31" spans="1:2" x14ac:dyDescent="0.3">
      <c r="A31" s="50" t="s">
        <v>5520</v>
      </c>
      <c r="B31" s="64"/>
    </row>
    <row r="32" spans="1:2" x14ac:dyDescent="0.3">
      <c r="A32" s="50" t="s">
        <v>5521</v>
      </c>
      <c r="B32" s="64"/>
    </row>
    <row r="33" spans="1:2" x14ac:dyDescent="0.3">
      <c r="A33" s="50" t="s">
        <v>5522</v>
      </c>
      <c r="B33" s="64"/>
    </row>
    <row r="34" spans="1:2" x14ac:dyDescent="0.3">
      <c r="A34" s="50" t="s">
        <v>5523</v>
      </c>
      <c r="B34" s="64"/>
    </row>
    <row r="35" spans="1:2" x14ac:dyDescent="0.3">
      <c r="A35" s="50" t="s">
        <v>5524</v>
      </c>
      <c r="B35" s="64"/>
    </row>
    <row r="36" spans="1:2" x14ac:dyDescent="0.3">
      <c r="A36" s="50" t="s">
        <v>5525</v>
      </c>
      <c r="B36" s="64"/>
    </row>
    <row r="37" spans="1:2" x14ac:dyDescent="0.3">
      <c r="A37" s="50" t="s">
        <v>29</v>
      </c>
      <c r="B37" s="64" t="s">
        <v>42</v>
      </c>
    </row>
    <row r="38" spans="1:2" x14ac:dyDescent="0.3">
      <c r="A38" s="50" t="s">
        <v>5526</v>
      </c>
      <c r="B38" s="64" t="s">
        <v>5536</v>
      </c>
    </row>
    <row r="39" spans="1:2" x14ac:dyDescent="0.3">
      <c r="A39" s="50" t="s">
        <v>5475</v>
      </c>
      <c r="B39" t="s">
        <v>5537</v>
      </c>
    </row>
    <row r="40" spans="1:2" x14ac:dyDescent="0.3">
      <c r="A40" s="50" t="s">
        <v>5476</v>
      </c>
      <c r="B40" s="64" t="s">
        <v>5479</v>
      </c>
    </row>
    <row r="41" spans="1:2" x14ac:dyDescent="0.3">
      <c r="A41" s="50" t="s">
        <v>5527</v>
      </c>
      <c r="B41" s="64" t="s">
        <v>5538</v>
      </c>
    </row>
    <row r="42" spans="1:2" x14ac:dyDescent="0.3">
      <c r="A42" s="50" t="s">
        <v>5528</v>
      </c>
      <c r="B42" s="64" t="s">
        <v>43</v>
      </c>
    </row>
    <row r="43" spans="1:2" x14ac:dyDescent="0.3">
      <c r="A43" s="50" t="s">
        <v>5529</v>
      </c>
      <c r="B43" s="64" t="s">
        <v>5539</v>
      </c>
    </row>
    <row r="44" spans="1:2" x14ac:dyDescent="0.3">
      <c r="A44" s="50" t="s">
        <v>5477</v>
      </c>
      <c r="B44" s="64" t="s">
        <v>5480</v>
      </c>
    </row>
    <row r="45" spans="1:2" x14ac:dyDescent="0.3">
      <c r="A45" s="50" t="s">
        <v>5478</v>
      </c>
      <c r="B45" s="64" t="s">
        <v>5481</v>
      </c>
    </row>
    <row r="46" spans="1:2" x14ac:dyDescent="0.3">
      <c r="A46" s="50" t="s">
        <v>5489</v>
      </c>
      <c r="B46" s="64"/>
    </row>
    <row r="47" spans="1:2" x14ac:dyDescent="0.3">
      <c r="A47" s="50" t="s">
        <v>5490</v>
      </c>
      <c r="B47" s="64"/>
    </row>
    <row r="48" spans="1:2" x14ac:dyDescent="0.3">
      <c r="A48" s="50" t="s">
        <v>5530</v>
      </c>
      <c r="B48" s="64"/>
    </row>
    <row r="49" spans="1:2" x14ac:dyDescent="0.3">
      <c r="A49" s="50" t="s">
        <v>5531</v>
      </c>
      <c r="B49" s="73" t="s">
        <v>5540</v>
      </c>
    </row>
    <row r="50" spans="1:2" x14ac:dyDescent="0.3">
      <c r="A50" s="50" t="s">
        <v>30</v>
      </c>
      <c r="B50" s="64" t="s">
        <v>44</v>
      </c>
    </row>
    <row r="51" spans="1:2" x14ac:dyDescent="0.3">
      <c r="A51" s="50" t="s">
        <v>31</v>
      </c>
      <c r="B51" s="64" t="s">
        <v>45</v>
      </c>
    </row>
    <row r="52" spans="1:2" x14ac:dyDescent="0.3">
      <c r="A52" s="50"/>
    </row>
    <row r="53" spans="1:2" x14ac:dyDescent="0.3">
      <c r="A53" s="50"/>
    </row>
    <row r="54" spans="1:2" x14ac:dyDescent="0.3">
      <c r="A54" s="50"/>
    </row>
    <row r="58" spans="1:2" x14ac:dyDescent="0.3">
      <c r="A58" s="31"/>
      <c r="B58" s="31"/>
    </row>
    <row r="59" spans="1:2" x14ac:dyDescent="0.3">
      <c r="A59" s="31"/>
      <c r="B59" s="31"/>
    </row>
    <row r="60" spans="1:2" x14ac:dyDescent="0.3">
      <c r="A60" s="31"/>
      <c r="B60" s="19"/>
    </row>
    <row r="61" spans="1:2" x14ac:dyDescent="0.3">
      <c r="A61" s="64"/>
    </row>
    <row r="62" spans="1:2" x14ac:dyDescent="0.3">
      <c r="A62" s="64"/>
    </row>
    <row r="63" spans="1:2" x14ac:dyDescent="0.3">
      <c r="A63" s="6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Form</vt:lpstr>
      <vt:lpstr>coordinates</vt:lpstr>
      <vt:lpstr>output</vt:lpstr>
      <vt:lpstr>URIs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Lenters</dc:creator>
  <cp:lastModifiedBy>Tim Lenters</cp:lastModifiedBy>
  <dcterms:created xsi:type="dcterms:W3CDTF">2020-01-13T21:16:55Z</dcterms:created>
  <dcterms:modified xsi:type="dcterms:W3CDTF">2020-08-04T15:20:46Z</dcterms:modified>
</cp:coreProperties>
</file>